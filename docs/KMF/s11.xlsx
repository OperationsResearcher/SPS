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yserimodelfabrika365-my.sharepoint.com/personal/salih_yalcin_kayserimodelfabrika_com/Documents/Belgeler/KMF ORTAK/04- SÜREÇLER/Süreç Karneleri/"/>
    </mc:Choice>
  </mc:AlternateContent>
  <xr:revisionPtr revIDLastSave="2874" documentId="13_ncr:1_{BD415955-765B-454E-9AE0-BC0D214B02F8}" xr6:coauthVersionLast="47" xr6:coauthVersionMax="47" xr10:uidLastSave="{91782109-B1B6-4291-BA8D-0CBA7C6D1CB8}"/>
  <bookViews>
    <workbookView xWindow="-108" yWindow="-108" windowWidth="23256" windowHeight="12456" firstSheet="4" activeTab="5" xr2:uid="{00000000-000D-0000-FFFF-FFFF00000000}"/>
  </bookViews>
  <sheets>
    <sheet name="Veriler" sheetId="2" r:id="rId1"/>
    <sheet name="2021" sheetId="3" r:id="rId2"/>
    <sheet name="2022" sheetId="4" r:id="rId3"/>
    <sheet name="2023" sheetId="5" r:id="rId4"/>
    <sheet name="2024" sheetId="6" r:id="rId5"/>
    <sheet name="2025" sheetId="7" r:id="rId6"/>
  </sheets>
  <definedNames>
    <definedName name="_xlnm._FilterDatabase" localSheetId="4" hidden="1">'2024'!$A$6:$W$59</definedName>
    <definedName name="_xlnm._FilterDatabase" localSheetId="5" hidden="1">'2025'!$A$6:$X$61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7" l="1"/>
  <c r="F61" i="7"/>
  <c r="Q59" i="7"/>
  <c r="Q57" i="7"/>
  <c r="Q55" i="7"/>
  <c r="Q53" i="7"/>
  <c r="Q51" i="7"/>
  <c r="Q49" i="7"/>
  <c r="Q41" i="7"/>
  <c r="Q39" i="7"/>
  <c r="Q37" i="7"/>
  <c r="Q35" i="7"/>
  <c r="Q27" i="7"/>
  <c r="Q25" i="7"/>
  <c r="Q23" i="7"/>
  <c r="Q21" i="7"/>
  <c r="Q19" i="7"/>
  <c r="Q17" i="7"/>
  <c r="Q15" i="7"/>
  <c r="Q13" i="7"/>
  <c r="Q11" i="7"/>
  <c r="Q9" i="7"/>
  <c r="Q7" i="7"/>
  <c r="P61" i="7" l="1"/>
  <c r="O39" i="6" l="1"/>
  <c r="O49" i="6"/>
  <c r="O41" i="6"/>
  <c r="O37" i="6"/>
  <c r="Q57" i="6"/>
  <c r="Q55" i="6"/>
  <c r="Q53" i="6"/>
  <c r="Q51" i="6"/>
  <c r="Q49" i="6"/>
  <c r="Q47" i="6"/>
  <c r="Q41" i="6"/>
  <c r="Q39" i="6"/>
  <c r="Q37" i="6"/>
  <c r="Q35" i="6"/>
  <c r="Q21" i="6"/>
  <c r="Q19" i="6"/>
  <c r="Q17" i="6"/>
  <c r="Q15" i="6"/>
  <c r="Q13" i="6"/>
  <c r="Q11" i="6"/>
  <c r="Q9" i="6"/>
  <c r="Q7" i="6"/>
  <c r="Q49" i="5" l="1"/>
  <c r="Q47" i="5"/>
  <c r="Q45" i="5"/>
  <c r="Q43" i="5"/>
  <c r="Q41" i="5"/>
  <c r="Q39" i="5"/>
  <c r="Q37" i="5"/>
  <c r="Q31" i="5"/>
  <c r="Q29" i="5"/>
  <c r="Q27" i="5"/>
  <c r="Q25" i="5"/>
  <c r="Q17" i="5"/>
  <c r="Q15" i="5"/>
  <c r="Q13" i="5"/>
  <c r="Q11" i="5"/>
  <c r="Q9" i="5"/>
  <c r="Q7" i="5"/>
  <c r="F59" i="6" l="1"/>
  <c r="L9" i="6"/>
  <c r="K9" i="6"/>
  <c r="Q25" i="6" l="1"/>
  <c r="Q23" i="6"/>
  <c r="Q90" i="6"/>
  <c r="O90" i="6"/>
  <c r="Q88" i="6"/>
  <c r="O88" i="6"/>
  <c r="Q86" i="6"/>
  <c r="O86" i="6"/>
  <c r="Q84" i="6"/>
  <c r="O84" i="6"/>
  <c r="Q82" i="6"/>
  <c r="O82" i="6"/>
  <c r="Q80" i="6"/>
  <c r="O80" i="6"/>
  <c r="P76" i="6"/>
  <c r="Q27" i="6"/>
  <c r="R43" i="5"/>
  <c r="R41" i="5"/>
  <c r="R31" i="5"/>
  <c r="R29" i="5"/>
  <c r="R47" i="5"/>
  <c r="R39" i="5"/>
  <c r="R23" i="5"/>
  <c r="N83" i="4"/>
  <c r="M83" i="4"/>
  <c r="L83" i="4"/>
  <c r="K83" i="4"/>
  <c r="Q82" i="4"/>
  <c r="O82" i="4"/>
  <c r="Q80" i="4"/>
  <c r="O80" i="4"/>
  <c r="Q82" i="5"/>
  <c r="O82" i="5"/>
  <c r="Q80" i="5"/>
  <c r="O80" i="5"/>
  <c r="Q78" i="5"/>
  <c r="O78" i="5"/>
  <c r="Q76" i="5"/>
  <c r="O76" i="5"/>
  <c r="Q74" i="5"/>
  <c r="O74" i="5"/>
  <c r="Q72" i="5"/>
  <c r="O72" i="5"/>
  <c r="P68" i="5"/>
  <c r="F51" i="5"/>
  <c r="R37" i="5"/>
  <c r="R35" i="5"/>
  <c r="R33" i="5"/>
  <c r="R27" i="5"/>
  <c r="R25" i="5"/>
  <c r="R21" i="5"/>
  <c r="R19" i="5"/>
  <c r="R17" i="5"/>
  <c r="R15" i="5"/>
  <c r="R13" i="5"/>
  <c r="R9" i="5"/>
  <c r="Q76" i="4"/>
  <c r="O76" i="4"/>
  <c r="Q74" i="4"/>
  <c r="O74" i="4"/>
  <c r="Q72" i="4"/>
  <c r="O72" i="4"/>
  <c r="Q70" i="4"/>
  <c r="O70" i="4"/>
  <c r="Q66" i="4"/>
  <c r="O66" i="4"/>
  <c r="K7" i="2"/>
  <c r="K8" i="2"/>
  <c r="K9" i="2"/>
  <c r="K10" i="2"/>
  <c r="P62" i="4"/>
  <c r="Q39" i="4"/>
  <c r="Q9" i="4"/>
  <c r="Q11" i="4"/>
  <c r="Q13" i="4"/>
  <c r="Q15" i="4"/>
  <c r="Q17" i="4"/>
  <c r="R17" i="4" s="1"/>
  <c r="Q19" i="4"/>
  <c r="Q21" i="4"/>
  <c r="Q23" i="4"/>
  <c r="Q25" i="4"/>
  <c r="Q27" i="4"/>
  <c r="Q29" i="4"/>
  <c r="Q35" i="4"/>
  <c r="Q37" i="4"/>
  <c r="Q7" i="4"/>
  <c r="F41" i="4"/>
  <c r="R37" i="4"/>
  <c r="R35" i="4"/>
  <c r="R33" i="4"/>
  <c r="R31" i="4"/>
  <c r="R29" i="4"/>
  <c r="R27" i="4"/>
  <c r="R25" i="4"/>
  <c r="R23" i="4"/>
  <c r="R21" i="4"/>
  <c r="R19" i="4"/>
  <c r="R15" i="4"/>
  <c r="R13" i="4"/>
  <c r="R11" i="4"/>
  <c r="R9" i="4"/>
  <c r="O13" i="3"/>
  <c r="F41" i="3"/>
  <c r="Q39" i="3"/>
  <c r="Q37" i="3"/>
  <c r="Q35" i="3"/>
  <c r="Q29" i="3"/>
  <c r="Q27" i="3"/>
  <c r="Q25" i="3"/>
  <c r="Q23" i="3"/>
  <c r="Q21" i="3"/>
  <c r="Q19" i="3"/>
  <c r="Q17" i="3"/>
  <c r="Q15" i="3"/>
  <c r="Q13" i="3"/>
  <c r="Q47" i="3"/>
  <c r="Q11" i="3"/>
  <c r="Q9" i="3"/>
  <c r="Q7" i="3"/>
  <c r="F43" i="2"/>
  <c r="Q41" i="2"/>
  <c r="Q39" i="2"/>
  <c r="Q37" i="2"/>
  <c r="Q31" i="2"/>
  <c r="Q29" i="2"/>
  <c r="Q25" i="2"/>
  <c r="Q23" i="2"/>
  <c r="Q21" i="2"/>
  <c r="Q19" i="2"/>
  <c r="Q17" i="2"/>
  <c r="R17" i="2" s="1"/>
  <c r="Q15" i="2"/>
  <c r="R15" i="2" s="1"/>
  <c r="Q13" i="2"/>
  <c r="Q11" i="2"/>
  <c r="R11" i="2" s="1"/>
  <c r="Q9" i="2"/>
  <c r="R9" i="2" s="1"/>
  <c r="Q7" i="2"/>
  <c r="R7" i="2" s="1"/>
  <c r="Q27" i="2"/>
  <c r="K17" i="2"/>
  <c r="P59" i="6" l="1"/>
  <c r="P51" i="5"/>
  <c r="R7" i="5"/>
  <c r="P41" i="4"/>
  <c r="R7" i="4"/>
  <c r="P41" i="3"/>
  <c r="P43" i="2"/>
  <c r="R39" i="2"/>
  <c r="R37" i="2"/>
  <c r="R21" i="2"/>
  <c r="R19" i="2" l="1"/>
  <c r="R35" i="2"/>
  <c r="R31" i="2"/>
  <c r="R29" i="2"/>
  <c r="R27" i="2"/>
  <c r="R25" i="2"/>
  <c r="R23" i="2"/>
  <c r="R3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3" authorId="0" shapeId="0" xr:uid="{0C082F69-71BC-4495-B542-ED6C28A7C23B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5" authorId="0" shapeId="0" xr:uid="{39E5B509-2115-42C2-9B61-02E1D006546C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1" authorId="0" shapeId="0" xr:uid="{6B528903-D459-407A-8F37-5C4A621D02CA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3" authorId="0" shapeId="0" xr:uid="{72B85590-7F7A-401D-BAA5-CC5946B12170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1" authorId="0" shapeId="0" xr:uid="{F1E715DB-E3D9-4013-9911-291E3CD6A01E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3" authorId="0" shapeId="0" xr:uid="{3527E483-CB32-4F6F-908E-8FF1586A6EF6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9" authorId="0" shapeId="0" xr:uid="{8026D7DF-CAD4-4A4C-9F6E-856502B2A9FF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31" authorId="0" shapeId="0" xr:uid="{78904594-BE48-4512-9B2A-5C985746B88F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39" authorId="0" shapeId="0" xr:uid="{89E14431-7091-471F-A13D-E46BCC5A16AF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41" authorId="0" shapeId="0" xr:uid="{D7052D71-CFBD-4D26-B626-01AC5812924D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39" authorId="0" shapeId="0" xr:uid="{C1655C04-768D-447D-BAE1-9CCF363057FB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41" authorId="0" shapeId="0" xr:uid="{7353AB8C-B234-46F7-840F-3C9D03F95DB9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sharedStrings.xml><?xml version="1.0" encoding="utf-8"?>
<sst xmlns="http://schemas.openxmlformats.org/spreadsheetml/2006/main" count="2220" uniqueCount="269">
  <si>
    <t>SR4 - PAZARLAMA STRATEJİLERİ YÖNETİMİ SÜREÇ KARNESİ</t>
  </si>
  <si>
    <t>REV. TARİHİ</t>
  </si>
  <si>
    <t>YAYIN TARİHİ</t>
  </si>
  <si>
    <t>DOKÜMAN NO :</t>
  </si>
  <si>
    <t>SÜREÇ LİDERİ</t>
  </si>
  <si>
    <t>Salih YALÇIN</t>
  </si>
  <si>
    <t>SÜREÇ EKİBİ</t>
  </si>
  <si>
    <t>Emre Koşar, Ebru Takcı, M. Arif</t>
  </si>
  <si>
    <t>2020 Yılı Parametre Başarı Puanları</t>
  </si>
  <si>
    <t>Beklentinin Çok Altında  
 (1 puan)</t>
  </si>
  <si>
    <t>İyileştirmeye Açık
(2 puan)</t>
  </si>
  <si>
    <t>Hedefe Ulaşmış 
(3 puan)</t>
  </si>
  <si>
    <t>Hedefin Üzerinde
(4 puan)</t>
  </si>
  <si>
    <t>Mükemmel 
(5 puan)</t>
  </si>
  <si>
    <t>Ana Strateji</t>
  </si>
  <si>
    <t>Alt Strateji</t>
  </si>
  <si>
    <t>Gösterge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</si>
  <si>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</si>
  <si>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</si>
  <si>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</si>
  <si>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</si>
  <si>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</si>
  <si>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</si>
  <si>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</si>
  <si>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1.Ç</t>
  </si>
  <si>
    <t>2.Ç</t>
  </si>
  <si>
    <t>3.Ç</t>
  </si>
  <si>
    <t>4.Ç</t>
  </si>
  <si>
    <t>Yıl Sonu</t>
  </si>
  <si>
    <t>Başarı Puanı</t>
  </si>
  <si>
    <t>Ağırlıklı Başarı Puanı</t>
  </si>
  <si>
    <t>ST2</t>
  </si>
  <si>
    <t>ST2.1</t>
  </si>
  <si>
    <t>Eğitim Gelirleri</t>
  </si>
  <si>
    <t>iylş.</t>
  </si>
  <si>
    <t>DH</t>
  </si>
  <si>
    <t>TL</t>
  </si>
  <si>
    <t xml:space="preserve">3 ay </t>
  </si>
  <si>
    <t>Fiili</t>
  </si>
  <si>
    <t>400.000-449.000</t>
  </si>
  <si>
    <t>450.000-499.000</t>
  </si>
  <si>
    <t>500.000-549.000</t>
  </si>
  <si>
    <t>550.000-</t>
  </si>
  <si>
    <t>Hedef</t>
  </si>
  <si>
    <t>Danışmanlık Hizmeti Gelirleri</t>
  </si>
  <si>
    <t>800.000 - 899.000</t>
  </si>
  <si>
    <t>900.000-999.000</t>
  </si>
  <si>
    <t>1.000.000-1.099.000</t>
  </si>
  <si>
    <t xml:space="preserve">1.100.000 - </t>
  </si>
  <si>
    <t>Ödül Süreci Gelirleri</t>
  </si>
  <si>
    <t xml:space="preserve">1 Yıl </t>
  </si>
  <si>
    <t>6.000 - 6.999</t>
  </si>
  <si>
    <t>7.000-7.999</t>
  </si>
  <si>
    <t>8.000 - 8.999</t>
  </si>
  <si>
    <t>9.000 -</t>
  </si>
  <si>
    <t>ST2.2</t>
  </si>
  <si>
    <t xml:space="preserve">Pazarlama Stratejileri Yönetimi 
Gider Bütçesine Uyum Oranı </t>
  </si>
  <si>
    <t>HKY</t>
  </si>
  <si>
    <t>%</t>
  </si>
  <si>
    <t>3 ay</t>
  </si>
  <si>
    <t>%80-89</t>
  </si>
  <si>
    <t>%90-100</t>
  </si>
  <si>
    <t>-</t>
  </si>
  <si>
    <t>Verilen Teklif Sayısı</t>
  </si>
  <si>
    <t>adet</t>
  </si>
  <si>
    <t>15-23</t>
  </si>
  <si>
    <t>24-29</t>
  </si>
  <si>
    <t>30-35</t>
  </si>
  <si>
    <t>36-41</t>
  </si>
  <si>
    <t>42-</t>
  </si>
  <si>
    <t>Tekliflerin Sözleşmeye Dönüşme Oranı</t>
  </si>
  <si>
    <t>%40-49</t>
  </si>
  <si>
    <t>%50-59</t>
  </si>
  <si>
    <t>%60-69</t>
  </si>
  <si>
    <t>%70-79</t>
  </si>
  <si>
    <t>%80-</t>
  </si>
  <si>
    <t>ST3</t>
  </si>
  <si>
    <t>ST3.1</t>
  </si>
  <si>
    <t xml:space="preserve">Kayseri İmalat Sanayisi Ortalama Yalın Farkındalık Artış Oranı </t>
  </si>
  <si>
    <t>SH</t>
  </si>
  <si>
    <t>%7-11</t>
  </si>
  <si>
    <t>%12-16</t>
  </si>
  <si>
    <t>%17-21</t>
  </si>
  <si>
    <t>%22-</t>
  </si>
  <si>
    <t xml:space="preserve">Kayseri İmalat Sanayisi Ortalama Dijital Farkındalık Artış Oranı </t>
  </si>
  <si>
    <t xml:space="preserve">ST3.2.
</t>
  </si>
  <si>
    <t>Ziyaret Edilen Yeni Kurum Sayısı</t>
  </si>
  <si>
    <t>40-49</t>
  </si>
  <si>
    <t>50-59</t>
  </si>
  <si>
    <t>60-69</t>
  </si>
  <si>
    <t>70-</t>
  </si>
  <si>
    <t>Mevcut Müşterileri Ziyaret Sayısı</t>
  </si>
  <si>
    <t xml:space="preserve">ST3.3.
</t>
  </si>
  <si>
    <t>Yapılan Etkinlik Sayısı (Panel, webinar, teknik gezi)</t>
  </si>
  <si>
    <t>1-2</t>
  </si>
  <si>
    <t>3-5</t>
  </si>
  <si>
    <t>6-8</t>
  </si>
  <si>
    <t>9-11</t>
  </si>
  <si>
    <t>12-</t>
  </si>
  <si>
    <t>Etkinliklere Katılımcı Sayısı</t>
  </si>
  <si>
    <t>-249</t>
  </si>
  <si>
    <t>250-349</t>
  </si>
  <si>
    <t>350-449</t>
  </si>
  <si>
    <t>450-549</t>
  </si>
  <si>
    <t>550-</t>
  </si>
  <si>
    <t>Tavsiye Edilebilirlik Oranı</t>
  </si>
  <si>
    <t>6 ay</t>
  </si>
  <si>
    <t>ST4</t>
  </si>
  <si>
    <t>ST4.1</t>
  </si>
  <si>
    <t>Hedef Pazardaki Müşteri Sayısı</t>
  </si>
  <si>
    <t>ist.</t>
  </si>
  <si>
    <t>KMF ile Aynı Bölgede Benzer Ürün ve Hizmetleri Sunan Kurum Sayısı</t>
  </si>
  <si>
    <t>Ürün/Hizmet Geliştirme Çalıştay Sayısı</t>
  </si>
  <si>
    <t>1</t>
  </si>
  <si>
    <t>2-4</t>
  </si>
  <si>
    <t>5-7</t>
  </si>
  <si>
    <t>8-</t>
  </si>
  <si>
    <t>Ürün/Hizmet Geliştirme Çalıştaylarına Katılan Dış Paydaş  Sayısı</t>
  </si>
  <si>
    <t>ST4.4</t>
  </si>
  <si>
    <t>Satışlarda Hibe/Teşvik Payı</t>
  </si>
  <si>
    <t>-%29</t>
  </si>
  <si>
    <t>%30-39</t>
  </si>
  <si>
    <t>%60-</t>
  </si>
  <si>
    <t>SÜRECİN AĞIRLIKLI BAŞARI ORANI</t>
  </si>
  <si>
    <t>Kayseri İmalat Sanayisi Ortalama Verimlilik Artış Oranı</t>
  </si>
  <si>
    <t>Hedef Kitle 750 firma... ziyaret, etkinlik vb. ile ulaşılması hedeflenen 90 firma, verimlilik artış hedefi 0,4 buna göre toplu artış hedefi 90/750 * 0,4 = %5</t>
  </si>
  <si>
    <t>Kayseri İmalat Sanayisi Dijital Olgunluk Seviyesi Ort. Artış Or.</t>
  </si>
  <si>
    <t>Dijitalleşme hedefi kapasiye ve hedef kitle dolayısıyla yalının %50 si kadar</t>
  </si>
  <si>
    <t xml:space="preserve">Eğitime Katılan Sektör Çeşidi Sayısı </t>
  </si>
  <si>
    <t>Beyza Kaçar, M. Arif</t>
  </si>
  <si>
    <t>2022 Yılı Parametre Başarı Puanları</t>
  </si>
  <si>
    <t>Eğitim Gelirleri Bütçesine Uyum Oranı</t>
  </si>
  <si>
    <t>Danışmanlık Hizmeti Gelirleri Bütçesine Uyum Oranı</t>
  </si>
  <si>
    <t>Ödül Süreci Gelirleri Bütçesine Uyum Oranı</t>
  </si>
  <si>
    <t>8</t>
  </si>
  <si>
    <t>60% - 79%</t>
  </si>
  <si>
    <t>39-44</t>
  </si>
  <si>
    <t>45-49</t>
  </si>
  <si>
    <t>50-54</t>
  </si>
  <si>
    <t>55-60</t>
  </si>
  <si>
    <t>61-</t>
  </si>
  <si>
    <t>ST3.2</t>
  </si>
  <si>
    <t>4%-6%</t>
  </si>
  <si>
    <t>70-79</t>
  </si>
  <si>
    <t>79-</t>
  </si>
  <si>
    <t>29-39</t>
  </si>
  <si>
    <t>550-599</t>
  </si>
  <si>
    <t>600+</t>
  </si>
  <si>
    <t>1yıl</t>
  </si>
  <si>
    <t>VERİLEN EĞİTİMLERE KATILAN KURUM VE KURULUŞ SAYISI</t>
  </si>
  <si>
    <t>Pazarlama sürecine eklenecek</t>
  </si>
  <si>
    <t>20-29</t>
  </si>
  <si>
    <t>40-45</t>
  </si>
  <si>
    <t>Genel Katılıma Açık Eğitimlere Katılımcı Sayısı (Deneyimsel)</t>
  </si>
  <si>
    <t>insan</t>
  </si>
  <si>
    <t>100-139</t>
  </si>
  <si>
    <t>140-179</t>
  </si>
  <si>
    <t>180-219</t>
  </si>
  <si>
    <t>220-</t>
  </si>
  <si>
    <t>Kurum İçi Eğitimlere Katılan Katılımcı Sayısı (Danışmanlık İçi)</t>
  </si>
  <si>
    <t>30-89</t>
  </si>
  <si>
    <t>90-135</t>
  </si>
  <si>
    <t>136-179</t>
  </si>
  <si>
    <t>180-</t>
  </si>
  <si>
    <t xml:space="preserve">Genel Katılıma Açık Eğitimler Gerçekleştirilen Toplam Eğitim Süresi </t>
  </si>
  <si>
    <t>sa</t>
  </si>
  <si>
    <t>250-399</t>
  </si>
  <si>
    <t>400-549</t>
  </si>
  <si>
    <t>550-699</t>
  </si>
  <si>
    <t xml:space="preserve">700- </t>
  </si>
  <si>
    <t xml:space="preserve">Kurum İçi Eğitimler 
Gerçekleştirilen Toplam Eğitim Süresi </t>
  </si>
  <si>
    <t>40-79</t>
  </si>
  <si>
    <t>80-119</t>
  </si>
  <si>
    <t>120-159</t>
  </si>
  <si>
    <t>160-</t>
  </si>
  <si>
    <t>Danışmanlık Hizmeti Verilen Yeni Firma Sayısı</t>
  </si>
  <si>
    <t>Adet</t>
  </si>
  <si>
    <t>pazarlama sürecine dahil olacak</t>
  </si>
  <si>
    <t>15-17</t>
  </si>
  <si>
    <t>18 - 22</t>
  </si>
  <si>
    <t>22 - 26</t>
  </si>
  <si>
    <t>26 - 30</t>
  </si>
  <si>
    <t>30 -</t>
  </si>
  <si>
    <t>22-26</t>
  </si>
  <si>
    <t>Verilen Danışmanlık Süresi</t>
  </si>
  <si>
    <t xml:space="preserve"> gün</t>
  </si>
  <si>
    <t>150-379</t>
  </si>
  <si>
    <t>380 - 419</t>
  </si>
  <si>
    <t>420 - 449</t>
  </si>
  <si>
    <t>450 - 479</t>
  </si>
  <si>
    <t>480 -</t>
  </si>
  <si>
    <t>420-449</t>
  </si>
  <si>
    <t>FVÖK/Net Satışlar</t>
  </si>
  <si>
    <t>%5-10</t>
  </si>
  <si>
    <t>%11-17</t>
  </si>
  <si>
    <t>%18-22</t>
  </si>
  <si>
    <t>%23-29</t>
  </si>
  <si>
    <t>%30-üzeri</t>
  </si>
  <si>
    <t>49-54</t>
  </si>
  <si>
    <t>55-59</t>
  </si>
  <si>
    <t>60-64</t>
  </si>
  <si>
    <t>65-70</t>
  </si>
  <si>
    <t>71-</t>
  </si>
  <si>
    <t>%25-34</t>
  </si>
  <si>
    <t>%35-44</t>
  </si>
  <si>
    <t>%45-54</t>
  </si>
  <si>
    <t>%55-64</t>
  </si>
  <si>
    <t>%65-</t>
  </si>
  <si>
    <t xml:space="preserve">Kayseri İmalat Sanayisi Ortalama Yeşil Farkındalık Artış Oranı </t>
  </si>
  <si>
    <t xml:space="preserve">ST3.2
</t>
  </si>
  <si>
    <t>ST3.3</t>
  </si>
  <si>
    <t xml:space="preserve">3 Ay </t>
  </si>
  <si>
    <t>12-16</t>
  </si>
  <si>
    <t>17-21</t>
  </si>
  <si>
    <t>27-31</t>
  </si>
  <si>
    <t>32-</t>
  </si>
  <si>
    <t>360-389</t>
  </si>
  <si>
    <t>390-421</t>
  </si>
  <si>
    <t>450-479</t>
  </si>
  <si>
    <t>480-</t>
  </si>
  <si>
    <t>Yeşil Dönüşüm/Sürdürülebilirlik Çalışma(Eğitim-Proje-Etkinlik) Sayısı</t>
  </si>
  <si>
    <t>ST3.4</t>
  </si>
  <si>
    <t>ST3.5</t>
  </si>
  <si>
    <t>15-18</t>
  </si>
  <si>
    <t>19-21</t>
  </si>
  <si>
    <t>22-24</t>
  </si>
  <si>
    <t>25-</t>
  </si>
  <si>
    <t xml:space="preserve">Genel Katılıma Açık Eğitimlere Katılımcı Sayısı </t>
  </si>
  <si>
    <t xml:space="preserve">Kurum İçi Eğitimlere Katılan Katılımcı Sayısı </t>
  </si>
  <si>
    <t>Tuğba Sorkulu</t>
  </si>
  <si>
    <t>2024 Yılı Parametre Başarı Puanları</t>
  </si>
  <si>
    <t>29-34</t>
  </si>
  <si>
    <t>35-39</t>
  </si>
  <si>
    <t>40-44</t>
  </si>
  <si>
    <t>45-60</t>
  </si>
  <si>
    <t>65-74</t>
  </si>
  <si>
    <t>75-</t>
  </si>
  <si>
    <t>FVÖK/Net Satış Oranı</t>
  </si>
  <si>
    <t>Gelir Bütçesine Uyum Oranı</t>
  </si>
  <si>
    <t>Gider Bütçesine Uyum Oranı</t>
  </si>
  <si>
    <t xml:space="preserve">Kayseri İmalat Sanayisi Ortalama Yeşil/Sürdürlebilirlik Farkındalık Artış Oranı </t>
  </si>
  <si>
    <t>601-800</t>
  </si>
  <si>
    <t>801-1000</t>
  </si>
  <si>
    <t>1001-1200</t>
  </si>
  <si>
    <t>1201-1400</t>
  </si>
  <si>
    <t>1401-</t>
  </si>
  <si>
    <t>Yalın Enstütü  Spac Danışmanlık Ersoy Kobi Proje</t>
  </si>
  <si>
    <t>Yalın Enstütü  Spac Danışmanlık Ersoy Kalder</t>
  </si>
  <si>
    <t>Adem Beyden Eğitim, Kalder Sürdürlebilirlik Ödül Süreci</t>
  </si>
  <si>
    <t>60-69%</t>
  </si>
  <si>
    <t>ST4.2</t>
  </si>
  <si>
    <t xml:space="preserve">Ödüle Başvuran Kurum ve Kuruluş Sayısı </t>
  </si>
  <si>
    <t xml:space="preserve">1 yıl </t>
  </si>
  <si>
    <t>4-7</t>
  </si>
  <si>
    <t>8-11</t>
  </si>
  <si>
    <t>12-15</t>
  </si>
  <si>
    <t>16-</t>
  </si>
  <si>
    <t>Salih Yalçın</t>
  </si>
  <si>
    <t>adem bey sürdürülebilirlik eğitimi, erciyes koleji sp eğitimi, kayso sp eğitimi</t>
  </si>
  <si>
    <t>hedef güncellenecek</t>
  </si>
  <si>
    <t>Yalın Enstütü,  Spac Danışmanlık, Ersoy Bey, Atilabey, Gülşah Hanım, Fatma Hoca, APA danışmanlık, Kalder</t>
  </si>
  <si>
    <t>Tubitak 1831 projesi başvurusu</t>
  </si>
  <si>
    <t>adem bey eğitim</t>
  </si>
  <si>
    <t>danışmanlık ve eğitim anketleri. Bakanlık anketi</t>
  </si>
  <si>
    <t>kosgeb vs destekleriyle ilgili</t>
  </si>
  <si>
    <t>etkinliklerimiz etkililiği değerlendirilecek / farklı kurum sayısı</t>
  </si>
  <si>
    <t>3 teklif sözleşmeye döndü</t>
  </si>
  <si>
    <t>4 teklif sözşleşmeye döndü</t>
  </si>
  <si>
    <t>kırılım eklenecek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</si>
</sst>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rgb="FF444444"/>
      <name val="Calibri"/>
      <family val="2"/>
      <charset val="162"/>
    </font>
    <font>
      <sz val="8"/>
      <name val="Calibri"/>
      <family val="2"/>
      <scheme val="minor"/>
    </font>
    <font>
      <sz val="8"/>
      <color theme="1"/>
      <name val="Calibri"/>
      <family val="2"/>
      <charset val="162"/>
      <scheme val="minor"/>
    </font>
    <font>
      <sz val="10"/>
      <color rgb="FF444444"/>
      <name val="Calibri"/>
      <family val="2"/>
      <charset val="162"/>
    </font>
    <font>
      <sz val="10"/>
      <color theme="2"/>
      <name val="Calibri"/>
      <family val="2"/>
      <charset val="162"/>
      <scheme val="minor"/>
    </font>
    <font>
      <sz val="10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/>
    <xf numFmtId="9" fontId="5" fillId="2" borderId="4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9" fontId="7" fillId="0" borderId="1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9" fontId="4" fillId="0" borderId="5" xfId="1" applyFont="1" applyFill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4" fillId="12" borderId="0" xfId="0" applyFont="1" applyFill="1" applyAlignment="1">
      <alignment vertical="center"/>
    </xf>
    <xf numFmtId="1" fontId="4" fillId="12" borderId="1" xfId="2" applyNumberFormat="1" applyFont="1" applyFill="1" applyBorder="1" applyAlignment="1">
      <alignment horizontal="center" vertical="center"/>
    </xf>
    <xf numFmtId="1" fontId="4" fillId="12" borderId="1" xfId="2" applyNumberFormat="1" applyFont="1" applyFill="1" applyBorder="1" applyAlignment="1">
      <alignment vertical="center"/>
    </xf>
    <xf numFmtId="1" fontId="4" fillId="12" borderId="1" xfId="0" applyNumberFormat="1" applyFont="1" applyFill="1" applyBorder="1" applyAlignment="1">
      <alignment horizontal="center" vertical="center"/>
    </xf>
    <xf numFmtId="1" fontId="7" fillId="12" borderId="1" xfId="2" applyNumberFormat="1" applyFont="1" applyFill="1" applyBorder="1" applyAlignment="1">
      <alignment horizontal="center" vertical="center"/>
    </xf>
    <xf numFmtId="1" fontId="4" fillId="12" borderId="1" xfId="1" applyNumberFormat="1" applyFont="1" applyFill="1" applyBorder="1" applyAlignment="1">
      <alignment horizontal="center" vertical="center"/>
    </xf>
    <xf numFmtId="1" fontId="4" fillId="12" borderId="5" xfId="2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1" fontId="4" fillId="0" borderId="5" xfId="2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" fontId="4" fillId="0" borderId="1" xfId="1" quotePrefix="1" applyNumberFormat="1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9" fontId="9" fillId="0" borderId="2" xfId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10" fillId="16" borderId="1" xfId="0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9" fontId="4" fillId="0" borderId="7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9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7" fillId="0" borderId="1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13" borderId="12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4" fillId="13" borderId="7" xfId="0" applyFont="1" applyFill="1" applyBorder="1" applyAlignment="1">
      <alignment vertical="center" wrapText="1"/>
    </xf>
    <xf numFmtId="9" fontId="7" fillId="0" borderId="3" xfId="0" applyNumberFormat="1" applyFont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16" fontId="4" fillId="0" borderId="1" xfId="0" quotePrefix="1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" fontId="4" fillId="12" borderId="3" xfId="2" applyNumberFormat="1" applyFont="1" applyFill="1" applyBorder="1" applyAlignment="1">
      <alignment horizontal="center" vertical="center"/>
    </xf>
    <xf numFmtId="1" fontId="4" fillId="12" borderId="12" xfId="2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9" fontId="4" fillId="12" borderId="1" xfId="0" applyNumberFormat="1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11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9" fontId="7" fillId="0" borderId="26" xfId="0" applyNumberFormat="1" applyFont="1" applyBorder="1" applyAlignment="1">
      <alignment horizontal="center" vertical="center"/>
    </xf>
    <xf numFmtId="9" fontId="7" fillId="0" borderId="27" xfId="0" applyNumberFormat="1" applyFont="1" applyBorder="1" applyAlignment="1">
      <alignment horizontal="center" vertical="center"/>
    </xf>
    <xf numFmtId="9" fontId="7" fillId="0" borderId="24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2" fontId="4" fillId="12" borderId="1" xfId="0" quotePrefix="1" applyNumberFormat="1" applyFont="1" applyFill="1" applyBorder="1" applyAlignment="1">
      <alignment horizontal="center" vertical="center"/>
    </xf>
    <xf numFmtId="1" fontId="4" fillId="12" borderId="1" xfId="0" quotePrefix="1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9" fontId="7" fillId="0" borderId="28" xfId="0" applyNumberFormat="1" applyFont="1" applyBorder="1" applyAlignment="1">
      <alignment horizontal="center" vertical="center"/>
    </xf>
    <xf numFmtId="9" fontId="7" fillId="0" borderId="29" xfId="0" applyNumberFormat="1" applyFont="1" applyBorder="1" applyAlignment="1">
      <alignment horizontal="center" vertical="center"/>
    </xf>
    <xf numFmtId="9" fontId="7" fillId="0" borderId="2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9" fontId="9" fillId="0" borderId="5" xfId="0" applyNumberFormat="1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" fontId="4" fillId="0" borderId="3" xfId="2" applyNumberFormat="1" applyFont="1" applyFill="1" applyBorder="1" applyAlignment="1">
      <alignment horizontal="center" vertical="center"/>
    </xf>
    <xf numFmtId="1" fontId="4" fillId="0" borderId="12" xfId="2" applyNumberFormat="1" applyFont="1" applyFill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/>
    </xf>
    <xf numFmtId="9" fontId="4" fillId="0" borderId="3" xfId="1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0" fontId="4" fillId="14" borderId="5" xfId="0" applyFont="1" applyFill="1" applyBorder="1" applyAlignment="1">
      <alignment horizontal="left" vertical="center" wrapText="1"/>
    </xf>
    <xf numFmtId="0" fontId="4" fillId="14" borderId="7" xfId="0" applyFont="1" applyFill="1" applyBorder="1" applyAlignment="1">
      <alignment horizontal="left" vertical="center" wrapText="1"/>
    </xf>
    <xf numFmtId="0" fontId="9" fillId="14" borderId="5" xfId="0" applyFont="1" applyFill="1" applyBorder="1" applyAlignment="1">
      <alignment horizontal="left" vertical="center" wrapText="1"/>
    </xf>
    <xf numFmtId="0" fontId="9" fillId="14" borderId="18" xfId="0" applyFont="1" applyFill="1" applyBorder="1" applyAlignment="1">
      <alignment horizontal="left" vertical="center" wrapText="1"/>
    </xf>
    <xf numFmtId="0" fontId="9" fillId="14" borderId="6" xfId="0" applyFont="1" applyFill="1" applyBorder="1" applyAlignment="1">
      <alignment horizontal="left" vertical="center" wrapText="1"/>
    </xf>
    <xf numFmtId="9" fontId="9" fillId="0" borderId="33" xfId="0" applyNumberFormat="1" applyFont="1" applyBorder="1" applyAlignment="1">
      <alignment horizontal="center" vertical="center"/>
    </xf>
    <xf numFmtId="9" fontId="9" fillId="0" borderId="27" xfId="0" applyNumberFormat="1" applyFont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 wrapText="1" indent="4"/>
    </xf>
    <xf numFmtId="0" fontId="15" fillId="0" borderId="1" xfId="0" applyFont="1" applyBorder="1" applyAlignment="1">
      <alignment horizontal="left" vertical="center" wrapText="1" indent="4"/>
    </xf>
    <xf numFmtId="0" fontId="4" fillId="14" borderId="2" xfId="0" applyFont="1" applyFill="1" applyBorder="1" applyAlignment="1">
      <alignment vertical="center" wrapText="1"/>
    </xf>
    <xf numFmtId="0" fontId="4" fillId="14" borderId="15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4" fillId="14" borderId="12" xfId="0" applyFont="1" applyFill="1" applyBorder="1" applyAlignment="1">
      <alignment vertical="center" wrapText="1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7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9" fillId="15" borderId="6" xfId="0" applyFont="1" applyFill="1" applyBorder="1" applyAlignment="1">
      <alignment horizontal="left" vertical="center" wrapText="1"/>
    </xf>
    <xf numFmtId="0" fontId="9" fillId="15" borderId="18" xfId="0" applyFont="1" applyFill="1" applyBorder="1" applyAlignment="1">
      <alignment horizontal="left" vertical="center" wrapText="1"/>
    </xf>
    <xf numFmtId="0" fontId="9" fillId="15" borderId="5" xfId="0" applyFont="1" applyFill="1" applyBorder="1" applyAlignment="1">
      <alignment horizontal="left" vertical="center" wrapText="1"/>
    </xf>
    <xf numFmtId="9" fontId="18" fillId="16" borderId="33" xfId="0" applyNumberFormat="1" applyFont="1" applyFill="1" applyBorder="1" applyAlignment="1">
      <alignment horizontal="center" vertical="center"/>
    </xf>
    <xf numFmtId="9" fontId="18" fillId="16" borderId="27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15" borderId="15" xfId="0" applyFont="1" applyFill="1" applyBorder="1" applyAlignment="1">
      <alignment vertical="center" wrapText="1"/>
    </xf>
    <xf numFmtId="0" fontId="4" fillId="15" borderId="12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/>
    </xf>
    <xf numFmtId="0" fontId="4" fillId="15" borderId="5" xfId="0" applyFont="1" applyFill="1" applyBorder="1" applyAlignment="1">
      <alignment vertical="center" wrapText="1"/>
    </xf>
    <xf numFmtId="0" fontId="4" fillId="15" borderId="7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</cellXfs>
  <cellStyles count="3">
    <cellStyle name="Normal" xfId="0" builtinId="0"/>
    <cellStyle name="ParaBirimi" xfId="2" builtinId="4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8"/>
  <sheetViews>
    <sheetView zoomScale="130" zoomScaleNormal="130" workbookViewId="0">
      <selection activeCell="J12" sqref="J12"/>
    </sheetView>
  </sheetViews>
  <sheetFormatPr defaultColWidth="8.88671875" defaultRowHeight="13.8" x14ac:dyDescent="0.3"/>
  <cols>
    <col min="1" max="2" width="6.33203125" style="1" customWidth="1"/>
    <col min="3" max="3" width="28.6640625" style="1" customWidth="1"/>
    <col min="4" max="4" width="5.109375" style="1" customWidth="1"/>
    <col min="5" max="5" width="5.44140625" style="1" customWidth="1"/>
    <col min="6" max="6" width="6.33203125" style="1" customWidth="1"/>
    <col min="7" max="7" width="5.6640625" style="1" customWidth="1"/>
    <col min="8" max="8" width="6" style="1" customWidth="1"/>
    <col min="9" max="9" width="6.88671875" style="1" customWidth="1"/>
    <col min="10" max="10" width="6.5546875" style="2" customWidth="1"/>
    <col min="11" max="17" width="8" style="2" customWidth="1"/>
    <col min="18" max="18" width="8.88671875" style="1"/>
    <col min="19" max="23" width="16.6640625" style="1" customWidth="1"/>
    <col min="24" max="16384" width="8.88671875" style="1"/>
  </cols>
  <sheetData>
    <row r="1" spans="1:23" ht="31.9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ht="18.600000000000001" customHeight="1" x14ac:dyDescent="0.3">
      <c r="A2" s="110" t="s">
        <v>1</v>
      </c>
      <c r="B2" s="110"/>
      <c r="C2" s="113">
        <v>44301</v>
      </c>
      <c r="D2" s="114"/>
      <c r="E2" s="5" t="s">
        <v>2</v>
      </c>
      <c r="F2" s="5"/>
      <c r="G2" s="113">
        <v>43862</v>
      </c>
      <c r="H2" s="114"/>
      <c r="I2" s="114"/>
      <c r="J2" s="114"/>
      <c r="K2" s="114"/>
      <c r="L2" s="114"/>
      <c r="M2" s="114"/>
      <c r="N2" s="114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ht="15" customHeight="1" x14ac:dyDescent="0.3">
      <c r="A4" s="111" t="s">
        <v>6</v>
      </c>
      <c r="B4" s="111"/>
      <c r="C4" s="123" t="s">
        <v>7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8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s="4" customFormat="1" ht="5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s="4" customFormat="1" ht="16.5" customHeight="1" x14ac:dyDescent="0.3">
      <c r="A7" s="77" t="s">
        <v>31</v>
      </c>
      <c r="B7" s="77" t="s">
        <v>32</v>
      </c>
      <c r="C7" s="82" t="s">
        <v>33</v>
      </c>
      <c r="D7" s="83" t="s">
        <v>34</v>
      </c>
      <c r="E7" s="81" t="s">
        <v>35</v>
      </c>
      <c r="F7" s="83">
        <v>0.1</v>
      </c>
      <c r="G7" s="81" t="s">
        <v>36</v>
      </c>
      <c r="H7" s="81" t="s">
        <v>37</v>
      </c>
      <c r="I7" s="81"/>
      <c r="J7" s="23" t="s">
        <v>38</v>
      </c>
      <c r="K7" s="17">
        <f>(6*50000+20)/3</f>
        <v>100006.66666666667</v>
      </c>
      <c r="L7" s="10"/>
      <c r="M7" s="10"/>
      <c r="N7" s="10"/>
      <c r="O7" s="10"/>
      <c r="P7" s="81"/>
      <c r="Q7" s="84">
        <f>+P7*F7</f>
        <v>0</v>
      </c>
      <c r="R7" s="85">
        <f>+(5*F7)-Q7</f>
        <v>0.5</v>
      </c>
      <c r="S7" s="86">
        <v>-399000</v>
      </c>
      <c r="T7" s="81" t="s">
        <v>39</v>
      </c>
      <c r="U7" s="79" t="s">
        <v>40</v>
      </c>
      <c r="V7" s="81" t="s">
        <v>41</v>
      </c>
      <c r="W7" s="81" t="s">
        <v>42</v>
      </c>
    </row>
    <row r="8" spans="1:23" s="4" customFormat="1" ht="16.5" customHeight="1" x14ac:dyDescent="0.3">
      <c r="A8" s="78"/>
      <c r="B8" s="78"/>
      <c r="C8" s="82"/>
      <c r="D8" s="81"/>
      <c r="E8" s="81"/>
      <c r="F8" s="83"/>
      <c r="G8" s="81"/>
      <c r="H8" s="81"/>
      <c r="I8" s="81"/>
      <c r="J8" s="23" t="s">
        <v>43</v>
      </c>
      <c r="K8" s="17">
        <f>+O8/4</f>
        <v>118750</v>
      </c>
      <c r="L8" s="17">
        <v>118750</v>
      </c>
      <c r="M8" s="17">
        <v>118750</v>
      </c>
      <c r="N8" s="17">
        <v>118750</v>
      </c>
      <c r="O8" s="17">
        <v>475000</v>
      </c>
      <c r="P8" s="81"/>
      <c r="Q8" s="84"/>
      <c r="R8" s="85"/>
      <c r="S8" s="81"/>
      <c r="T8" s="81"/>
      <c r="U8" s="80"/>
      <c r="V8" s="81"/>
      <c r="W8" s="81"/>
    </row>
    <row r="9" spans="1:23" s="4" customFormat="1" ht="16.5" customHeight="1" x14ac:dyDescent="0.3">
      <c r="A9" s="78"/>
      <c r="B9" s="78"/>
      <c r="C9" s="82" t="s">
        <v>44</v>
      </c>
      <c r="D9" s="83" t="s">
        <v>34</v>
      </c>
      <c r="E9" s="81" t="s">
        <v>35</v>
      </c>
      <c r="F9" s="83">
        <v>0.1</v>
      </c>
      <c r="G9" s="81" t="s">
        <v>36</v>
      </c>
      <c r="H9" s="81" t="s">
        <v>37</v>
      </c>
      <c r="I9" s="81"/>
      <c r="J9" s="23" t="s">
        <v>38</v>
      </c>
      <c r="K9" s="17">
        <f>(6*50000+20000)/3*2</f>
        <v>213333.33333333334</v>
      </c>
      <c r="L9" s="17"/>
      <c r="M9" s="17"/>
      <c r="N9" s="17"/>
      <c r="O9" s="10"/>
      <c r="P9" s="81"/>
      <c r="Q9" s="84">
        <f>+P9*F9</f>
        <v>0</v>
      </c>
      <c r="R9" s="85">
        <f>+(5*F9)-Q9</f>
        <v>0.5</v>
      </c>
      <c r="S9" s="86">
        <v>-799000</v>
      </c>
      <c r="T9" s="81" t="s">
        <v>45</v>
      </c>
      <c r="U9" s="79" t="s">
        <v>46</v>
      </c>
      <c r="V9" s="81" t="s">
        <v>47</v>
      </c>
      <c r="W9" s="81" t="s">
        <v>48</v>
      </c>
    </row>
    <row r="10" spans="1:23" s="4" customFormat="1" ht="16.5" customHeight="1" x14ac:dyDescent="0.3">
      <c r="A10" s="78"/>
      <c r="B10" s="78"/>
      <c r="C10" s="82"/>
      <c r="D10" s="81"/>
      <c r="E10" s="81"/>
      <c r="F10" s="83"/>
      <c r="G10" s="81"/>
      <c r="H10" s="81"/>
      <c r="I10" s="81"/>
      <c r="J10" s="23" t="s">
        <v>43</v>
      </c>
      <c r="K10" s="17">
        <f>+O10/4</f>
        <v>237500</v>
      </c>
      <c r="L10" s="17">
        <v>237500</v>
      </c>
      <c r="M10" s="17">
        <v>237500</v>
      </c>
      <c r="N10" s="17">
        <v>237500</v>
      </c>
      <c r="O10" s="17">
        <v>950000</v>
      </c>
      <c r="P10" s="81"/>
      <c r="Q10" s="84"/>
      <c r="R10" s="85"/>
      <c r="S10" s="81"/>
      <c r="T10" s="81"/>
      <c r="U10" s="80"/>
      <c r="V10" s="81"/>
      <c r="W10" s="81"/>
    </row>
    <row r="11" spans="1:23" s="4" customFormat="1" ht="16.5" customHeight="1" x14ac:dyDescent="0.3">
      <c r="A11" s="78"/>
      <c r="B11" s="78"/>
      <c r="C11" s="82" t="s">
        <v>49</v>
      </c>
      <c r="D11" s="83" t="s">
        <v>34</v>
      </c>
      <c r="E11" s="81" t="s">
        <v>35</v>
      </c>
      <c r="F11" s="83">
        <v>0.05</v>
      </c>
      <c r="G11" s="81" t="s">
        <v>36</v>
      </c>
      <c r="H11" s="81" t="s">
        <v>50</v>
      </c>
      <c r="I11" s="81"/>
      <c r="J11" s="23" t="s">
        <v>38</v>
      </c>
      <c r="K11" s="17"/>
      <c r="L11" s="17"/>
      <c r="M11" s="17"/>
      <c r="N11" s="17"/>
      <c r="O11" s="17"/>
      <c r="P11" s="81"/>
      <c r="Q11" s="84">
        <f>+P11*F11</f>
        <v>0</v>
      </c>
      <c r="R11" s="85">
        <f>+(5*F11)-Q11</f>
        <v>0.25</v>
      </c>
      <c r="S11" s="86">
        <v>-5999</v>
      </c>
      <c r="T11" s="81" t="s">
        <v>51</v>
      </c>
      <c r="U11" s="79" t="s">
        <v>52</v>
      </c>
      <c r="V11" s="81" t="s">
        <v>53</v>
      </c>
      <c r="W11" s="81" t="s">
        <v>54</v>
      </c>
    </row>
    <row r="12" spans="1:23" s="4" customFormat="1" ht="16.5" customHeight="1" x14ac:dyDescent="0.3">
      <c r="A12" s="78"/>
      <c r="B12" s="78"/>
      <c r="C12" s="82"/>
      <c r="D12" s="81"/>
      <c r="E12" s="81"/>
      <c r="F12" s="83"/>
      <c r="G12" s="81"/>
      <c r="H12" s="81"/>
      <c r="I12" s="81"/>
      <c r="J12" s="23" t="s">
        <v>43</v>
      </c>
      <c r="K12" s="17"/>
      <c r="L12" s="17"/>
      <c r="M12" s="17"/>
      <c r="N12" s="17"/>
      <c r="O12" s="17">
        <v>7500</v>
      </c>
      <c r="P12" s="81"/>
      <c r="Q12" s="84"/>
      <c r="R12" s="85"/>
      <c r="S12" s="81"/>
      <c r="T12" s="81"/>
      <c r="U12" s="80"/>
      <c r="V12" s="81"/>
      <c r="W12" s="81"/>
    </row>
    <row r="13" spans="1:23" s="20" customFormat="1" ht="13.5" customHeight="1" x14ac:dyDescent="0.3">
      <c r="A13" s="78"/>
      <c r="B13" s="77" t="s">
        <v>55</v>
      </c>
      <c r="C13" s="120" t="s">
        <v>56</v>
      </c>
      <c r="D13" s="122" t="s">
        <v>34</v>
      </c>
      <c r="E13" s="79" t="s">
        <v>57</v>
      </c>
      <c r="F13" s="122">
        <v>0.05</v>
      </c>
      <c r="G13" s="79" t="s">
        <v>58</v>
      </c>
      <c r="H13" s="79" t="s">
        <v>59</v>
      </c>
      <c r="I13" s="79"/>
      <c r="J13" s="23" t="s">
        <v>38</v>
      </c>
      <c r="K13" s="14"/>
      <c r="L13" s="14"/>
      <c r="M13" s="14"/>
      <c r="N13" s="14"/>
      <c r="O13" s="14"/>
      <c r="P13" s="79"/>
      <c r="Q13" s="126">
        <f>+P13*F13</f>
        <v>0</v>
      </c>
      <c r="R13" s="21"/>
      <c r="S13" s="83">
        <v>-0.79</v>
      </c>
      <c r="T13" s="132" t="s">
        <v>60</v>
      </c>
      <c r="U13" s="132" t="s">
        <v>61</v>
      </c>
      <c r="V13" s="132" t="s">
        <v>62</v>
      </c>
      <c r="W13" s="132" t="s">
        <v>62</v>
      </c>
    </row>
    <row r="14" spans="1:23" s="20" customFormat="1" ht="13.5" customHeight="1" x14ac:dyDescent="0.3">
      <c r="A14" s="78"/>
      <c r="B14" s="78"/>
      <c r="C14" s="121"/>
      <c r="D14" s="101"/>
      <c r="E14" s="80"/>
      <c r="F14" s="101"/>
      <c r="G14" s="80"/>
      <c r="H14" s="80"/>
      <c r="I14" s="80"/>
      <c r="J14" s="23" t="s">
        <v>43</v>
      </c>
      <c r="K14" s="25">
        <v>0.95</v>
      </c>
      <c r="L14" s="25">
        <v>0.95</v>
      </c>
      <c r="M14" s="25">
        <v>0.95</v>
      </c>
      <c r="N14" s="25">
        <v>0.95</v>
      </c>
      <c r="O14" s="25">
        <v>0.95</v>
      </c>
      <c r="P14" s="80"/>
      <c r="Q14" s="117"/>
      <c r="R14" s="21"/>
      <c r="S14" s="83"/>
      <c r="T14" s="132"/>
      <c r="U14" s="132"/>
      <c r="V14" s="132"/>
      <c r="W14" s="132"/>
    </row>
    <row r="15" spans="1:23" s="3" customFormat="1" ht="18" customHeight="1" x14ac:dyDescent="0.3">
      <c r="A15" s="78"/>
      <c r="B15" s="78"/>
      <c r="C15" s="120" t="s">
        <v>63</v>
      </c>
      <c r="D15" s="122" t="s">
        <v>34</v>
      </c>
      <c r="E15" s="79" t="s">
        <v>57</v>
      </c>
      <c r="F15" s="122">
        <v>0.05</v>
      </c>
      <c r="G15" s="79" t="s">
        <v>64</v>
      </c>
      <c r="H15" s="79" t="s">
        <v>37</v>
      </c>
      <c r="I15" s="79"/>
      <c r="J15" s="23" t="s">
        <v>38</v>
      </c>
      <c r="K15" s="18">
        <v>7</v>
      </c>
      <c r="L15" s="18"/>
      <c r="M15" s="18"/>
      <c r="N15" s="18"/>
      <c r="O15" s="19"/>
      <c r="P15" s="79"/>
      <c r="Q15" s="126">
        <f>+P15*F15</f>
        <v>0</v>
      </c>
      <c r="R15" s="129">
        <f>+(5*F15)-Q15</f>
        <v>0.25</v>
      </c>
      <c r="S15" s="79" t="s">
        <v>65</v>
      </c>
      <c r="T15" s="79" t="s">
        <v>66</v>
      </c>
      <c r="U15" s="79" t="s">
        <v>67</v>
      </c>
      <c r="V15" s="79" t="s">
        <v>68</v>
      </c>
      <c r="W15" s="79" t="s">
        <v>69</v>
      </c>
    </row>
    <row r="16" spans="1:23" s="3" customFormat="1" ht="18" customHeight="1" x14ac:dyDescent="0.3">
      <c r="A16" s="78"/>
      <c r="B16" s="78"/>
      <c r="C16" s="121"/>
      <c r="D16" s="101"/>
      <c r="E16" s="80"/>
      <c r="F16" s="101"/>
      <c r="G16" s="80"/>
      <c r="H16" s="80"/>
      <c r="I16" s="80"/>
      <c r="J16" s="23" t="s">
        <v>43</v>
      </c>
      <c r="K16" s="18">
        <v>8</v>
      </c>
      <c r="L16" s="18">
        <v>10</v>
      </c>
      <c r="M16" s="18">
        <v>6</v>
      </c>
      <c r="N16" s="18">
        <v>8</v>
      </c>
      <c r="O16" s="19">
        <v>32</v>
      </c>
      <c r="P16" s="80"/>
      <c r="Q16" s="117"/>
      <c r="R16" s="129"/>
      <c r="S16" s="80"/>
      <c r="T16" s="80"/>
      <c r="U16" s="80"/>
      <c r="V16" s="80"/>
      <c r="W16" s="80"/>
    </row>
    <row r="17" spans="1:23" s="3" customFormat="1" ht="18" customHeight="1" x14ac:dyDescent="0.3">
      <c r="A17" s="78"/>
      <c r="B17" s="78"/>
      <c r="C17" s="120" t="s">
        <v>70</v>
      </c>
      <c r="D17" s="122" t="s">
        <v>34</v>
      </c>
      <c r="E17" s="79" t="s">
        <v>57</v>
      </c>
      <c r="F17" s="122">
        <v>0.08</v>
      </c>
      <c r="G17" s="79" t="s">
        <v>58</v>
      </c>
      <c r="H17" s="79" t="s">
        <v>37</v>
      </c>
      <c r="I17" s="79"/>
      <c r="J17" s="23" t="s">
        <v>38</v>
      </c>
      <c r="K17" s="25">
        <f>7/8</f>
        <v>0.875</v>
      </c>
      <c r="L17" s="10"/>
      <c r="M17" s="10"/>
      <c r="N17" s="10"/>
      <c r="O17" s="10"/>
      <c r="P17" s="79"/>
      <c r="Q17" s="126">
        <f>+P17*F17</f>
        <v>0</v>
      </c>
      <c r="R17" s="129">
        <f>+(5*F17)-Q17</f>
        <v>0.4</v>
      </c>
      <c r="S17" s="130" t="s">
        <v>71</v>
      </c>
      <c r="T17" s="130" t="s">
        <v>72</v>
      </c>
      <c r="U17" s="130" t="s">
        <v>73</v>
      </c>
      <c r="V17" s="130" t="s">
        <v>74</v>
      </c>
      <c r="W17" s="130" t="s">
        <v>75</v>
      </c>
    </row>
    <row r="18" spans="1:23" s="3" customFormat="1" ht="18" customHeight="1" x14ac:dyDescent="0.3">
      <c r="A18" s="78"/>
      <c r="B18" s="127"/>
      <c r="C18" s="121"/>
      <c r="D18" s="101"/>
      <c r="E18" s="80"/>
      <c r="F18" s="101"/>
      <c r="G18" s="80"/>
      <c r="H18" s="80"/>
      <c r="I18" s="80"/>
      <c r="J18" s="23" t="s">
        <v>43</v>
      </c>
      <c r="K18" s="29">
        <v>0.65</v>
      </c>
      <c r="L18" s="29">
        <v>0.65</v>
      </c>
      <c r="M18" s="29">
        <v>0.65</v>
      </c>
      <c r="N18" s="29">
        <v>0.65</v>
      </c>
      <c r="O18" s="29">
        <v>0.65</v>
      </c>
      <c r="P18" s="80"/>
      <c r="Q18" s="117"/>
      <c r="R18" s="129"/>
      <c r="S18" s="131"/>
      <c r="T18" s="131"/>
      <c r="U18" s="131"/>
      <c r="V18" s="131"/>
      <c r="W18" s="131"/>
    </row>
    <row r="19" spans="1:23" s="3" customFormat="1" ht="18" customHeight="1" x14ac:dyDescent="0.3">
      <c r="A19" s="102" t="s">
        <v>76</v>
      </c>
      <c r="B19" s="106" t="s">
        <v>77</v>
      </c>
      <c r="C19" s="119" t="s">
        <v>78</v>
      </c>
      <c r="D19" s="118" t="s">
        <v>34</v>
      </c>
      <c r="E19" s="93" t="s">
        <v>79</v>
      </c>
      <c r="F19" s="118">
        <v>0.1</v>
      </c>
      <c r="G19" s="93" t="s">
        <v>58</v>
      </c>
      <c r="H19" s="93" t="s">
        <v>50</v>
      </c>
      <c r="I19" s="93"/>
      <c r="J19" s="27" t="s">
        <v>38</v>
      </c>
      <c r="K19" s="22"/>
      <c r="L19" s="26"/>
      <c r="M19" s="26"/>
      <c r="N19" s="26"/>
      <c r="O19" s="26"/>
      <c r="P19" s="88"/>
      <c r="Q19" s="89">
        <f>+P19*F19</f>
        <v>0</v>
      </c>
      <c r="R19" s="85">
        <f>+(5*F19)-Q19</f>
        <v>0.5</v>
      </c>
      <c r="S19" s="83">
        <v>-0.06</v>
      </c>
      <c r="T19" s="81" t="s">
        <v>80</v>
      </c>
      <c r="U19" s="79" t="s">
        <v>81</v>
      </c>
      <c r="V19" s="81" t="s">
        <v>82</v>
      </c>
      <c r="W19" s="81" t="s">
        <v>83</v>
      </c>
    </row>
    <row r="20" spans="1:23" s="3" customFormat="1" ht="18" customHeight="1" x14ac:dyDescent="0.3">
      <c r="A20" s="103"/>
      <c r="B20" s="106"/>
      <c r="C20" s="119"/>
      <c r="D20" s="93"/>
      <c r="E20" s="93"/>
      <c r="F20" s="118"/>
      <c r="G20" s="93"/>
      <c r="H20" s="93"/>
      <c r="I20" s="93"/>
      <c r="J20" s="27" t="s">
        <v>43</v>
      </c>
      <c r="K20" s="22"/>
      <c r="L20" s="22"/>
      <c r="M20" s="22"/>
      <c r="N20" s="22"/>
      <c r="O20" s="22">
        <v>0.15</v>
      </c>
      <c r="P20" s="88"/>
      <c r="Q20" s="89"/>
      <c r="R20" s="85"/>
      <c r="S20" s="81"/>
      <c r="T20" s="81"/>
      <c r="U20" s="80"/>
      <c r="V20" s="81"/>
      <c r="W20" s="81"/>
    </row>
    <row r="21" spans="1:23" s="3" customFormat="1" ht="18" customHeight="1" x14ac:dyDescent="0.3">
      <c r="A21" s="103"/>
      <c r="B21" s="106"/>
      <c r="C21" s="119" t="s">
        <v>84</v>
      </c>
      <c r="D21" s="118" t="s">
        <v>34</v>
      </c>
      <c r="E21" s="93" t="s">
        <v>79</v>
      </c>
      <c r="F21" s="118">
        <v>0.1</v>
      </c>
      <c r="G21" s="93" t="s">
        <v>58</v>
      </c>
      <c r="H21" s="93" t="s">
        <v>50</v>
      </c>
      <c r="I21" s="93"/>
      <c r="J21" s="27" t="s">
        <v>38</v>
      </c>
      <c r="K21" s="27"/>
      <c r="L21" s="27"/>
      <c r="M21" s="27"/>
      <c r="N21" s="27"/>
      <c r="O21" s="27"/>
      <c r="P21" s="93"/>
      <c r="Q21" s="89">
        <f>+P21*F21</f>
        <v>0</v>
      </c>
      <c r="R21" s="85">
        <f>+(5*F21)-Q21</f>
        <v>0.5</v>
      </c>
      <c r="S21" s="83">
        <v>-0.06</v>
      </c>
      <c r="T21" s="81" t="s">
        <v>80</v>
      </c>
      <c r="U21" s="79" t="s">
        <v>81</v>
      </c>
      <c r="V21" s="81" t="s">
        <v>82</v>
      </c>
      <c r="W21" s="81" t="s">
        <v>83</v>
      </c>
    </row>
    <row r="22" spans="1:23" s="3" customFormat="1" ht="18" customHeight="1" x14ac:dyDescent="0.3">
      <c r="A22" s="103"/>
      <c r="B22" s="106"/>
      <c r="C22" s="119"/>
      <c r="D22" s="93"/>
      <c r="E22" s="93"/>
      <c r="F22" s="118"/>
      <c r="G22" s="93"/>
      <c r="H22" s="93"/>
      <c r="I22" s="93"/>
      <c r="J22" s="27" t="s">
        <v>43</v>
      </c>
      <c r="K22" s="22"/>
      <c r="L22" s="22"/>
      <c r="M22" s="22"/>
      <c r="N22" s="22"/>
      <c r="O22" s="22">
        <v>0.15</v>
      </c>
      <c r="P22" s="93"/>
      <c r="Q22" s="89"/>
      <c r="R22" s="85"/>
      <c r="S22" s="81"/>
      <c r="T22" s="81"/>
      <c r="U22" s="80"/>
      <c r="V22" s="81"/>
      <c r="W22" s="81"/>
    </row>
    <row r="23" spans="1:23" s="3" customFormat="1" ht="18" customHeight="1" x14ac:dyDescent="0.3">
      <c r="A23" s="104"/>
      <c r="B23" s="133" t="s">
        <v>85</v>
      </c>
      <c r="C23" s="115" t="s">
        <v>86</v>
      </c>
      <c r="D23" s="101" t="s">
        <v>34</v>
      </c>
      <c r="E23" s="80" t="s">
        <v>35</v>
      </c>
      <c r="F23" s="101">
        <v>0.04</v>
      </c>
      <c r="G23" s="80" t="s">
        <v>64</v>
      </c>
      <c r="H23" s="80" t="s">
        <v>59</v>
      </c>
      <c r="I23" s="80"/>
      <c r="J23" s="30" t="s">
        <v>38</v>
      </c>
      <c r="K23" s="30">
        <v>16</v>
      </c>
      <c r="L23" s="30"/>
      <c r="M23" s="30"/>
      <c r="N23" s="30"/>
      <c r="O23" s="30"/>
      <c r="P23" s="80"/>
      <c r="Q23" s="117">
        <f>+P23*F23</f>
        <v>0</v>
      </c>
      <c r="R23" s="85">
        <f>+(5*F23)-Q23</f>
        <v>0.2</v>
      </c>
      <c r="S23" s="81">
        <v>-39</v>
      </c>
      <c r="T23" s="81" t="s">
        <v>87</v>
      </c>
      <c r="U23" s="81" t="s">
        <v>88</v>
      </c>
      <c r="V23" s="81" t="s">
        <v>89</v>
      </c>
      <c r="W23" s="81" t="s">
        <v>90</v>
      </c>
    </row>
    <row r="24" spans="1:23" s="3" customFormat="1" ht="18" customHeight="1" x14ac:dyDescent="0.3">
      <c r="A24" s="104"/>
      <c r="B24" s="107"/>
      <c r="C24" s="116"/>
      <c r="D24" s="81"/>
      <c r="E24" s="81"/>
      <c r="F24" s="83"/>
      <c r="G24" s="81"/>
      <c r="H24" s="81"/>
      <c r="I24" s="81"/>
      <c r="J24" s="23" t="s">
        <v>43</v>
      </c>
      <c r="K24" s="23">
        <v>14</v>
      </c>
      <c r="L24" s="23">
        <v>14</v>
      </c>
      <c r="M24" s="23">
        <v>17</v>
      </c>
      <c r="N24" s="23">
        <v>10</v>
      </c>
      <c r="O24" s="23">
        <v>55</v>
      </c>
      <c r="P24" s="81"/>
      <c r="Q24" s="84"/>
      <c r="R24" s="85"/>
      <c r="S24" s="81"/>
      <c r="T24" s="81"/>
      <c r="U24" s="81"/>
      <c r="V24" s="81"/>
      <c r="W24" s="81"/>
    </row>
    <row r="25" spans="1:23" s="3" customFormat="1" ht="18" customHeight="1" x14ac:dyDescent="0.3">
      <c r="A25" s="104"/>
      <c r="B25" s="107"/>
      <c r="C25" s="116" t="s">
        <v>91</v>
      </c>
      <c r="D25" s="83" t="s">
        <v>34</v>
      </c>
      <c r="E25" s="81" t="s">
        <v>35</v>
      </c>
      <c r="F25" s="83">
        <v>0.04</v>
      </c>
      <c r="G25" s="81" t="s">
        <v>64</v>
      </c>
      <c r="H25" s="81" t="s">
        <v>59</v>
      </c>
      <c r="I25" s="81"/>
      <c r="J25" s="23" t="s">
        <v>38</v>
      </c>
      <c r="K25" s="23">
        <v>18</v>
      </c>
      <c r="L25" s="23"/>
      <c r="M25" s="23"/>
      <c r="N25" s="23"/>
      <c r="O25" s="10"/>
      <c r="P25" s="81"/>
      <c r="Q25" s="84">
        <f>+P25*F25</f>
        <v>0</v>
      </c>
      <c r="R25" s="85">
        <f>+(5*F25)-Q25</f>
        <v>0.2</v>
      </c>
      <c r="S25" s="81">
        <v>-39</v>
      </c>
      <c r="T25" s="81" t="s">
        <v>87</v>
      </c>
      <c r="U25" s="81" t="s">
        <v>88</v>
      </c>
      <c r="V25" s="81" t="s">
        <v>89</v>
      </c>
      <c r="W25" s="81" t="s">
        <v>90</v>
      </c>
    </row>
    <row r="26" spans="1:23" s="3" customFormat="1" ht="18" customHeight="1" x14ac:dyDescent="0.3">
      <c r="A26" s="104"/>
      <c r="B26" s="108"/>
      <c r="C26" s="116"/>
      <c r="D26" s="81"/>
      <c r="E26" s="81"/>
      <c r="F26" s="83"/>
      <c r="G26" s="81"/>
      <c r="H26" s="81"/>
      <c r="I26" s="81"/>
      <c r="J26" s="23" t="s">
        <v>43</v>
      </c>
      <c r="K26" s="23">
        <v>14</v>
      </c>
      <c r="L26" s="23">
        <v>14</v>
      </c>
      <c r="M26" s="23">
        <v>17</v>
      </c>
      <c r="N26" s="23">
        <v>10</v>
      </c>
      <c r="O26" s="23">
        <v>55</v>
      </c>
      <c r="P26" s="81"/>
      <c r="Q26" s="84"/>
      <c r="R26" s="85"/>
      <c r="S26" s="81"/>
      <c r="T26" s="81"/>
      <c r="U26" s="81"/>
      <c r="V26" s="81"/>
      <c r="W26" s="81"/>
    </row>
    <row r="27" spans="1:23" s="3" customFormat="1" ht="18" customHeight="1" x14ac:dyDescent="0.3">
      <c r="A27" s="104"/>
      <c r="B27" s="107" t="s">
        <v>92</v>
      </c>
      <c r="C27" s="116" t="s">
        <v>93</v>
      </c>
      <c r="D27" s="83" t="s">
        <v>34</v>
      </c>
      <c r="E27" s="81" t="s">
        <v>35</v>
      </c>
      <c r="F27" s="83">
        <v>0.06</v>
      </c>
      <c r="G27" s="81" t="s">
        <v>64</v>
      </c>
      <c r="H27" s="81" t="s">
        <v>59</v>
      </c>
      <c r="I27" s="81"/>
      <c r="J27" s="23" t="s">
        <v>38</v>
      </c>
      <c r="K27" s="23">
        <v>5</v>
      </c>
      <c r="L27" s="23"/>
      <c r="M27" s="23"/>
      <c r="N27" s="23"/>
      <c r="O27" s="10"/>
      <c r="P27" s="81"/>
      <c r="Q27" s="84">
        <f>+P27*F27</f>
        <v>0</v>
      </c>
      <c r="R27" s="85">
        <f>+(5*F27)-Q27</f>
        <v>0.3</v>
      </c>
      <c r="S27" s="97" t="s">
        <v>94</v>
      </c>
      <c r="T27" s="97" t="s">
        <v>95</v>
      </c>
      <c r="U27" s="97" t="s">
        <v>96</v>
      </c>
      <c r="V27" s="97" t="s">
        <v>97</v>
      </c>
      <c r="W27" s="90" t="s">
        <v>98</v>
      </c>
    </row>
    <row r="28" spans="1:23" s="3" customFormat="1" ht="18" customHeight="1" x14ac:dyDescent="0.3">
      <c r="A28" s="104"/>
      <c r="B28" s="107"/>
      <c r="C28" s="116"/>
      <c r="D28" s="81"/>
      <c r="E28" s="81"/>
      <c r="F28" s="83"/>
      <c r="G28" s="81"/>
      <c r="H28" s="81"/>
      <c r="I28" s="81"/>
      <c r="J28" s="23" t="s">
        <v>43</v>
      </c>
      <c r="K28" s="23">
        <v>3</v>
      </c>
      <c r="L28" s="23">
        <v>1</v>
      </c>
      <c r="M28" s="23">
        <v>2</v>
      </c>
      <c r="N28" s="23">
        <v>2</v>
      </c>
      <c r="O28" s="23">
        <v>8</v>
      </c>
      <c r="P28" s="81"/>
      <c r="Q28" s="84"/>
      <c r="R28" s="85"/>
      <c r="S28" s="98"/>
      <c r="T28" s="98"/>
      <c r="U28" s="98"/>
      <c r="V28" s="98"/>
      <c r="W28" s="90"/>
    </row>
    <row r="29" spans="1:23" s="3" customFormat="1" ht="18" customHeight="1" x14ac:dyDescent="0.3">
      <c r="A29" s="104"/>
      <c r="B29" s="107"/>
      <c r="C29" s="125" t="s">
        <v>99</v>
      </c>
      <c r="D29" s="96" t="s">
        <v>34</v>
      </c>
      <c r="E29" s="95" t="s">
        <v>35</v>
      </c>
      <c r="F29" s="96">
        <v>0.06</v>
      </c>
      <c r="G29" s="95" t="s">
        <v>64</v>
      </c>
      <c r="H29" s="95" t="s">
        <v>59</v>
      </c>
      <c r="I29" s="95"/>
      <c r="J29" s="28" t="s">
        <v>38</v>
      </c>
      <c r="K29" s="28">
        <v>170</v>
      </c>
      <c r="L29" s="28"/>
      <c r="M29" s="28"/>
      <c r="N29" s="28"/>
      <c r="O29" s="28"/>
      <c r="P29" s="95"/>
      <c r="Q29" s="94">
        <f>+P29*F29</f>
        <v>0</v>
      </c>
      <c r="R29" s="91">
        <f>+(5*F29)-Q29</f>
        <v>0.3</v>
      </c>
      <c r="S29" s="92" t="s">
        <v>100</v>
      </c>
      <c r="T29" s="92" t="s">
        <v>101</v>
      </c>
      <c r="U29" s="92" t="s">
        <v>102</v>
      </c>
      <c r="V29" s="92" t="s">
        <v>103</v>
      </c>
      <c r="W29" s="92" t="s">
        <v>104</v>
      </c>
    </row>
    <row r="30" spans="1:23" s="3" customFormat="1" ht="18" customHeight="1" x14ac:dyDescent="0.3">
      <c r="A30" s="104"/>
      <c r="B30" s="107"/>
      <c r="C30" s="125"/>
      <c r="D30" s="95"/>
      <c r="E30" s="95"/>
      <c r="F30" s="96"/>
      <c r="G30" s="95"/>
      <c r="H30" s="95"/>
      <c r="I30" s="95"/>
      <c r="J30" s="28" t="s">
        <v>43</v>
      </c>
      <c r="K30" s="28">
        <v>150</v>
      </c>
      <c r="L30" s="28">
        <v>50</v>
      </c>
      <c r="M30" s="28">
        <v>100</v>
      </c>
      <c r="N30" s="28">
        <v>100</v>
      </c>
      <c r="O30" s="28">
        <v>400</v>
      </c>
      <c r="P30" s="95"/>
      <c r="Q30" s="94"/>
      <c r="R30" s="91"/>
      <c r="S30" s="92"/>
      <c r="T30" s="92"/>
      <c r="U30" s="92"/>
      <c r="V30" s="92"/>
      <c r="W30" s="92"/>
    </row>
    <row r="31" spans="1:23" s="3" customFormat="1" ht="18" customHeight="1" x14ac:dyDescent="0.3">
      <c r="A31" s="104"/>
      <c r="B31" s="107"/>
      <c r="C31" s="116" t="s">
        <v>105</v>
      </c>
      <c r="D31" s="83" t="s">
        <v>34</v>
      </c>
      <c r="E31" s="81" t="s">
        <v>57</v>
      </c>
      <c r="F31" s="83">
        <v>0.08</v>
      </c>
      <c r="G31" s="81" t="s">
        <v>58</v>
      </c>
      <c r="H31" s="81" t="s">
        <v>106</v>
      </c>
      <c r="I31" s="81"/>
      <c r="J31" s="23" t="s">
        <v>38</v>
      </c>
      <c r="K31" s="29"/>
      <c r="L31" s="14"/>
      <c r="M31" s="14"/>
      <c r="N31" s="14"/>
      <c r="O31" s="14"/>
      <c r="P31" s="81"/>
      <c r="Q31" s="84">
        <f>+P31*F31</f>
        <v>0</v>
      </c>
      <c r="R31" s="85">
        <f>+(5*F31)-Q31</f>
        <v>0.4</v>
      </c>
      <c r="S31" s="83">
        <v>-0.79</v>
      </c>
      <c r="T31" s="132" t="s">
        <v>60</v>
      </c>
      <c r="U31" s="132" t="s">
        <v>61</v>
      </c>
      <c r="V31" s="132" t="s">
        <v>62</v>
      </c>
      <c r="W31" s="132" t="s">
        <v>62</v>
      </c>
    </row>
    <row r="32" spans="1:23" s="3" customFormat="1" ht="18" customHeight="1" x14ac:dyDescent="0.3">
      <c r="A32" s="105"/>
      <c r="B32" s="108"/>
      <c r="C32" s="116"/>
      <c r="D32" s="81"/>
      <c r="E32" s="81"/>
      <c r="F32" s="83"/>
      <c r="G32" s="81"/>
      <c r="H32" s="81"/>
      <c r="I32" s="81"/>
      <c r="J32" s="23" t="s">
        <v>43</v>
      </c>
      <c r="K32" s="29"/>
      <c r="L32" s="29">
        <v>0.95</v>
      </c>
      <c r="M32" s="29"/>
      <c r="N32" s="29">
        <v>0.95</v>
      </c>
      <c r="O32" s="29">
        <v>0.95</v>
      </c>
      <c r="P32" s="81"/>
      <c r="Q32" s="84"/>
      <c r="R32" s="85"/>
      <c r="S32" s="83"/>
      <c r="T32" s="132"/>
      <c r="U32" s="132"/>
      <c r="V32" s="132"/>
      <c r="W32" s="132"/>
    </row>
    <row r="33" spans="1:23" s="3" customFormat="1" ht="18" customHeight="1" x14ac:dyDescent="0.3">
      <c r="A33" s="127" t="s">
        <v>107</v>
      </c>
      <c r="B33" s="127" t="s">
        <v>108</v>
      </c>
      <c r="C33" s="82" t="s">
        <v>109</v>
      </c>
      <c r="D33" s="83" t="s">
        <v>110</v>
      </c>
      <c r="E33" s="81" t="s">
        <v>62</v>
      </c>
      <c r="F33" s="83" t="s">
        <v>62</v>
      </c>
      <c r="G33" s="81" t="s">
        <v>64</v>
      </c>
      <c r="H33" s="81" t="s">
        <v>62</v>
      </c>
      <c r="I33" s="81"/>
      <c r="J33" s="23" t="s">
        <v>38</v>
      </c>
      <c r="K33" s="23"/>
      <c r="L33" s="23"/>
      <c r="M33" s="23"/>
      <c r="N33" s="23"/>
      <c r="O33" s="23"/>
      <c r="P33" s="81" t="s">
        <v>62</v>
      </c>
      <c r="Q33" s="84" t="s">
        <v>62</v>
      </c>
      <c r="R33" s="85" t="e">
        <f>+(5*F33)-Q33</f>
        <v>#VALUE!</v>
      </c>
      <c r="S33" s="90" t="s">
        <v>62</v>
      </c>
      <c r="T33" s="90" t="s">
        <v>62</v>
      </c>
      <c r="U33" s="90" t="s">
        <v>62</v>
      </c>
      <c r="V33" s="90" t="s">
        <v>62</v>
      </c>
      <c r="W33" s="90" t="s">
        <v>62</v>
      </c>
    </row>
    <row r="34" spans="1:23" ht="18" customHeight="1" x14ac:dyDescent="0.3">
      <c r="A34" s="128"/>
      <c r="B34" s="128"/>
      <c r="C34" s="82"/>
      <c r="D34" s="81"/>
      <c r="E34" s="81"/>
      <c r="F34" s="83"/>
      <c r="G34" s="81"/>
      <c r="H34" s="81"/>
      <c r="I34" s="81"/>
      <c r="J34" s="23" t="s">
        <v>43</v>
      </c>
      <c r="K34" s="23"/>
      <c r="L34" s="23"/>
      <c r="M34" s="23"/>
      <c r="N34" s="23"/>
      <c r="O34" s="23"/>
      <c r="P34" s="81"/>
      <c r="Q34" s="84"/>
      <c r="R34" s="85"/>
      <c r="S34" s="90"/>
      <c r="T34" s="90"/>
      <c r="U34" s="90"/>
      <c r="V34" s="90"/>
      <c r="W34" s="90"/>
    </row>
    <row r="35" spans="1:23" s="3" customFormat="1" ht="18" customHeight="1" x14ac:dyDescent="0.3">
      <c r="A35" s="128"/>
      <c r="B35" s="128"/>
      <c r="C35" s="82" t="s">
        <v>111</v>
      </c>
      <c r="D35" s="83" t="s">
        <v>110</v>
      </c>
      <c r="E35" s="81" t="s">
        <v>62</v>
      </c>
      <c r="F35" s="83" t="s">
        <v>62</v>
      </c>
      <c r="G35" s="81" t="s">
        <v>64</v>
      </c>
      <c r="H35" s="81" t="s">
        <v>62</v>
      </c>
      <c r="I35" s="81"/>
      <c r="J35" s="23" t="s">
        <v>38</v>
      </c>
      <c r="K35" s="23"/>
      <c r="L35" s="23"/>
      <c r="M35" s="23"/>
      <c r="N35" s="23"/>
      <c r="O35" s="23"/>
      <c r="P35" s="81" t="s">
        <v>62</v>
      </c>
      <c r="Q35" s="84" t="s">
        <v>62</v>
      </c>
      <c r="R35" s="85" t="e">
        <f>+(5*F35)-Q35</f>
        <v>#VALUE!</v>
      </c>
      <c r="S35" s="90" t="s">
        <v>62</v>
      </c>
      <c r="T35" s="90" t="s">
        <v>62</v>
      </c>
      <c r="U35" s="90" t="s">
        <v>62</v>
      </c>
      <c r="V35" s="90" t="s">
        <v>62</v>
      </c>
      <c r="W35" s="90" t="s">
        <v>62</v>
      </c>
    </row>
    <row r="36" spans="1:23" s="3" customFormat="1" ht="18" customHeight="1" x14ac:dyDescent="0.3">
      <c r="A36" s="128"/>
      <c r="B36" s="128"/>
      <c r="C36" s="82"/>
      <c r="D36" s="81"/>
      <c r="E36" s="81"/>
      <c r="F36" s="83"/>
      <c r="G36" s="81"/>
      <c r="H36" s="81"/>
      <c r="I36" s="81"/>
      <c r="J36" s="23" t="s">
        <v>43</v>
      </c>
      <c r="K36" s="23"/>
      <c r="L36" s="23"/>
      <c r="M36" s="23"/>
      <c r="N36" s="23"/>
      <c r="O36" s="23"/>
      <c r="P36" s="81"/>
      <c r="Q36" s="84"/>
      <c r="R36" s="85"/>
      <c r="S36" s="90"/>
      <c r="T36" s="90"/>
      <c r="U36" s="90"/>
      <c r="V36" s="90"/>
      <c r="W36" s="90"/>
    </row>
    <row r="37" spans="1:23" s="3" customFormat="1" ht="18.600000000000001" customHeight="1" x14ac:dyDescent="0.3">
      <c r="A37" s="128"/>
      <c r="B37" s="128"/>
      <c r="C37" s="82" t="s">
        <v>112</v>
      </c>
      <c r="D37" s="83" t="s">
        <v>34</v>
      </c>
      <c r="E37" s="81" t="s">
        <v>35</v>
      </c>
      <c r="F37" s="83">
        <v>0.03</v>
      </c>
      <c r="G37" s="81" t="s">
        <v>64</v>
      </c>
      <c r="H37" s="81" t="s">
        <v>106</v>
      </c>
      <c r="I37" s="81"/>
      <c r="J37" s="23" t="s">
        <v>38</v>
      </c>
      <c r="K37" s="23"/>
      <c r="L37" s="23"/>
      <c r="M37" s="23"/>
      <c r="N37" s="23"/>
      <c r="O37" s="23"/>
      <c r="P37" s="81"/>
      <c r="Q37" s="84">
        <f>+P37*F37</f>
        <v>0</v>
      </c>
      <c r="R37" s="85">
        <f>+(5*F37)-Q37</f>
        <v>0.15</v>
      </c>
      <c r="S37" s="90" t="s">
        <v>62</v>
      </c>
      <c r="T37" s="90" t="s">
        <v>113</v>
      </c>
      <c r="U37" s="90" t="s">
        <v>114</v>
      </c>
      <c r="V37" s="90" t="s">
        <v>115</v>
      </c>
      <c r="W37" s="90" t="s">
        <v>116</v>
      </c>
    </row>
    <row r="38" spans="1:23" s="3" customFormat="1" ht="18.600000000000001" customHeight="1" x14ac:dyDescent="0.3">
      <c r="A38" s="128"/>
      <c r="B38" s="128"/>
      <c r="C38" s="82"/>
      <c r="D38" s="81"/>
      <c r="E38" s="81"/>
      <c r="F38" s="83"/>
      <c r="G38" s="81"/>
      <c r="H38" s="81"/>
      <c r="I38" s="81"/>
      <c r="J38" s="23" t="s">
        <v>43</v>
      </c>
      <c r="K38" s="23"/>
      <c r="L38" s="23">
        <v>1</v>
      </c>
      <c r="M38" s="23"/>
      <c r="N38" s="23">
        <v>2</v>
      </c>
      <c r="O38" s="23">
        <v>3</v>
      </c>
      <c r="P38" s="81"/>
      <c r="Q38" s="84"/>
      <c r="R38" s="85"/>
      <c r="S38" s="90"/>
      <c r="T38" s="90"/>
      <c r="U38" s="90"/>
      <c r="V38" s="90"/>
      <c r="W38" s="90"/>
    </row>
    <row r="39" spans="1:23" s="3" customFormat="1" ht="18.600000000000001" customHeight="1" x14ac:dyDescent="0.3">
      <c r="A39" s="128"/>
      <c r="B39" s="128"/>
      <c r="C39" s="82" t="s">
        <v>117</v>
      </c>
      <c r="D39" s="83" t="s">
        <v>34</v>
      </c>
      <c r="E39" s="81" t="s">
        <v>35</v>
      </c>
      <c r="F39" s="83">
        <v>0.02</v>
      </c>
      <c r="G39" s="81" t="s">
        <v>64</v>
      </c>
      <c r="H39" s="81" t="s">
        <v>106</v>
      </c>
      <c r="I39" s="81"/>
      <c r="J39" s="23" t="s">
        <v>38</v>
      </c>
      <c r="K39" s="23"/>
      <c r="L39" s="23"/>
      <c r="M39" s="23"/>
      <c r="N39" s="23"/>
      <c r="O39" s="23"/>
      <c r="P39" s="81"/>
      <c r="Q39" s="84">
        <f>+P39*F39</f>
        <v>0</v>
      </c>
      <c r="R39" s="85">
        <f>+(5*F39)-Q39</f>
        <v>0.1</v>
      </c>
      <c r="S39" s="90" t="s">
        <v>62</v>
      </c>
      <c r="T39" s="90" t="s">
        <v>113</v>
      </c>
      <c r="U39" s="90" t="s">
        <v>114</v>
      </c>
      <c r="V39" s="90" t="s">
        <v>115</v>
      </c>
      <c r="W39" s="90" t="s">
        <v>116</v>
      </c>
    </row>
    <row r="40" spans="1:23" s="3" customFormat="1" ht="26.25" customHeight="1" x14ac:dyDescent="0.3">
      <c r="A40" s="128"/>
      <c r="B40" s="128"/>
      <c r="C40" s="82"/>
      <c r="D40" s="81"/>
      <c r="E40" s="81"/>
      <c r="F40" s="83"/>
      <c r="G40" s="81"/>
      <c r="H40" s="81"/>
      <c r="I40" s="81"/>
      <c r="J40" s="23" t="s">
        <v>43</v>
      </c>
      <c r="K40" s="23"/>
      <c r="L40" s="23">
        <v>1</v>
      </c>
      <c r="M40" s="23"/>
      <c r="N40" s="23">
        <v>2</v>
      </c>
      <c r="O40" s="23">
        <v>3</v>
      </c>
      <c r="P40" s="81"/>
      <c r="Q40" s="84"/>
      <c r="R40" s="85"/>
      <c r="S40" s="90"/>
      <c r="T40" s="90"/>
      <c r="U40" s="90"/>
      <c r="V40" s="90"/>
      <c r="W40" s="90"/>
    </row>
    <row r="41" spans="1:23" s="3" customFormat="1" ht="18" customHeight="1" x14ac:dyDescent="0.3">
      <c r="A41" s="128"/>
      <c r="B41" s="128" t="s">
        <v>118</v>
      </c>
      <c r="C41" s="82" t="s">
        <v>119</v>
      </c>
      <c r="D41" s="83" t="s">
        <v>34</v>
      </c>
      <c r="E41" s="81" t="s">
        <v>35</v>
      </c>
      <c r="F41" s="83">
        <v>0.04</v>
      </c>
      <c r="G41" s="81" t="s">
        <v>58</v>
      </c>
      <c r="H41" s="81" t="s">
        <v>50</v>
      </c>
      <c r="I41" s="81"/>
      <c r="J41" s="23" t="s">
        <v>38</v>
      </c>
      <c r="K41" s="29"/>
      <c r="L41" s="23"/>
      <c r="M41" s="23"/>
      <c r="N41" s="23"/>
      <c r="O41" s="23"/>
      <c r="P41" s="81"/>
      <c r="Q41" s="84">
        <f>+P41*F41</f>
        <v>0</v>
      </c>
      <c r="R41" s="85"/>
      <c r="S41" s="90" t="s">
        <v>120</v>
      </c>
      <c r="T41" s="90" t="s">
        <v>121</v>
      </c>
      <c r="U41" s="90" t="s">
        <v>71</v>
      </c>
      <c r="V41" s="90" t="s">
        <v>72</v>
      </c>
      <c r="W41" s="90" t="s">
        <v>122</v>
      </c>
    </row>
    <row r="42" spans="1:23" s="3" customFormat="1" ht="18" customHeight="1" x14ac:dyDescent="0.3">
      <c r="A42" s="128"/>
      <c r="B42" s="128"/>
      <c r="C42" s="82"/>
      <c r="D42" s="81"/>
      <c r="E42" s="81"/>
      <c r="F42" s="83"/>
      <c r="G42" s="81"/>
      <c r="H42" s="81"/>
      <c r="I42" s="81"/>
      <c r="J42" s="23" t="s">
        <v>43</v>
      </c>
      <c r="K42" s="29"/>
      <c r="L42" s="29"/>
      <c r="M42" s="29"/>
      <c r="N42" s="29"/>
      <c r="O42" s="29">
        <v>0.4</v>
      </c>
      <c r="P42" s="81"/>
      <c r="Q42" s="84"/>
      <c r="R42" s="85"/>
      <c r="S42" s="90"/>
      <c r="T42" s="90"/>
      <c r="U42" s="90"/>
      <c r="V42" s="90"/>
      <c r="W42" s="90"/>
    </row>
    <row r="43" spans="1:23" ht="27.6" customHeight="1" x14ac:dyDescent="0.3">
      <c r="A43" s="12"/>
      <c r="B43" s="13"/>
      <c r="C43" s="13"/>
      <c r="D43" s="13"/>
      <c r="E43" s="13"/>
      <c r="F43" s="16">
        <f>SUM(F7:F42)</f>
        <v>1</v>
      </c>
      <c r="G43" s="13"/>
      <c r="H43" s="13"/>
      <c r="I43" s="13"/>
      <c r="J43" s="13"/>
      <c r="K43" s="13"/>
      <c r="L43" s="13"/>
      <c r="M43" s="13"/>
      <c r="N43" s="13"/>
      <c r="O43" s="11" t="s">
        <v>123</v>
      </c>
      <c r="P43" s="87">
        <f>SUM(Q7:Q42)</f>
        <v>0</v>
      </c>
      <c r="Q43" s="87"/>
    </row>
    <row r="50" spans="3:4" ht="27.6" x14ac:dyDescent="0.3">
      <c r="C50" s="24" t="s">
        <v>124</v>
      </c>
      <c r="D50" s="1" t="s">
        <v>125</v>
      </c>
    </row>
    <row r="51" spans="3:4" ht="27.6" x14ac:dyDescent="0.3">
      <c r="C51" s="24" t="s">
        <v>126</v>
      </c>
      <c r="D51" s="15" t="s">
        <v>127</v>
      </c>
    </row>
    <row r="57" spans="3:4" x14ac:dyDescent="0.3">
      <c r="C57" s="82" t="s">
        <v>128</v>
      </c>
    </row>
    <row r="58" spans="3:4" x14ac:dyDescent="0.3">
      <c r="C58" s="82"/>
    </row>
  </sheetData>
  <mergeCells count="298">
    <mergeCell ref="B23:B26"/>
    <mergeCell ref="B27:B30"/>
    <mergeCell ref="C11:C12"/>
    <mergeCell ref="D11:D12"/>
    <mergeCell ref="E11:E12"/>
    <mergeCell ref="F11:F12"/>
    <mergeCell ref="G11:G12"/>
    <mergeCell ref="H11:H12"/>
    <mergeCell ref="I11:I12"/>
    <mergeCell ref="C21:C22"/>
    <mergeCell ref="D21:D22"/>
    <mergeCell ref="E21:E22"/>
    <mergeCell ref="C25:C26"/>
    <mergeCell ref="F21:F22"/>
    <mergeCell ref="W13:W14"/>
    <mergeCell ref="B13:B18"/>
    <mergeCell ref="D13:D14"/>
    <mergeCell ref="E13:E14"/>
    <mergeCell ref="F13:F14"/>
    <mergeCell ref="G13:G14"/>
    <mergeCell ref="G17:G18"/>
    <mergeCell ref="H17:H18"/>
    <mergeCell ref="I17:I18"/>
    <mergeCell ref="H15:H16"/>
    <mergeCell ref="G15:G16"/>
    <mergeCell ref="P17:P18"/>
    <mergeCell ref="P13:P14"/>
    <mergeCell ref="Q13:Q14"/>
    <mergeCell ref="S13:S14"/>
    <mergeCell ref="I13:I14"/>
    <mergeCell ref="H13:H14"/>
    <mergeCell ref="T13:T14"/>
    <mergeCell ref="U13:U14"/>
    <mergeCell ref="V13:V14"/>
    <mergeCell ref="C13:C14"/>
    <mergeCell ref="V41:V42"/>
    <mergeCell ref="W41:W42"/>
    <mergeCell ref="U39:U40"/>
    <mergeCell ref="V39:V40"/>
    <mergeCell ref="W39:W40"/>
    <mergeCell ref="H33:H34"/>
    <mergeCell ref="I33:I34"/>
    <mergeCell ref="R41:R42"/>
    <mergeCell ref="S31:S32"/>
    <mergeCell ref="V31:V32"/>
    <mergeCell ref="W31:W32"/>
    <mergeCell ref="T31:T32"/>
    <mergeCell ref="U31:U32"/>
    <mergeCell ref="S33:S34"/>
    <mergeCell ref="T33:T34"/>
    <mergeCell ref="R35:R36"/>
    <mergeCell ref="S35:S36"/>
    <mergeCell ref="R33:R34"/>
    <mergeCell ref="R37:R38"/>
    <mergeCell ref="T39:T40"/>
    <mergeCell ref="S37:S38"/>
    <mergeCell ref="T37:T38"/>
    <mergeCell ref="U37:U38"/>
    <mergeCell ref="V37:V38"/>
    <mergeCell ref="W37:W38"/>
    <mergeCell ref="R27:R28"/>
    <mergeCell ref="V15:V16"/>
    <mergeCell ref="W15:W16"/>
    <mergeCell ref="V17:V18"/>
    <mergeCell ref="W17:W18"/>
    <mergeCell ref="R39:R40"/>
    <mergeCell ref="U33:U34"/>
    <mergeCell ref="V35:V36"/>
    <mergeCell ref="W35:W36"/>
    <mergeCell ref="R31:R32"/>
    <mergeCell ref="T15:T16"/>
    <mergeCell ref="U15:U16"/>
    <mergeCell ref="U17:U18"/>
    <mergeCell ref="R17:R18"/>
    <mergeCell ref="S17:S18"/>
    <mergeCell ref="T17:T18"/>
    <mergeCell ref="S15:S16"/>
    <mergeCell ref="W33:W34"/>
    <mergeCell ref="W29:W30"/>
    <mergeCell ref="U27:U28"/>
    <mergeCell ref="V27:V28"/>
    <mergeCell ref="W27:W28"/>
    <mergeCell ref="T27:T28"/>
    <mergeCell ref="S39:S40"/>
    <mergeCell ref="F31:F32"/>
    <mergeCell ref="G31:G32"/>
    <mergeCell ref="F25:F26"/>
    <mergeCell ref="G25:G26"/>
    <mergeCell ref="H25:H26"/>
    <mergeCell ref="I25:I26"/>
    <mergeCell ref="G33:G34"/>
    <mergeCell ref="I15:I16"/>
    <mergeCell ref="P15:P16"/>
    <mergeCell ref="Q17:Q18"/>
    <mergeCell ref="R15:R16"/>
    <mergeCell ref="S25:S26"/>
    <mergeCell ref="H35:H36"/>
    <mergeCell ref="I35:I36"/>
    <mergeCell ref="P35:P36"/>
    <mergeCell ref="Q35:Q36"/>
    <mergeCell ref="P27:P28"/>
    <mergeCell ref="F41:F42"/>
    <mergeCell ref="G41:G42"/>
    <mergeCell ref="H41:H42"/>
    <mergeCell ref="I41:I42"/>
    <mergeCell ref="P41:P42"/>
    <mergeCell ref="P33:P34"/>
    <mergeCell ref="P31:P32"/>
    <mergeCell ref="Q31:Q32"/>
    <mergeCell ref="F35:F36"/>
    <mergeCell ref="G35:G36"/>
    <mergeCell ref="F39:F40"/>
    <mergeCell ref="G39:G40"/>
    <mergeCell ref="H39:H40"/>
    <mergeCell ref="I39:I40"/>
    <mergeCell ref="P39:P40"/>
    <mergeCell ref="Q39:Q40"/>
    <mergeCell ref="F37:F38"/>
    <mergeCell ref="G37:G38"/>
    <mergeCell ref="H37:H38"/>
    <mergeCell ref="I37:I38"/>
    <mergeCell ref="P37:P38"/>
    <mergeCell ref="Q37:Q38"/>
    <mergeCell ref="A33:A42"/>
    <mergeCell ref="E39:E40"/>
    <mergeCell ref="C39:C40"/>
    <mergeCell ref="D39:D40"/>
    <mergeCell ref="B33:B40"/>
    <mergeCell ref="C27:C28"/>
    <mergeCell ref="D27:D28"/>
    <mergeCell ref="E27:E28"/>
    <mergeCell ref="E31:E32"/>
    <mergeCell ref="C31:C32"/>
    <mergeCell ref="D31:D32"/>
    <mergeCell ref="B41:B42"/>
    <mergeCell ref="E33:E34"/>
    <mergeCell ref="C41:C42"/>
    <mergeCell ref="D41:D42"/>
    <mergeCell ref="E41:E42"/>
    <mergeCell ref="C35:C36"/>
    <mergeCell ref="D35:D36"/>
    <mergeCell ref="E35:E36"/>
    <mergeCell ref="G2:N2"/>
    <mergeCell ref="C4:Q4"/>
    <mergeCell ref="O2:Q2"/>
    <mergeCell ref="C33:C34"/>
    <mergeCell ref="D33:D34"/>
    <mergeCell ref="Q25:Q26"/>
    <mergeCell ref="H31:H32"/>
    <mergeCell ref="I31:I32"/>
    <mergeCell ref="C15:C16"/>
    <mergeCell ref="D15:D16"/>
    <mergeCell ref="E15:E16"/>
    <mergeCell ref="F15:F16"/>
    <mergeCell ref="C29:C30"/>
    <mergeCell ref="D29:D30"/>
    <mergeCell ref="Q15:Q16"/>
    <mergeCell ref="Q9:Q10"/>
    <mergeCell ref="P25:P26"/>
    <mergeCell ref="F33:F34"/>
    <mergeCell ref="Q33:Q34"/>
    <mergeCell ref="F27:F28"/>
    <mergeCell ref="Q27:Q28"/>
    <mergeCell ref="A1:Q1"/>
    <mergeCell ref="A2:B2"/>
    <mergeCell ref="A3:B3"/>
    <mergeCell ref="A4:B4"/>
    <mergeCell ref="C3:Q3"/>
    <mergeCell ref="C2:D2"/>
    <mergeCell ref="C23:C24"/>
    <mergeCell ref="D23:D24"/>
    <mergeCell ref="E23:E24"/>
    <mergeCell ref="I23:I24"/>
    <mergeCell ref="P23:P24"/>
    <mergeCell ref="Q23:Q24"/>
    <mergeCell ref="E19:E20"/>
    <mergeCell ref="F19:F20"/>
    <mergeCell ref="G19:G20"/>
    <mergeCell ref="H19:H20"/>
    <mergeCell ref="I19:I20"/>
    <mergeCell ref="C19:C20"/>
    <mergeCell ref="D19:D20"/>
    <mergeCell ref="G21:G22"/>
    <mergeCell ref="C17:C18"/>
    <mergeCell ref="D17:D18"/>
    <mergeCell ref="E17:E18"/>
    <mergeCell ref="F17:F18"/>
    <mergeCell ref="S4:W4"/>
    <mergeCell ref="A5:Q5"/>
    <mergeCell ref="S5:S6"/>
    <mergeCell ref="T5:T6"/>
    <mergeCell ref="U5:U6"/>
    <mergeCell ref="V5:V6"/>
    <mergeCell ref="W5:W6"/>
    <mergeCell ref="W23:W24"/>
    <mergeCell ref="F23:F24"/>
    <mergeCell ref="G23:G24"/>
    <mergeCell ref="H23:H24"/>
    <mergeCell ref="S21:S22"/>
    <mergeCell ref="T21:T22"/>
    <mergeCell ref="U21:U22"/>
    <mergeCell ref="V21:V22"/>
    <mergeCell ref="W21:W22"/>
    <mergeCell ref="A19:A32"/>
    <mergeCell ref="B19:B22"/>
    <mergeCell ref="B31:B32"/>
    <mergeCell ref="H21:H22"/>
    <mergeCell ref="I21:I22"/>
    <mergeCell ref="G27:G28"/>
    <mergeCell ref="H27:H28"/>
    <mergeCell ref="W25:W26"/>
    <mergeCell ref="C57:C58"/>
    <mergeCell ref="V19:V20"/>
    <mergeCell ref="U29:U30"/>
    <mergeCell ref="P29:P30"/>
    <mergeCell ref="E29:E30"/>
    <mergeCell ref="F29:F30"/>
    <mergeCell ref="G29:G30"/>
    <mergeCell ref="H29:H30"/>
    <mergeCell ref="I29:I30"/>
    <mergeCell ref="T29:T30"/>
    <mergeCell ref="I27:I28"/>
    <mergeCell ref="D25:D26"/>
    <mergeCell ref="E25:E26"/>
    <mergeCell ref="C37:C38"/>
    <mergeCell ref="D37:D38"/>
    <mergeCell ref="E37:E38"/>
    <mergeCell ref="S27:S28"/>
    <mergeCell ref="V33:V34"/>
    <mergeCell ref="V23:V24"/>
    <mergeCell ref="V25:V26"/>
    <mergeCell ref="R25:R26"/>
    <mergeCell ref="T25:T26"/>
    <mergeCell ref="U25:U26"/>
    <mergeCell ref="V29:V30"/>
    <mergeCell ref="W19:W20"/>
    <mergeCell ref="P43:Q43"/>
    <mergeCell ref="P19:P20"/>
    <mergeCell ref="Q19:Q20"/>
    <mergeCell ref="R19:R20"/>
    <mergeCell ref="S19:S20"/>
    <mergeCell ref="T19:T20"/>
    <mergeCell ref="U19:U20"/>
    <mergeCell ref="T35:T36"/>
    <mergeCell ref="U35:U36"/>
    <mergeCell ref="R29:R30"/>
    <mergeCell ref="S29:S30"/>
    <mergeCell ref="R23:R24"/>
    <mergeCell ref="S23:S24"/>
    <mergeCell ref="S41:S42"/>
    <mergeCell ref="T41:T42"/>
    <mergeCell ref="U41:U42"/>
    <mergeCell ref="P21:P22"/>
    <mergeCell ref="Q21:Q22"/>
    <mergeCell ref="R21:R22"/>
    <mergeCell ref="Q29:Q30"/>
    <mergeCell ref="T23:T24"/>
    <mergeCell ref="U23:U24"/>
    <mergeCell ref="Q41:Q42"/>
    <mergeCell ref="W11:W12"/>
    <mergeCell ref="Q11:Q12"/>
    <mergeCell ref="T7:T8"/>
    <mergeCell ref="U7:U8"/>
    <mergeCell ref="V7:V8"/>
    <mergeCell ref="W7:W8"/>
    <mergeCell ref="R11:R12"/>
    <mergeCell ref="S11:S12"/>
    <mergeCell ref="T11:T12"/>
    <mergeCell ref="Q7:Q8"/>
    <mergeCell ref="R7:R8"/>
    <mergeCell ref="S7:S8"/>
    <mergeCell ref="T9:T10"/>
    <mergeCell ref="U9:U10"/>
    <mergeCell ref="V9:V10"/>
    <mergeCell ref="W9:W10"/>
    <mergeCell ref="R9:R10"/>
    <mergeCell ref="S9:S10"/>
    <mergeCell ref="A7:A18"/>
    <mergeCell ref="B7:B12"/>
    <mergeCell ref="U11:U12"/>
    <mergeCell ref="V11:V12"/>
    <mergeCell ref="P9:P10"/>
    <mergeCell ref="C7:C8"/>
    <mergeCell ref="D7:D8"/>
    <mergeCell ref="E7:E8"/>
    <mergeCell ref="F7:F8"/>
    <mergeCell ref="G7:G8"/>
    <mergeCell ref="H7:H8"/>
    <mergeCell ref="I7:I8"/>
    <mergeCell ref="P7:P8"/>
    <mergeCell ref="P11:P12"/>
    <mergeCell ref="C9:C10"/>
    <mergeCell ref="D9:D10"/>
    <mergeCell ref="E9:E10"/>
    <mergeCell ref="F9:F10"/>
    <mergeCell ref="G9:G10"/>
    <mergeCell ref="H9:H10"/>
    <mergeCell ref="I9:I10"/>
  </mergeCells>
  <pageMargins left="0.17" right="0.16" top="0.17" bottom="0.12" header="0.12" footer="0.12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1306-A5C1-439C-8314-B1D19287E29B}">
  <dimension ref="A1:W48"/>
  <sheetViews>
    <sheetView topLeftCell="A2" workbookViewId="0">
      <selection activeCell="C15" sqref="C15:C16"/>
    </sheetView>
  </sheetViews>
  <sheetFormatPr defaultRowHeight="14.4" x14ac:dyDescent="0.3"/>
  <cols>
    <col min="3" max="3" width="35.44140625" customWidth="1"/>
    <col min="11" max="11" width="12.33203125" bestFit="1" customWidth="1"/>
    <col min="19" max="19" width="10.88671875" customWidth="1"/>
    <col min="20" max="20" width="17.44140625" customWidth="1"/>
    <col min="21" max="21" width="16.6640625" customWidth="1"/>
    <col min="22" max="22" width="19.33203125" customWidth="1"/>
    <col min="23" max="23" width="11.5546875" customWidth="1"/>
  </cols>
  <sheetData>
    <row r="1" spans="1:23" ht="15.6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x14ac:dyDescent="0.3">
      <c r="A2" s="110" t="s">
        <v>1</v>
      </c>
      <c r="B2" s="110"/>
      <c r="C2" s="113">
        <v>44666</v>
      </c>
      <c r="D2" s="114"/>
      <c r="E2" s="5" t="s">
        <v>2</v>
      </c>
      <c r="F2" s="5"/>
      <c r="G2" s="113">
        <v>44228</v>
      </c>
      <c r="H2" s="114"/>
      <c r="I2" s="114"/>
      <c r="J2" s="114"/>
      <c r="K2" s="114"/>
      <c r="L2" s="114"/>
      <c r="M2" s="114"/>
      <c r="N2" s="114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x14ac:dyDescent="0.3">
      <c r="A4" s="111" t="s">
        <v>6</v>
      </c>
      <c r="B4" s="111"/>
      <c r="C4" s="123" t="s">
        <v>129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130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ht="41.4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ht="14.4" customHeight="1" x14ac:dyDescent="0.3">
      <c r="A7" s="77" t="s">
        <v>31</v>
      </c>
      <c r="B7" s="77" t="s">
        <v>32</v>
      </c>
      <c r="C7" s="144" t="s">
        <v>131</v>
      </c>
      <c r="D7" s="83" t="s">
        <v>34</v>
      </c>
      <c r="E7" s="81" t="s">
        <v>35</v>
      </c>
      <c r="F7" s="83">
        <v>0.1</v>
      </c>
      <c r="G7" s="81" t="s">
        <v>36</v>
      </c>
      <c r="H7" s="81" t="s">
        <v>37</v>
      </c>
      <c r="I7" s="81"/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1">
        <v>3</v>
      </c>
      <c r="Q7" s="84">
        <f>+P7*F7</f>
        <v>0.30000000000000004</v>
      </c>
      <c r="S7" s="83">
        <v>-0.79</v>
      </c>
      <c r="T7" s="132" t="s">
        <v>60</v>
      </c>
      <c r="U7" s="132" t="s">
        <v>61</v>
      </c>
      <c r="V7" s="132" t="s">
        <v>62</v>
      </c>
      <c r="W7" s="132" t="s">
        <v>62</v>
      </c>
    </row>
    <row r="8" spans="1:23" x14ac:dyDescent="0.3">
      <c r="A8" s="78"/>
      <c r="B8" s="78"/>
      <c r="C8" s="144"/>
      <c r="D8" s="81"/>
      <c r="E8" s="81"/>
      <c r="F8" s="83"/>
      <c r="G8" s="81"/>
      <c r="H8" s="81"/>
      <c r="I8" s="81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1"/>
      <c r="Q8" s="84"/>
      <c r="S8" s="83"/>
      <c r="T8" s="132"/>
      <c r="U8" s="132"/>
      <c r="V8" s="132"/>
      <c r="W8" s="132"/>
    </row>
    <row r="9" spans="1:23" ht="19.5" customHeight="1" x14ac:dyDescent="0.3">
      <c r="A9" s="78"/>
      <c r="B9" s="78"/>
      <c r="C9" s="144" t="s">
        <v>132</v>
      </c>
      <c r="D9" s="83" t="s">
        <v>34</v>
      </c>
      <c r="E9" s="81" t="s">
        <v>35</v>
      </c>
      <c r="F9" s="83">
        <v>0.1</v>
      </c>
      <c r="G9" s="81" t="s">
        <v>36</v>
      </c>
      <c r="H9" s="81" t="s">
        <v>37</v>
      </c>
      <c r="I9" s="81"/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1">
        <v>3</v>
      </c>
      <c r="Q9" s="84">
        <f>+P9*F9</f>
        <v>0.30000000000000004</v>
      </c>
      <c r="S9" s="83">
        <v>-0.79</v>
      </c>
      <c r="T9" s="132" t="s">
        <v>60</v>
      </c>
      <c r="U9" s="132" t="s">
        <v>61</v>
      </c>
      <c r="V9" s="132" t="s">
        <v>62</v>
      </c>
      <c r="W9" s="132" t="s">
        <v>62</v>
      </c>
    </row>
    <row r="10" spans="1:23" ht="21" customHeight="1" x14ac:dyDescent="0.3">
      <c r="A10" s="78"/>
      <c r="B10" s="78"/>
      <c r="C10" s="144"/>
      <c r="D10" s="81"/>
      <c r="E10" s="81"/>
      <c r="F10" s="83"/>
      <c r="G10" s="81"/>
      <c r="H10" s="81"/>
      <c r="I10" s="81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1"/>
      <c r="Q10" s="84"/>
      <c r="S10" s="83"/>
      <c r="T10" s="132"/>
      <c r="U10" s="132"/>
      <c r="V10" s="132"/>
      <c r="W10" s="132"/>
    </row>
    <row r="11" spans="1:23" ht="22.5" customHeight="1" x14ac:dyDescent="0.3">
      <c r="A11" s="78"/>
      <c r="B11" s="78"/>
      <c r="C11" s="82" t="s">
        <v>133</v>
      </c>
      <c r="D11" s="83" t="s">
        <v>34</v>
      </c>
      <c r="E11" s="81" t="s">
        <v>35</v>
      </c>
      <c r="F11" s="83">
        <v>0.05</v>
      </c>
      <c r="G11" s="81" t="s">
        <v>36</v>
      </c>
      <c r="H11" s="81" t="s">
        <v>50</v>
      </c>
      <c r="I11" s="81"/>
      <c r="J11" s="23" t="s">
        <v>38</v>
      </c>
      <c r="K11" s="17" t="s">
        <v>62</v>
      </c>
      <c r="L11" s="17" t="s">
        <v>62</v>
      </c>
      <c r="M11" s="17" t="s">
        <v>62</v>
      </c>
      <c r="N11" s="17" t="s">
        <v>62</v>
      </c>
      <c r="O11" s="17" t="s">
        <v>62</v>
      </c>
      <c r="P11" s="81"/>
      <c r="Q11" s="84">
        <f>+P11*F11</f>
        <v>0</v>
      </c>
      <c r="S11" s="83">
        <v>-0.79</v>
      </c>
      <c r="T11" s="132" t="s">
        <v>60</v>
      </c>
      <c r="U11" s="132" t="s">
        <v>61</v>
      </c>
      <c r="V11" s="132" t="s">
        <v>62</v>
      </c>
      <c r="W11" s="132" t="s">
        <v>62</v>
      </c>
    </row>
    <row r="12" spans="1:23" ht="20.25" customHeight="1" x14ac:dyDescent="0.3">
      <c r="A12" s="78"/>
      <c r="B12" s="127"/>
      <c r="C12" s="82"/>
      <c r="D12" s="81"/>
      <c r="E12" s="81"/>
      <c r="F12" s="83"/>
      <c r="G12" s="81"/>
      <c r="H12" s="81"/>
      <c r="I12" s="81"/>
      <c r="J12" s="23" t="s">
        <v>43</v>
      </c>
      <c r="K12" s="17" t="s">
        <v>62</v>
      </c>
      <c r="L12" s="17" t="s">
        <v>62</v>
      </c>
      <c r="M12" s="17" t="s">
        <v>62</v>
      </c>
      <c r="N12" s="17" t="s">
        <v>62</v>
      </c>
      <c r="O12" s="17" t="s">
        <v>62</v>
      </c>
      <c r="P12" s="81"/>
      <c r="Q12" s="84"/>
      <c r="S12" s="83"/>
      <c r="T12" s="132"/>
      <c r="U12" s="132"/>
      <c r="V12" s="132"/>
      <c r="W12" s="132"/>
    </row>
    <row r="13" spans="1:23" ht="18" customHeight="1" x14ac:dyDescent="0.3">
      <c r="A13" s="78"/>
      <c r="B13" s="77" t="s">
        <v>55</v>
      </c>
      <c r="C13" s="120" t="s">
        <v>63</v>
      </c>
      <c r="D13" s="122" t="s">
        <v>34</v>
      </c>
      <c r="E13" s="79" t="s">
        <v>57</v>
      </c>
      <c r="F13" s="122">
        <v>0.05</v>
      </c>
      <c r="G13" s="79" t="s">
        <v>64</v>
      </c>
      <c r="H13" s="79" t="s">
        <v>37</v>
      </c>
      <c r="I13" s="79"/>
      <c r="J13" s="23" t="s">
        <v>38</v>
      </c>
      <c r="K13" s="18">
        <v>7</v>
      </c>
      <c r="L13" s="18">
        <v>10</v>
      </c>
      <c r="M13" s="18">
        <v>9</v>
      </c>
      <c r="N13" s="18">
        <v>10</v>
      </c>
      <c r="O13" s="19">
        <f>SUM(K13:N13)</f>
        <v>36</v>
      </c>
      <c r="P13" s="79">
        <v>4</v>
      </c>
      <c r="Q13" s="126">
        <f>+P13*F13</f>
        <v>0.2</v>
      </c>
      <c r="S13" s="79" t="s">
        <v>65</v>
      </c>
      <c r="T13" s="79" t="s">
        <v>66</v>
      </c>
      <c r="U13" s="79" t="s">
        <v>67</v>
      </c>
      <c r="V13" s="79" t="s">
        <v>68</v>
      </c>
      <c r="W13" s="79" t="s">
        <v>69</v>
      </c>
    </row>
    <row r="14" spans="1:23" x14ac:dyDescent="0.3">
      <c r="A14" s="78"/>
      <c r="B14" s="78"/>
      <c r="C14" s="121"/>
      <c r="D14" s="101"/>
      <c r="E14" s="80"/>
      <c r="F14" s="101"/>
      <c r="G14" s="80"/>
      <c r="H14" s="80"/>
      <c r="I14" s="80"/>
      <c r="J14" s="23" t="s">
        <v>43</v>
      </c>
      <c r="K14" s="18">
        <v>8</v>
      </c>
      <c r="L14" s="18">
        <v>10</v>
      </c>
      <c r="M14" s="18">
        <v>6</v>
      </c>
      <c r="N14" s="18">
        <v>8</v>
      </c>
      <c r="O14" s="19" t="s">
        <v>67</v>
      </c>
      <c r="P14" s="80"/>
      <c r="Q14" s="117"/>
      <c r="S14" s="80"/>
      <c r="T14" s="80"/>
      <c r="U14" s="80"/>
      <c r="V14" s="80"/>
      <c r="W14" s="80"/>
    </row>
    <row r="15" spans="1:23" x14ac:dyDescent="0.3">
      <c r="A15" s="78"/>
      <c r="B15" s="78"/>
      <c r="C15" s="135" t="s">
        <v>70</v>
      </c>
      <c r="D15" s="122" t="s">
        <v>34</v>
      </c>
      <c r="E15" s="79" t="s">
        <v>57</v>
      </c>
      <c r="F15" s="122">
        <v>0.08</v>
      </c>
      <c r="G15" s="79" t="s">
        <v>58</v>
      </c>
      <c r="H15" s="79" t="s">
        <v>37</v>
      </c>
      <c r="I15" s="79"/>
      <c r="J15" s="23" t="s">
        <v>38</v>
      </c>
      <c r="K15" s="25">
        <v>0.54</v>
      </c>
      <c r="L15" s="25">
        <v>0.54</v>
      </c>
      <c r="M15" s="25">
        <v>0.54</v>
      </c>
      <c r="N15" s="25">
        <v>0.54</v>
      </c>
      <c r="O15" s="10">
        <v>0.54</v>
      </c>
      <c r="P15" s="79">
        <v>2</v>
      </c>
      <c r="Q15" s="126">
        <f>+P15*F15</f>
        <v>0.16</v>
      </c>
      <c r="S15" s="130" t="s">
        <v>71</v>
      </c>
      <c r="T15" s="130" t="s">
        <v>72</v>
      </c>
      <c r="U15" s="130" t="s">
        <v>73</v>
      </c>
      <c r="V15" s="130" t="s">
        <v>74</v>
      </c>
      <c r="W15" s="130" t="s">
        <v>75</v>
      </c>
    </row>
    <row r="16" spans="1:23" x14ac:dyDescent="0.3">
      <c r="A16" s="145"/>
      <c r="B16" s="145"/>
      <c r="C16" s="136"/>
      <c r="D16" s="101"/>
      <c r="E16" s="80"/>
      <c r="F16" s="101"/>
      <c r="G16" s="80"/>
      <c r="H16" s="80"/>
      <c r="I16" s="80"/>
      <c r="J16" s="23" t="s">
        <v>43</v>
      </c>
      <c r="K16" s="29" t="s">
        <v>73</v>
      </c>
      <c r="L16" s="29" t="s">
        <v>73</v>
      </c>
      <c r="M16" s="29" t="s">
        <v>73</v>
      </c>
      <c r="N16" s="29" t="s">
        <v>73</v>
      </c>
      <c r="O16" s="29" t="s">
        <v>73</v>
      </c>
      <c r="P16" s="80"/>
      <c r="Q16" s="117"/>
      <c r="S16" s="131"/>
      <c r="T16" s="131"/>
      <c r="U16" s="131"/>
      <c r="V16" s="131"/>
      <c r="W16" s="131"/>
    </row>
    <row r="17" spans="1:23" ht="15" customHeight="1" x14ac:dyDescent="0.3">
      <c r="A17" s="102" t="s">
        <v>76</v>
      </c>
      <c r="B17" s="141" t="s">
        <v>85</v>
      </c>
      <c r="C17" s="119" t="s">
        <v>78</v>
      </c>
      <c r="D17" s="118" t="s">
        <v>34</v>
      </c>
      <c r="E17" s="93" t="s">
        <v>79</v>
      </c>
      <c r="F17" s="118">
        <v>0.1</v>
      </c>
      <c r="G17" s="93" t="s">
        <v>58</v>
      </c>
      <c r="H17" s="93" t="s">
        <v>50</v>
      </c>
      <c r="I17" s="93"/>
      <c r="J17" s="27" t="s">
        <v>38</v>
      </c>
      <c r="K17" s="22"/>
      <c r="L17" s="26"/>
      <c r="M17" s="26"/>
      <c r="N17" s="26"/>
      <c r="O17" s="26"/>
      <c r="P17" s="88"/>
      <c r="Q17" s="89">
        <f>+P17*F17</f>
        <v>0</v>
      </c>
      <c r="S17" s="83">
        <v>-0.06</v>
      </c>
      <c r="T17" s="81" t="s">
        <v>80</v>
      </c>
      <c r="U17" s="79" t="s">
        <v>81</v>
      </c>
      <c r="V17" s="81" t="s">
        <v>82</v>
      </c>
      <c r="W17" s="81" t="s">
        <v>83</v>
      </c>
    </row>
    <row r="18" spans="1:23" x14ac:dyDescent="0.3">
      <c r="A18" s="103"/>
      <c r="B18" s="142"/>
      <c r="C18" s="119"/>
      <c r="D18" s="93"/>
      <c r="E18" s="93"/>
      <c r="F18" s="118"/>
      <c r="G18" s="93"/>
      <c r="H18" s="93"/>
      <c r="I18" s="93"/>
      <c r="J18" s="27" t="s">
        <v>43</v>
      </c>
      <c r="K18" s="22"/>
      <c r="L18" s="22"/>
      <c r="M18" s="22"/>
      <c r="N18" s="22"/>
      <c r="O18" s="22" t="s">
        <v>81</v>
      </c>
      <c r="P18" s="88"/>
      <c r="Q18" s="89"/>
      <c r="S18" s="81"/>
      <c r="T18" s="81"/>
      <c r="U18" s="80"/>
      <c r="V18" s="81"/>
      <c r="W18" s="81"/>
    </row>
    <row r="19" spans="1:23" x14ac:dyDescent="0.3">
      <c r="A19" s="103"/>
      <c r="B19" s="142"/>
      <c r="C19" s="119" t="s">
        <v>84</v>
      </c>
      <c r="D19" s="118" t="s">
        <v>34</v>
      </c>
      <c r="E19" s="93" t="s">
        <v>79</v>
      </c>
      <c r="F19" s="118">
        <v>0.1</v>
      </c>
      <c r="G19" s="93" t="s">
        <v>58</v>
      </c>
      <c r="H19" s="93" t="s">
        <v>50</v>
      </c>
      <c r="I19" s="93"/>
      <c r="J19" s="27" t="s">
        <v>38</v>
      </c>
      <c r="K19" s="27"/>
      <c r="L19" s="27"/>
      <c r="M19" s="27"/>
      <c r="N19" s="27"/>
      <c r="O19" s="27"/>
      <c r="P19" s="93"/>
      <c r="Q19" s="89">
        <f>+P19*F19</f>
        <v>0</v>
      </c>
      <c r="S19" s="83">
        <v>-0.06</v>
      </c>
      <c r="T19" s="81" t="s">
        <v>80</v>
      </c>
      <c r="U19" s="79" t="s">
        <v>81</v>
      </c>
      <c r="V19" s="81" t="s">
        <v>82</v>
      </c>
      <c r="W19" s="81" t="s">
        <v>83</v>
      </c>
    </row>
    <row r="20" spans="1:23" x14ac:dyDescent="0.3">
      <c r="A20" s="103"/>
      <c r="B20" s="142"/>
      <c r="C20" s="119"/>
      <c r="D20" s="93"/>
      <c r="E20" s="93"/>
      <c r="F20" s="118"/>
      <c r="G20" s="93"/>
      <c r="H20" s="93"/>
      <c r="I20" s="93"/>
      <c r="J20" s="27" t="s">
        <v>43</v>
      </c>
      <c r="K20" s="22"/>
      <c r="L20" s="22"/>
      <c r="M20" s="22"/>
      <c r="N20" s="22"/>
      <c r="O20" s="22" t="s">
        <v>81</v>
      </c>
      <c r="P20" s="93"/>
      <c r="Q20" s="89"/>
      <c r="S20" s="81"/>
      <c r="T20" s="81"/>
      <c r="U20" s="80"/>
      <c r="V20" s="81"/>
      <c r="W20" s="81"/>
    </row>
    <row r="21" spans="1:23" ht="15" customHeight="1" x14ac:dyDescent="0.3">
      <c r="A21" s="104"/>
      <c r="B21" s="142"/>
      <c r="C21" s="115" t="s">
        <v>86</v>
      </c>
      <c r="D21" s="101" t="s">
        <v>34</v>
      </c>
      <c r="E21" s="80" t="s">
        <v>35</v>
      </c>
      <c r="F21" s="101">
        <v>0.04</v>
      </c>
      <c r="G21" s="80" t="s">
        <v>64</v>
      </c>
      <c r="H21" s="80" t="s">
        <v>59</v>
      </c>
      <c r="I21" s="80"/>
      <c r="J21" s="30" t="s">
        <v>38</v>
      </c>
      <c r="K21" s="30">
        <v>16</v>
      </c>
      <c r="L21" s="30">
        <v>10</v>
      </c>
      <c r="M21" s="30">
        <v>14</v>
      </c>
      <c r="N21" s="30">
        <v>13</v>
      </c>
      <c r="O21" s="30">
        <v>53</v>
      </c>
      <c r="P21" s="80">
        <v>3</v>
      </c>
      <c r="Q21" s="117">
        <f>+P21*F21</f>
        <v>0.12</v>
      </c>
      <c r="S21" s="81">
        <v>-39</v>
      </c>
      <c r="T21" s="81" t="s">
        <v>87</v>
      </c>
      <c r="U21" s="81" t="s">
        <v>88</v>
      </c>
      <c r="V21" s="81" t="s">
        <v>89</v>
      </c>
      <c r="W21" s="81" t="s">
        <v>90</v>
      </c>
    </row>
    <row r="22" spans="1:23" x14ac:dyDescent="0.3">
      <c r="A22" s="104"/>
      <c r="B22" s="142"/>
      <c r="C22" s="116"/>
      <c r="D22" s="81"/>
      <c r="E22" s="81"/>
      <c r="F22" s="83"/>
      <c r="G22" s="81"/>
      <c r="H22" s="81"/>
      <c r="I22" s="81"/>
      <c r="J22" s="23" t="s">
        <v>43</v>
      </c>
      <c r="K22" s="23">
        <v>14</v>
      </c>
      <c r="L22" s="23">
        <v>14</v>
      </c>
      <c r="M22" s="23">
        <v>17</v>
      </c>
      <c r="N22" s="23">
        <v>10</v>
      </c>
      <c r="O22" s="23" t="s">
        <v>88</v>
      </c>
      <c r="P22" s="81"/>
      <c r="Q22" s="84"/>
      <c r="S22" s="81"/>
      <c r="T22" s="81"/>
      <c r="U22" s="81"/>
      <c r="V22" s="81"/>
      <c r="W22" s="81"/>
    </row>
    <row r="23" spans="1:23" x14ac:dyDescent="0.3">
      <c r="A23" s="104"/>
      <c r="B23" s="142"/>
      <c r="C23" s="116" t="s">
        <v>91</v>
      </c>
      <c r="D23" s="83" t="s">
        <v>34</v>
      </c>
      <c r="E23" s="81" t="s">
        <v>35</v>
      </c>
      <c r="F23" s="83">
        <v>0.04</v>
      </c>
      <c r="G23" s="81" t="s">
        <v>64</v>
      </c>
      <c r="H23" s="81" t="s">
        <v>59</v>
      </c>
      <c r="I23" s="81"/>
      <c r="J23" s="23" t="s">
        <v>38</v>
      </c>
      <c r="K23" s="23">
        <v>10</v>
      </c>
      <c r="L23" s="23">
        <v>12</v>
      </c>
      <c r="M23" s="23">
        <v>16</v>
      </c>
      <c r="N23" s="23">
        <v>10</v>
      </c>
      <c r="O23" s="32">
        <v>48</v>
      </c>
      <c r="P23" s="81">
        <v>2</v>
      </c>
      <c r="Q23" s="84">
        <f>+P23*F23</f>
        <v>0.08</v>
      </c>
      <c r="S23" s="81">
        <v>-39</v>
      </c>
      <c r="T23" s="81" t="s">
        <v>87</v>
      </c>
      <c r="U23" s="81" t="s">
        <v>88</v>
      </c>
      <c r="V23" s="81" t="s">
        <v>89</v>
      </c>
      <c r="W23" s="81" t="s">
        <v>90</v>
      </c>
    </row>
    <row r="24" spans="1:23" x14ac:dyDescent="0.3">
      <c r="A24" s="104"/>
      <c r="B24" s="143"/>
      <c r="C24" s="116"/>
      <c r="D24" s="81"/>
      <c r="E24" s="81"/>
      <c r="F24" s="83"/>
      <c r="G24" s="81"/>
      <c r="H24" s="81"/>
      <c r="I24" s="81"/>
      <c r="J24" s="23" t="s">
        <v>43</v>
      </c>
      <c r="K24" s="23">
        <v>14</v>
      </c>
      <c r="L24" s="23">
        <v>14</v>
      </c>
      <c r="M24" s="23">
        <v>17</v>
      </c>
      <c r="N24" s="23">
        <v>10</v>
      </c>
      <c r="O24" s="23" t="s">
        <v>88</v>
      </c>
      <c r="P24" s="81"/>
      <c r="Q24" s="84"/>
      <c r="S24" s="81"/>
      <c r="T24" s="81"/>
      <c r="U24" s="81"/>
      <c r="V24" s="81"/>
      <c r="W24" s="81"/>
    </row>
    <row r="25" spans="1:23" x14ac:dyDescent="0.3">
      <c r="A25" s="104"/>
      <c r="B25" s="107" t="s">
        <v>92</v>
      </c>
      <c r="C25" s="116" t="s">
        <v>93</v>
      </c>
      <c r="D25" s="83" t="s">
        <v>34</v>
      </c>
      <c r="E25" s="81" t="s">
        <v>35</v>
      </c>
      <c r="F25" s="83">
        <v>0.06</v>
      </c>
      <c r="G25" s="81" t="s">
        <v>64</v>
      </c>
      <c r="H25" s="81" t="s">
        <v>59</v>
      </c>
      <c r="I25" s="81"/>
      <c r="J25" s="23" t="s">
        <v>38</v>
      </c>
      <c r="K25" s="23">
        <v>4</v>
      </c>
      <c r="L25" s="23">
        <v>5</v>
      </c>
      <c r="M25" s="23">
        <v>7</v>
      </c>
      <c r="N25" s="23">
        <v>4</v>
      </c>
      <c r="O25" s="23">
        <v>20</v>
      </c>
      <c r="P25" s="81">
        <v>5</v>
      </c>
      <c r="Q25" s="84">
        <f>+P25*F25</f>
        <v>0.3</v>
      </c>
      <c r="S25" s="97" t="s">
        <v>94</v>
      </c>
      <c r="T25" s="97" t="s">
        <v>95</v>
      </c>
      <c r="U25" s="97" t="s">
        <v>96</v>
      </c>
      <c r="V25" s="97" t="s">
        <v>97</v>
      </c>
      <c r="W25" s="90" t="s">
        <v>98</v>
      </c>
    </row>
    <row r="26" spans="1:23" ht="14.4" customHeight="1" x14ac:dyDescent="0.3">
      <c r="A26" s="104"/>
      <c r="B26" s="107"/>
      <c r="C26" s="116"/>
      <c r="D26" s="81"/>
      <c r="E26" s="81"/>
      <c r="F26" s="83"/>
      <c r="G26" s="81"/>
      <c r="H26" s="81"/>
      <c r="I26" s="81"/>
      <c r="J26" s="23" t="s">
        <v>43</v>
      </c>
      <c r="K26" s="23">
        <v>3</v>
      </c>
      <c r="L26" s="23">
        <v>1</v>
      </c>
      <c r="M26" s="23">
        <v>2</v>
      </c>
      <c r="N26" s="23">
        <v>2</v>
      </c>
      <c r="O26" s="33" t="s">
        <v>134</v>
      </c>
      <c r="P26" s="81"/>
      <c r="Q26" s="84"/>
      <c r="S26" s="98"/>
      <c r="T26" s="98"/>
      <c r="U26" s="98"/>
      <c r="V26" s="98"/>
      <c r="W26" s="90"/>
    </row>
    <row r="27" spans="1:23" x14ac:dyDescent="0.3">
      <c r="A27" s="104"/>
      <c r="B27" s="107"/>
      <c r="C27" s="125" t="s">
        <v>99</v>
      </c>
      <c r="D27" s="96" t="s">
        <v>34</v>
      </c>
      <c r="E27" s="95" t="s">
        <v>35</v>
      </c>
      <c r="F27" s="96">
        <v>0.06</v>
      </c>
      <c r="G27" s="95" t="s">
        <v>64</v>
      </c>
      <c r="H27" s="95" t="s">
        <v>59</v>
      </c>
      <c r="I27" s="95"/>
      <c r="J27" s="28" t="s">
        <v>38</v>
      </c>
      <c r="K27" s="28">
        <v>170</v>
      </c>
      <c r="L27" s="28">
        <v>77</v>
      </c>
      <c r="M27" s="28">
        <v>59</v>
      </c>
      <c r="N27" s="28">
        <v>113</v>
      </c>
      <c r="O27" s="28">
        <v>419</v>
      </c>
      <c r="P27" s="95">
        <v>3</v>
      </c>
      <c r="Q27" s="94">
        <f>+P27*F27</f>
        <v>0.18</v>
      </c>
      <c r="S27" s="92" t="s">
        <v>100</v>
      </c>
      <c r="T27" s="92" t="s">
        <v>101</v>
      </c>
      <c r="U27" s="92" t="s">
        <v>102</v>
      </c>
      <c r="V27" s="92" t="s">
        <v>103</v>
      </c>
      <c r="W27" s="92" t="s">
        <v>104</v>
      </c>
    </row>
    <row r="28" spans="1:23" x14ac:dyDescent="0.3">
      <c r="A28" s="104"/>
      <c r="B28" s="107"/>
      <c r="C28" s="125"/>
      <c r="D28" s="95"/>
      <c r="E28" s="95"/>
      <c r="F28" s="96"/>
      <c r="G28" s="95"/>
      <c r="H28" s="95"/>
      <c r="I28" s="95"/>
      <c r="J28" s="28" t="s">
        <v>43</v>
      </c>
      <c r="K28" s="28">
        <v>150</v>
      </c>
      <c r="L28" s="28">
        <v>50</v>
      </c>
      <c r="M28" s="28">
        <v>100</v>
      </c>
      <c r="N28" s="28">
        <v>100</v>
      </c>
      <c r="O28" s="28">
        <v>400</v>
      </c>
      <c r="P28" s="95"/>
      <c r="Q28" s="94"/>
      <c r="S28" s="92"/>
      <c r="T28" s="92"/>
      <c r="U28" s="92"/>
      <c r="V28" s="92"/>
      <c r="W28" s="92"/>
    </row>
    <row r="29" spans="1:23" x14ac:dyDescent="0.3">
      <c r="A29" s="104"/>
      <c r="B29" s="107"/>
      <c r="C29" s="134" t="s">
        <v>105</v>
      </c>
      <c r="D29" s="83" t="s">
        <v>34</v>
      </c>
      <c r="E29" s="81" t="s">
        <v>57</v>
      </c>
      <c r="F29" s="83">
        <v>0.08</v>
      </c>
      <c r="G29" s="81" t="s">
        <v>58</v>
      </c>
      <c r="H29" s="81" t="s">
        <v>106</v>
      </c>
      <c r="I29" s="81"/>
      <c r="J29" s="23" t="s">
        <v>38</v>
      </c>
      <c r="K29" s="139">
        <v>0.96</v>
      </c>
      <c r="L29" s="140"/>
      <c r="M29" s="139">
        <v>0.96</v>
      </c>
      <c r="N29" s="140"/>
      <c r="O29" s="25">
        <v>0.95972222222222225</v>
      </c>
      <c r="P29" s="81">
        <v>3</v>
      </c>
      <c r="Q29" s="84">
        <f>+P29*F29</f>
        <v>0.24</v>
      </c>
      <c r="S29" s="83">
        <v>-0.79</v>
      </c>
      <c r="T29" s="132" t="s">
        <v>60</v>
      </c>
      <c r="U29" s="132" t="s">
        <v>61</v>
      </c>
      <c r="V29" s="132" t="s">
        <v>62</v>
      </c>
      <c r="W29" s="132" t="s">
        <v>62</v>
      </c>
    </row>
    <row r="30" spans="1:23" x14ac:dyDescent="0.3">
      <c r="A30" s="105"/>
      <c r="B30" s="108"/>
      <c r="C30" s="134"/>
      <c r="D30" s="81"/>
      <c r="E30" s="81"/>
      <c r="F30" s="83"/>
      <c r="G30" s="81"/>
      <c r="H30" s="81"/>
      <c r="I30" s="81"/>
      <c r="J30" s="23" t="s">
        <v>43</v>
      </c>
      <c r="K30" s="137" t="s">
        <v>61</v>
      </c>
      <c r="L30" s="138"/>
      <c r="M30" s="137" t="s">
        <v>61</v>
      </c>
      <c r="N30" s="138"/>
      <c r="O30" s="29" t="s">
        <v>61</v>
      </c>
      <c r="P30" s="81"/>
      <c r="Q30" s="84"/>
      <c r="S30" s="83"/>
      <c r="T30" s="132"/>
      <c r="U30" s="132"/>
      <c r="V30" s="132"/>
      <c r="W30" s="132"/>
    </row>
    <row r="31" spans="1:23" x14ac:dyDescent="0.3">
      <c r="A31" s="127" t="s">
        <v>107</v>
      </c>
      <c r="B31" s="127" t="s">
        <v>108</v>
      </c>
      <c r="C31" s="82" t="s">
        <v>109</v>
      </c>
      <c r="D31" s="83" t="s">
        <v>110</v>
      </c>
      <c r="E31" s="81" t="s">
        <v>62</v>
      </c>
      <c r="F31" s="83" t="s">
        <v>62</v>
      </c>
      <c r="G31" s="81" t="s">
        <v>64</v>
      </c>
      <c r="H31" s="81" t="s">
        <v>62</v>
      </c>
      <c r="I31" s="81"/>
      <c r="J31" s="23" t="s">
        <v>38</v>
      </c>
      <c r="K31" s="23"/>
      <c r="L31" s="23"/>
      <c r="M31" s="23"/>
      <c r="N31" s="23"/>
      <c r="O31" s="23"/>
      <c r="P31" s="81" t="s">
        <v>62</v>
      </c>
      <c r="Q31" s="84" t="s">
        <v>62</v>
      </c>
      <c r="S31" s="90" t="s">
        <v>62</v>
      </c>
      <c r="T31" s="90" t="s">
        <v>62</v>
      </c>
      <c r="U31" s="90" t="s">
        <v>62</v>
      </c>
      <c r="V31" s="90" t="s">
        <v>62</v>
      </c>
      <c r="W31" s="90" t="s">
        <v>62</v>
      </c>
    </row>
    <row r="32" spans="1:23" x14ac:dyDescent="0.3">
      <c r="A32" s="128"/>
      <c r="B32" s="128"/>
      <c r="C32" s="82"/>
      <c r="D32" s="81"/>
      <c r="E32" s="81"/>
      <c r="F32" s="83"/>
      <c r="G32" s="81"/>
      <c r="H32" s="81"/>
      <c r="I32" s="81"/>
      <c r="J32" s="23" t="s">
        <v>43</v>
      </c>
      <c r="K32" s="23"/>
      <c r="L32" s="23"/>
      <c r="M32" s="23"/>
      <c r="N32" s="23"/>
      <c r="O32" s="23"/>
      <c r="P32" s="81"/>
      <c r="Q32" s="84"/>
      <c r="S32" s="90"/>
      <c r="T32" s="90"/>
      <c r="U32" s="90"/>
      <c r="V32" s="90"/>
      <c r="W32" s="90"/>
    </row>
    <row r="33" spans="1:23" x14ac:dyDescent="0.3">
      <c r="A33" s="128"/>
      <c r="B33" s="128"/>
      <c r="C33" s="82" t="s">
        <v>111</v>
      </c>
      <c r="D33" s="83" t="s">
        <v>110</v>
      </c>
      <c r="E33" s="81" t="s">
        <v>62</v>
      </c>
      <c r="F33" s="83" t="s">
        <v>62</v>
      </c>
      <c r="G33" s="81" t="s">
        <v>64</v>
      </c>
      <c r="H33" s="81" t="s">
        <v>62</v>
      </c>
      <c r="I33" s="81"/>
      <c r="J33" s="23" t="s">
        <v>38</v>
      </c>
      <c r="K33" s="23"/>
      <c r="L33" s="23"/>
      <c r="M33" s="23"/>
      <c r="N33" s="23"/>
      <c r="O33" s="23"/>
      <c r="P33" s="81" t="s">
        <v>62</v>
      </c>
      <c r="Q33" s="84" t="s">
        <v>62</v>
      </c>
      <c r="S33" s="90" t="s">
        <v>62</v>
      </c>
      <c r="T33" s="90" t="s">
        <v>62</v>
      </c>
      <c r="U33" s="90" t="s">
        <v>62</v>
      </c>
      <c r="V33" s="90" t="s">
        <v>62</v>
      </c>
      <c r="W33" s="90" t="s">
        <v>62</v>
      </c>
    </row>
    <row r="34" spans="1:23" x14ac:dyDescent="0.3">
      <c r="A34" s="128"/>
      <c r="B34" s="128"/>
      <c r="C34" s="82"/>
      <c r="D34" s="81"/>
      <c r="E34" s="81"/>
      <c r="F34" s="83"/>
      <c r="G34" s="81"/>
      <c r="H34" s="81"/>
      <c r="I34" s="81"/>
      <c r="J34" s="23" t="s">
        <v>43</v>
      </c>
      <c r="K34" s="23"/>
      <c r="L34" s="23"/>
      <c r="M34" s="23"/>
      <c r="N34" s="23"/>
      <c r="O34" s="23"/>
      <c r="P34" s="81"/>
      <c r="Q34" s="84"/>
      <c r="S34" s="90"/>
      <c r="T34" s="90"/>
      <c r="U34" s="90"/>
      <c r="V34" s="90"/>
      <c r="W34" s="90"/>
    </row>
    <row r="35" spans="1:23" x14ac:dyDescent="0.3">
      <c r="A35" s="128"/>
      <c r="B35" s="128"/>
      <c r="C35" s="82" t="s">
        <v>112</v>
      </c>
      <c r="D35" s="83" t="s">
        <v>34</v>
      </c>
      <c r="E35" s="81" t="s">
        <v>35</v>
      </c>
      <c r="F35" s="83">
        <v>0.03</v>
      </c>
      <c r="G35" s="81" t="s">
        <v>64</v>
      </c>
      <c r="H35" s="81" t="s">
        <v>106</v>
      </c>
      <c r="I35" s="81"/>
      <c r="J35" s="23" t="s">
        <v>38</v>
      </c>
      <c r="K35" s="23"/>
      <c r="L35" s="23">
        <v>2</v>
      </c>
      <c r="M35" s="23"/>
      <c r="N35" s="23">
        <v>1</v>
      </c>
      <c r="O35" s="23">
        <v>3</v>
      </c>
      <c r="P35" s="81">
        <v>3</v>
      </c>
      <c r="Q35" s="84">
        <f>+P35*F35</f>
        <v>0.09</v>
      </c>
      <c r="S35" s="90" t="s">
        <v>62</v>
      </c>
      <c r="T35" s="90" t="s">
        <v>113</v>
      </c>
      <c r="U35" s="90" t="s">
        <v>114</v>
      </c>
      <c r="V35" s="90" t="s">
        <v>115</v>
      </c>
      <c r="W35" s="90" t="s">
        <v>116</v>
      </c>
    </row>
    <row r="36" spans="1:23" x14ac:dyDescent="0.3">
      <c r="A36" s="128"/>
      <c r="B36" s="128"/>
      <c r="C36" s="82"/>
      <c r="D36" s="81"/>
      <c r="E36" s="81"/>
      <c r="F36" s="83"/>
      <c r="G36" s="81"/>
      <c r="H36" s="81"/>
      <c r="I36" s="81"/>
      <c r="J36" s="23" t="s">
        <v>43</v>
      </c>
      <c r="K36" s="23"/>
      <c r="L36" s="23">
        <v>1</v>
      </c>
      <c r="M36" s="23"/>
      <c r="N36" s="23">
        <v>2</v>
      </c>
      <c r="O36" s="23">
        <v>3</v>
      </c>
      <c r="P36" s="81"/>
      <c r="Q36" s="84"/>
      <c r="S36" s="90"/>
      <c r="T36" s="90"/>
      <c r="U36" s="90"/>
      <c r="V36" s="90"/>
      <c r="W36" s="90"/>
    </row>
    <row r="37" spans="1:23" x14ac:dyDescent="0.3">
      <c r="A37" s="128"/>
      <c r="B37" s="128"/>
      <c r="C37" s="82" t="s">
        <v>117</v>
      </c>
      <c r="D37" s="83" t="s">
        <v>34</v>
      </c>
      <c r="E37" s="81" t="s">
        <v>35</v>
      </c>
      <c r="F37" s="83">
        <v>0.02</v>
      </c>
      <c r="G37" s="81" t="s">
        <v>64</v>
      </c>
      <c r="H37" s="81" t="s">
        <v>106</v>
      </c>
      <c r="I37" s="81"/>
      <c r="J37" s="23" t="s">
        <v>38</v>
      </c>
      <c r="K37" s="23"/>
      <c r="L37" s="23">
        <v>0</v>
      </c>
      <c r="M37" s="23"/>
      <c r="N37" s="23">
        <v>1</v>
      </c>
      <c r="O37" s="23">
        <v>1</v>
      </c>
      <c r="P37" s="81">
        <v>2</v>
      </c>
      <c r="Q37" s="84">
        <f>+P37*F37</f>
        <v>0.04</v>
      </c>
      <c r="S37" s="90" t="s">
        <v>62</v>
      </c>
      <c r="T37" s="90" t="s">
        <v>113</v>
      </c>
      <c r="U37" s="90" t="s">
        <v>114</v>
      </c>
      <c r="V37" s="90" t="s">
        <v>115</v>
      </c>
      <c r="W37" s="90" t="s">
        <v>116</v>
      </c>
    </row>
    <row r="38" spans="1:23" x14ac:dyDescent="0.3">
      <c r="A38" s="128"/>
      <c r="B38" s="128"/>
      <c r="C38" s="82"/>
      <c r="D38" s="81"/>
      <c r="E38" s="81"/>
      <c r="F38" s="83"/>
      <c r="G38" s="81"/>
      <c r="H38" s="81"/>
      <c r="I38" s="81"/>
      <c r="J38" s="23" t="s">
        <v>43</v>
      </c>
      <c r="K38" s="23"/>
      <c r="L38" s="23">
        <v>1</v>
      </c>
      <c r="M38" s="23"/>
      <c r="N38" s="23">
        <v>2</v>
      </c>
      <c r="O38" s="23">
        <v>3</v>
      </c>
      <c r="P38" s="81"/>
      <c r="Q38" s="84"/>
      <c r="S38" s="90"/>
      <c r="T38" s="90"/>
      <c r="U38" s="90"/>
      <c r="V38" s="90"/>
      <c r="W38" s="90"/>
    </row>
    <row r="39" spans="1:23" x14ac:dyDescent="0.3">
      <c r="A39" s="128"/>
      <c r="B39" s="128" t="s">
        <v>118</v>
      </c>
      <c r="C39" s="82" t="s">
        <v>119</v>
      </c>
      <c r="D39" s="83" t="s">
        <v>34</v>
      </c>
      <c r="E39" s="81" t="s">
        <v>35</v>
      </c>
      <c r="F39" s="83">
        <v>0.04</v>
      </c>
      <c r="G39" s="81" t="s">
        <v>58</v>
      </c>
      <c r="H39" s="81" t="s">
        <v>50</v>
      </c>
      <c r="I39" s="81"/>
      <c r="J39" s="23" t="s">
        <v>38</v>
      </c>
      <c r="K39" s="29"/>
      <c r="L39" s="23"/>
      <c r="M39" s="23"/>
      <c r="N39" s="23"/>
      <c r="O39" s="25">
        <v>0.95</v>
      </c>
      <c r="P39" s="81">
        <v>5</v>
      </c>
      <c r="Q39" s="84">
        <f>+P39*F39</f>
        <v>0.2</v>
      </c>
      <c r="S39" s="90" t="s">
        <v>120</v>
      </c>
      <c r="T39" s="90" t="s">
        <v>121</v>
      </c>
      <c r="U39" s="90" t="s">
        <v>71</v>
      </c>
      <c r="V39" s="90" t="s">
        <v>72</v>
      </c>
      <c r="W39" s="90" t="s">
        <v>122</v>
      </c>
    </row>
    <row r="40" spans="1:23" x14ac:dyDescent="0.3">
      <c r="A40" s="128"/>
      <c r="B40" s="128"/>
      <c r="C40" s="82"/>
      <c r="D40" s="81"/>
      <c r="E40" s="81"/>
      <c r="F40" s="83"/>
      <c r="G40" s="81"/>
      <c r="H40" s="81"/>
      <c r="I40" s="81"/>
      <c r="J40" s="23" t="s">
        <v>43</v>
      </c>
      <c r="K40" s="29"/>
      <c r="L40" s="29"/>
      <c r="M40" s="29"/>
      <c r="N40" s="29"/>
      <c r="O40" s="29" t="s">
        <v>71</v>
      </c>
      <c r="P40" s="81"/>
      <c r="Q40" s="84"/>
      <c r="S40" s="90"/>
      <c r="T40" s="90"/>
      <c r="U40" s="90"/>
      <c r="V40" s="90"/>
      <c r="W40" s="90"/>
    </row>
    <row r="41" spans="1:23" x14ac:dyDescent="0.3">
      <c r="A41" s="12"/>
      <c r="B41" s="13"/>
      <c r="C41" s="13"/>
      <c r="D41" s="13"/>
      <c r="E41" s="13"/>
      <c r="F41" s="16">
        <f>SUM(F7:F40)</f>
        <v>0.95000000000000007</v>
      </c>
      <c r="G41" s="13"/>
      <c r="H41" s="13"/>
      <c r="I41" s="13"/>
      <c r="J41" s="13"/>
      <c r="K41" s="13"/>
      <c r="L41" s="13"/>
      <c r="M41" s="13"/>
      <c r="N41" s="13"/>
      <c r="O41" s="11" t="s">
        <v>123</v>
      </c>
      <c r="P41" s="87">
        <f>SUM(Q7:Q40)</f>
        <v>2.2100000000000004</v>
      </c>
      <c r="Q41" s="87"/>
    </row>
    <row r="47" spans="1:23" ht="21" customHeight="1" x14ac:dyDescent="0.3">
      <c r="A47" s="31"/>
      <c r="C47" s="120" t="s">
        <v>56</v>
      </c>
      <c r="D47" s="122" t="s">
        <v>34</v>
      </c>
      <c r="E47" s="79" t="s">
        <v>57</v>
      </c>
      <c r="F47" s="122">
        <v>0.05</v>
      </c>
      <c r="G47" s="79" t="s">
        <v>58</v>
      </c>
      <c r="H47" s="79" t="s">
        <v>59</v>
      </c>
      <c r="I47" s="79"/>
      <c r="J47" s="23" t="s">
        <v>38</v>
      </c>
      <c r="K47" s="14"/>
      <c r="L47" s="14"/>
      <c r="M47" s="14"/>
      <c r="N47" s="14"/>
      <c r="O47" s="14"/>
      <c r="P47" s="79"/>
      <c r="Q47" s="126">
        <f>+P47*F47</f>
        <v>0</v>
      </c>
      <c r="S47" s="83">
        <v>-0.79</v>
      </c>
      <c r="T47" s="132" t="s">
        <v>60</v>
      </c>
      <c r="U47" s="132" t="s">
        <v>61</v>
      </c>
      <c r="V47" s="132" t="s">
        <v>62</v>
      </c>
      <c r="W47" s="132" t="s">
        <v>62</v>
      </c>
    </row>
    <row r="48" spans="1:23" ht="30.75" customHeight="1" x14ac:dyDescent="0.3">
      <c r="A48" s="31"/>
      <c r="B48" s="31"/>
      <c r="C48" s="121"/>
      <c r="D48" s="101"/>
      <c r="E48" s="80"/>
      <c r="F48" s="101"/>
      <c r="G48" s="80"/>
      <c r="H48" s="80"/>
      <c r="I48" s="80"/>
      <c r="J48" s="23" t="s">
        <v>43</v>
      </c>
      <c r="K48" s="25">
        <v>0.95</v>
      </c>
      <c r="L48" s="25">
        <v>0.95</v>
      </c>
      <c r="M48" s="25">
        <v>0.95</v>
      </c>
      <c r="N48" s="25">
        <v>0.95</v>
      </c>
      <c r="O48" s="25">
        <v>0.95</v>
      </c>
      <c r="P48" s="80"/>
      <c r="Q48" s="117"/>
      <c r="S48" s="83"/>
      <c r="T48" s="132"/>
      <c r="U48" s="132"/>
      <c r="V48" s="132"/>
      <c r="W48" s="132"/>
    </row>
  </sheetData>
  <mergeCells count="283">
    <mergeCell ref="B7:B12"/>
    <mergeCell ref="B17:B24"/>
    <mergeCell ref="A5:Q5"/>
    <mergeCell ref="C7:C8"/>
    <mergeCell ref="D7:D8"/>
    <mergeCell ref="E7:E8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F7:F8"/>
    <mergeCell ref="G7:G8"/>
    <mergeCell ref="H7:H8"/>
    <mergeCell ref="I7:I8"/>
    <mergeCell ref="P7:P8"/>
    <mergeCell ref="Q7:Q8"/>
    <mergeCell ref="A7:A16"/>
    <mergeCell ref="B13:B16"/>
    <mergeCell ref="D13:D14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E13:E14"/>
    <mergeCell ref="F13:F14"/>
    <mergeCell ref="G13:G14"/>
    <mergeCell ref="H13:H14"/>
    <mergeCell ref="I13:I14"/>
    <mergeCell ref="P13:P14"/>
    <mergeCell ref="C11:C12"/>
    <mergeCell ref="D11:D12"/>
    <mergeCell ref="E11:E12"/>
    <mergeCell ref="H11:H12"/>
    <mergeCell ref="C47:C48"/>
    <mergeCell ref="D47:D48"/>
    <mergeCell ref="E47:E48"/>
    <mergeCell ref="F47:F48"/>
    <mergeCell ref="G47:G48"/>
    <mergeCell ref="H47:H48"/>
    <mergeCell ref="I47:I48"/>
    <mergeCell ref="P47:P48"/>
    <mergeCell ref="Q47:Q48"/>
    <mergeCell ref="A17:A30"/>
    <mergeCell ref="C17:C18"/>
    <mergeCell ref="D17:D18"/>
    <mergeCell ref="E17:E18"/>
    <mergeCell ref="F17:F18"/>
    <mergeCell ref="P19:P20"/>
    <mergeCell ref="B25:B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K30:L30"/>
    <mergeCell ref="M30:N30"/>
    <mergeCell ref="K29:L29"/>
    <mergeCell ref="M29:N29"/>
    <mergeCell ref="G15:G16"/>
    <mergeCell ref="H15:H16"/>
    <mergeCell ref="I15:I16"/>
    <mergeCell ref="P15:P16"/>
    <mergeCell ref="Q15:Q16"/>
    <mergeCell ref="I11:I12"/>
    <mergeCell ref="P11:P12"/>
    <mergeCell ref="F11:F12"/>
    <mergeCell ref="G11:G12"/>
    <mergeCell ref="Q11:Q12"/>
    <mergeCell ref="Q19:Q20"/>
    <mergeCell ref="C21:C22"/>
    <mergeCell ref="D21:D22"/>
    <mergeCell ref="E21:E22"/>
    <mergeCell ref="G17:G18"/>
    <mergeCell ref="H17:H18"/>
    <mergeCell ref="P17:P18"/>
    <mergeCell ref="C13:C14"/>
    <mergeCell ref="Q17:Q18"/>
    <mergeCell ref="C19:C20"/>
    <mergeCell ref="D19:D20"/>
    <mergeCell ref="E19:E20"/>
    <mergeCell ref="F19:F20"/>
    <mergeCell ref="G19:G20"/>
    <mergeCell ref="H21:H22"/>
    <mergeCell ref="I21:I22"/>
    <mergeCell ref="F21:F22"/>
    <mergeCell ref="G21:G22"/>
    <mergeCell ref="I17:I18"/>
    <mergeCell ref="Q13:Q14"/>
    <mergeCell ref="C15:C16"/>
    <mergeCell ref="D15:D16"/>
    <mergeCell ref="E15:E16"/>
    <mergeCell ref="F15:F16"/>
    <mergeCell ref="A31:A40"/>
    <mergeCell ref="B31:B38"/>
    <mergeCell ref="C31:C32"/>
    <mergeCell ref="D31:D32"/>
    <mergeCell ref="E31:E32"/>
    <mergeCell ref="F31:F32"/>
    <mergeCell ref="G31:G32"/>
    <mergeCell ref="H31:H32"/>
    <mergeCell ref="P27:P28"/>
    <mergeCell ref="B29:B30"/>
    <mergeCell ref="C29:C30"/>
    <mergeCell ref="D29:D30"/>
    <mergeCell ref="E29:E30"/>
    <mergeCell ref="F29:F30"/>
    <mergeCell ref="G29:G30"/>
    <mergeCell ref="H29:H30"/>
    <mergeCell ref="I29:I30"/>
    <mergeCell ref="C27:C28"/>
    <mergeCell ref="D27:D28"/>
    <mergeCell ref="E27:E28"/>
    <mergeCell ref="F27:F28"/>
    <mergeCell ref="G27:G28"/>
    <mergeCell ref="H27:H28"/>
    <mergeCell ref="I27:I28"/>
    <mergeCell ref="C35:C36"/>
    <mergeCell ref="D35:D36"/>
    <mergeCell ref="E35:E36"/>
    <mergeCell ref="F35:F36"/>
    <mergeCell ref="G35:G36"/>
    <mergeCell ref="H35:H36"/>
    <mergeCell ref="I35:I36"/>
    <mergeCell ref="P35:P36"/>
    <mergeCell ref="I31:I32"/>
    <mergeCell ref="P31:P32"/>
    <mergeCell ref="C33:C34"/>
    <mergeCell ref="D33:D34"/>
    <mergeCell ref="E33:E34"/>
    <mergeCell ref="F33:F34"/>
    <mergeCell ref="G33:G34"/>
    <mergeCell ref="H33:H34"/>
    <mergeCell ref="I33:I34"/>
    <mergeCell ref="P41:Q41"/>
    <mergeCell ref="S4:W4"/>
    <mergeCell ref="S5:S6"/>
    <mergeCell ref="T5:T6"/>
    <mergeCell ref="U5:U6"/>
    <mergeCell ref="V5:V6"/>
    <mergeCell ref="B39:B40"/>
    <mergeCell ref="C39:C40"/>
    <mergeCell ref="D39:D40"/>
    <mergeCell ref="E39:E40"/>
    <mergeCell ref="F39:F40"/>
    <mergeCell ref="G39:G40"/>
    <mergeCell ref="Q35:Q36"/>
    <mergeCell ref="C37:C38"/>
    <mergeCell ref="D37:D38"/>
    <mergeCell ref="E37:E38"/>
    <mergeCell ref="F37:F38"/>
    <mergeCell ref="G37:G38"/>
    <mergeCell ref="H37:H38"/>
    <mergeCell ref="I37:I38"/>
    <mergeCell ref="P37:P38"/>
    <mergeCell ref="Q37:Q38"/>
    <mergeCell ref="P33:P34"/>
    <mergeCell ref="Q33:Q34"/>
    <mergeCell ref="W5:W6"/>
    <mergeCell ref="S7:S8"/>
    <mergeCell ref="T7:T8"/>
    <mergeCell ref="U7:U8"/>
    <mergeCell ref="V7:V8"/>
    <mergeCell ref="W7:W8"/>
    <mergeCell ref="H39:H40"/>
    <mergeCell ref="I39:I40"/>
    <mergeCell ref="P39:P40"/>
    <mergeCell ref="Q39:Q40"/>
    <mergeCell ref="Q31:Q32"/>
    <mergeCell ref="P29:P30"/>
    <mergeCell ref="Q29:Q30"/>
    <mergeCell ref="Q27:Q28"/>
    <mergeCell ref="I25:I26"/>
    <mergeCell ref="P25:P26"/>
    <mergeCell ref="Q25:Q26"/>
    <mergeCell ref="I23:I24"/>
    <mergeCell ref="P23:P24"/>
    <mergeCell ref="Q23:Q24"/>
    <mergeCell ref="P21:P22"/>
    <mergeCell ref="Q21:Q22"/>
    <mergeCell ref="H19:H20"/>
    <mergeCell ref="I19:I20"/>
    <mergeCell ref="S9:S10"/>
    <mergeCell ref="T9:T10"/>
    <mergeCell ref="U9:U10"/>
    <mergeCell ref="V9:V10"/>
    <mergeCell ref="W9:W10"/>
    <mergeCell ref="S11:S12"/>
    <mergeCell ref="T11:T12"/>
    <mergeCell ref="U11:U12"/>
    <mergeCell ref="V11:V12"/>
    <mergeCell ref="W11:W12"/>
    <mergeCell ref="T29:T30"/>
    <mergeCell ref="S47:S48"/>
    <mergeCell ref="T47:T48"/>
    <mergeCell ref="U47:U48"/>
    <mergeCell ref="V47:V48"/>
    <mergeCell ref="W47:W48"/>
    <mergeCell ref="S13:S14"/>
    <mergeCell ref="T13:T14"/>
    <mergeCell ref="U13:U14"/>
    <mergeCell ref="V13:V14"/>
    <mergeCell ref="W13:W14"/>
    <mergeCell ref="S15:S16"/>
    <mergeCell ref="T15:T16"/>
    <mergeCell ref="U15:U16"/>
    <mergeCell ref="V15:V16"/>
    <mergeCell ref="W15:W16"/>
    <mergeCell ref="S17:S18"/>
    <mergeCell ref="T17:T18"/>
    <mergeCell ref="U17:U18"/>
    <mergeCell ref="V17:V18"/>
    <mergeCell ref="W17:W18"/>
    <mergeCell ref="S19:S20"/>
    <mergeCell ref="T19:T20"/>
    <mergeCell ref="U19:U20"/>
    <mergeCell ref="W19:W20"/>
    <mergeCell ref="S21:S22"/>
    <mergeCell ref="T21:T22"/>
    <mergeCell ref="U21:U22"/>
    <mergeCell ref="V21:V22"/>
    <mergeCell ref="W21:W22"/>
    <mergeCell ref="S23:S24"/>
    <mergeCell ref="T23:T24"/>
    <mergeCell ref="U23:U24"/>
    <mergeCell ref="V23:V24"/>
    <mergeCell ref="W23:W24"/>
    <mergeCell ref="V19:V20"/>
    <mergeCell ref="U29:U30"/>
    <mergeCell ref="V29:V30"/>
    <mergeCell ref="W29:W30"/>
    <mergeCell ref="S25:S26"/>
    <mergeCell ref="T25:T26"/>
    <mergeCell ref="U25:U26"/>
    <mergeCell ref="V25:V26"/>
    <mergeCell ref="W25:W26"/>
    <mergeCell ref="U33:U34"/>
    <mergeCell ref="V33:V34"/>
    <mergeCell ref="W33:W34"/>
    <mergeCell ref="S27:S28"/>
    <mergeCell ref="S31:S32"/>
    <mergeCell ref="T31:T32"/>
    <mergeCell ref="U31:U32"/>
    <mergeCell ref="V31:V32"/>
    <mergeCell ref="W31:W32"/>
    <mergeCell ref="S33:S34"/>
    <mergeCell ref="T33:T34"/>
    <mergeCell ref="T27:T28"/>
    <mergeCell ref="U27:U28"/>
    <mergeCell ref="V27:V28"/>
    <mergeCell ref="W27:W28"/>
    <mergeCell ref="S29:S30"/>
    <mergeCell ref="S39:S40"/>
    <mergeCell ref="T39:T40"/>
    <mergeCell ref="U39:U40"/>
    <mergeCell ref="V39:V40"/>
    <mergeCell ref="W39:W40"/>
    <mergeCell ref="S35:S36"/>
    <mergeCell ref="T35:T36"/>
    <mergeCell ref="U35:U36"/>
    <mergeCell ref="V35:V36"/>
    <mergeCell ref="W35:W36"/>
    <mergeCell ref="S37:S38"/>
    <mergeCell ref="T37:T38"/>
    <mergeCell ref="U37:U38"/>
    <mergeCell ref="V37:V38"/>
    <mergeCell ref="W37:W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96D-62CC-497F-85F3-1530430A438E}">
  <dimension ref="A1:W83"/>
  <sheetViews>
    <sheetView topLeftCell="A22" workbookViewId="0">
      <selection activeCell="C13" sqref="C13:C14"/>
    </sheetView>
  </sheetViews>
  <sheetFormatPr defaultColWidth="8.88671875" defaultRowHeight="13.8" x14ac:dyDescent="0.3"/>
  <cols>
    <col min="1" max="2" width="6.33203125" style="1" customWidth="1"/>
    <col min="3" max="3" width="26.109375" style="1" customWidth="1"/>
    <col min="4" max="6" width="8.88671875" style="1" customWidth="1"/>
    <col min="7" max="7" width="5.6640625" style="1" customWidth="1"/>
    <col min="8" max="8" width="6" style="1" customWidth="1"/>
    <col min="9" max="9" width="6.88671875" style="1" customWidth="1"/>
    <col min="10" max="10" width="6.5546875" style="2" customWidth="1"/>
    <col min="11" max="14" width="8" style="2" customWidth="1"/>
    <col min="15" max="16" width="8.88671875" style="2" customWidth="1"/>
    <col min="17" max="17" width="8" style="2" customWidth="1"/>
    <col min="18" max="18" width="24.109375" style="1" customWidth="1"/>
    <col min="19" max="23" width="16.6640625" style="1" customWidth="1"/>
    <col min="24" max="16384" width="8.88671875" style="1"/>
  </cols>
  <sheetData>
    <row r="1" spans="1:23" ht="31.9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ht="18.600000000000001" customHeight="1" x14ac:dyDescent="0.3">
      <c r="A2" s="110" t="s">
        <v>1</v>
      </c>
      <c r="B2" s="110"/>
      <c r="C2" s="113">
        <v>44887</v>
      </c>
      <c r="D2" s="113"/>
      <c r="E2" s="5" t="s">
        <v>2</v>
      </c>
      <c r="F2" s="5"/>
      <c r="G2" s="113">
        <v>44652</v>
      </c>
      <c r="H2" s="113"/>
      <c r="I2" s="113"/>
      <c r="J2" s="113"/>
      <c r="K2" s="113"/>
      <c r="L2" s="113"/>
      <c r="M2" s="113"/>
      <c r="N2" s="113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ht="15" customHeight="1" x14ac:dyDescent="0.3">
      <c r="A4" s="111" t="s">
        <v>6</v>
      </c>
      <c r="B4" s="111"/>
      <c r="C4" s="123" t="s">
        <v>7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130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s="4" customFormat="1" ht="5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s="4" customFormat="1" ht="16.5" customHeight="1" x14ac:dyDescent="0.3">
      <c r="A7" s="77" t="s">
        <v>31</v>
      </c>
      <c r="B7" s="77" t="s">
        <v>32</v>
      </c>
      <c r="C7" s="144" t="s">
        <v>131</v>
      </c>
      <c r="D7" s="83" t="s">
        <v>34</v>
      </c>
      <c r="E7" s="81" t="s">
        <v>35</v>
      </c>
      <c r="F7" s="83">
        <v>0.1</v>
      </c>
      <c r="G7" s="81" t="s">
        <v>36</v>
      </c>
      <c r="H7" s="81" t="s">
        <v>37</v>
      </c>
      <c r="I7" s="81">
        <v>0.95</v>
      </c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1">
        <v>3</v>
      </c>
      <c r="Q7" s="194">
        <f>+P7*F7</f>
        <v>0.30000000000000004</v>
      </c>
      <c r="R7" s="85">
        <f>+(5*F7)-Q7</f>
        <v>0.19999999999999996</v>
      </c>
      <c r="S7" s="83" t="s">
        <v>135</v>
      </c>
      <c r="T7" s="132" t="s">
        <v>60</v>
      </c>
      <c r="U7" s="132" t="s">
        <v>61</v>
      </c>
      <c r="V7" s="132" t="s">
        <v>62</v>
      </c>
      <c r="W7" s="132" t="s">
        <v>62</v>
      </c>
    </row>
    <row r="8" spans="1:23" s="4" customFormat="1" ht="16.5" customHeight="1" x14ac:dyDescent="0.3">
      <c r="A8" s="77"/>
      <c r="B8" s="77"/>
      <c r="C8" s="144"/>
      <c r="D8" s="83"/>
      <c r="E8" s="81"/>
      <c r="F8" s="83"/>
      <c r="G8" s="81"/>
      <c r="H8" s="81"/>
      <c r="I8" s="81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1"/>
      <c r="Q8" s="194"/>
      <c r="R8" s="85"/>
      <c r="S8" s="83"/>
      <c r="T8" s="132"/>
      <c r="U8" s="132"/>
      <c r="V8" s="132"/>
      <c r="W8" s="132"/>
    </row>
    <row r="9" spans="1:23" s="4" customFormat="1" ht="16.5" customHeight="1" x14ac:dyDescent="0.3">
      <c r="A9" s="77"/>
      <c r="B9" s="77"/>
      <c r="C9" s="144" t="s">
        <v>132</v>
      </c>
      <c r="D9" s="83" t="s">
        <v>34</v>
      </c>
      <c r="E9" s="81" t="s">
        <v>35</v>
      </c>
      <c r="F9" s="83">
        <v>0.1</v>
      </c>
      <c r="G9" s="81" t="s">
        <v>36</v>
      </c>
      <c r="H9" s="81" t="s">
        <v>37</v>
      </c>
      <c r="I9" s="81">
        <v>0.95</v>
      </c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1">
        <v>3</v>
      </c>
      <c r="Q9" s="162">
        <f>+P9*F9</f>
        <v>0.30000000000000004</v>
      </c>
      <c r="R9" s="85">
        <f>+(5*F9)-Q9</f>
        <v>0.19999999999999996</v>
      </c>
      <c r="S9" s="83" t="s">
        <v>135</v>
      </c>
      <c r="T9" s="132" t="s">
        <v>60</v>
      </c>
      <c r="U9" s="132" t="s">
        <v>61</v>
      </c>
      <c r="V9" s="132" t="s">
        <v>62</v>
      </c>
      <c r="W9" s="132" t="s">
        <v>62</v>
      </c>
    </row>
    <row r="10" spans="1:23" s="4" customFormat="1" ht="16.5" customHeight="1" x14ac:dyDescent="0.3">
      <c r="A10" s="77"/>
      <c r="B10" s="77"/>
      <c r="C10" s="144"/>
      <c r="D10" s="83"/>
      <c r="E10" s="81"/>
      <c r="F10" s="83"/>
      <c r="G10" s="81"/>
      <c r="H10" s="81"/>
      <c r="I10" s="81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1"/>
      <c r="Q10" s="162"/>
      <c r="R10" s="85"/>
      <c r="S10" s="83"/>
      <c r="T10" s="132"/>
      <c r="U10" s="132"/>
      <c r="V10" s="132"/>
      <c r="W10" s="132"/>
    </row>
    <row r="11" spans="1:23" s="4" customFormat="1" ht="16.5" customHeight="1" x14ac:dyDescent="0.3">
      <c r="A11" s="77"/>
      <c r="B11" s="77"/>
      <c r="C11" s="82" t="s">
        <v>133</v>
      </c>
      <c r="D11" s="83" t="s">
        <v>34</v>
      </c>
      <c r="E11" s="81" t="s">
        <v>35</v>
      </c>
      <c r="F11" s="83">
        <v>0.05</v>
      </c>
      <c r="G11" s="81" t="s">
        <v>36</v>
      </c>
      <c r="H11" s="81" t="s">
        <v>50</v>
      </c>
      <c r="I11" s="81"/>
      <c r="J11" s="23" t="s">
        <v>38</v>
      </c>
      <c r="K11" s="191" t="s">
        <v>62</v>
      </c>
      <c r="L11" s="192"/>
      <c r="M11" s="192"/>
      <c r="N11" s="193"/>
      <c r="O11" s="17" t="s">
        <v>62</v>
      </c>
      <c r="P11" s="81"/>
      <c r="Q11" s="162">
        <f>+P11*F11</f>
        <v>0</v>
      </c>
      <c r="R11" s="85">
        <f>+(5*F11)-Q11</f>
        <v>0.25</v>
      </c>
      <c r="S11" s="83" t="s">
        <v>135</v>
      </c>
      <c r="T11" s="132" t="s">
        <v>60</v>
      </c>
      <c r="U11" s="132" t="s">
        <v>61</v>
      </c>
      <c r="V11" s="132" t="s">
        <v>62</v>
      </c>
      <c r="W11" s="132" t="s">
        <v>62</v>
      </c>
    </row>
    <row r="12" spans="1:23" s="4" customFormat="1" ht="16.5" customHeight="1" x14ac:dyDescent="0.3">
      <c r="A12" s="77"/>
      <c r="B12" s="77"/>
      <c r="C12" s="82"/>
      <c r="D12" s="83"/>
      <c r="E12" s="81"/>
      <c r="F12" s="83"/>
      <c r="G12" s="81"/>
      <c r="H12" s="81"/>
      <c r="I12" s="81"/>
      <c r="J12" s="23" t="s">
        <v>43</v>
      </c>
      <c r="K12" s="191" t="s">
        <v>62</v>
      </c>
      <c r="L12" s="192"/>
      <c r="M12" s="192"/>
      <c r="N12" s="193"/>
      <c r="O12" s="17" t="s">
        <v>62</v>
      </c>
      <c r="P12" s="81"/>
      <c r="Q12" s="162"/>
      <c r="R12" s="85"/>
      <c r="S12" s="83"/>
      <c r="T12" s="132"/>
      <c r="U12" s="132"/>
      <c r="V12" s="132"/>
      <c r="W12" s="132"/>
    </row>
    <row r="13" spans="1:23" s="3" customFormat="1" ht="18" customHeight="1" x14ac:dyDescent="0.3">
      <c r="A13" s="77"/>
      <c r="B13" s="77" t="s">
        <v>55</v>
      </c>
      <c r="C13" s="120" t="s">
        <v>63</v>
      </c>
      <c r="D13" s="122" t="s">
        <v>34</v>
      </c>
      <c r="E13" s="79" t="s">
        <v>57</v>
      </c>
      <c r="F13" s="122">
        <v>0.05</v>
      </c>
      <c r="G13" s="79" t="s">
        <v>64</v>
      </c>
      <c r="H13" s="79" t="s">
        <v>37</v>
      </c>
      <c r="I13" s="79">
        <v>9</v>
      </c>
      <c r="J13" s="23" t="s">
        <v>38</v>
      </c>
      <c r="K13" s="18">
        <v>16</v>
      </c>
      <c r="L13" s="18">
        <v>10</v>
      </c>
      <c r="M13" s="18">
        <v>19</v>
      </c>
      <c r="N13" s="18">
        <v>21</v>
      </c>
      <c r="O13" s="19">
        <v>66</v>
      </c>
      <c r="P13" s="79">
        <v>3</v>
      </c>
      <c r="Q13" s="162">
        <f>+P13*F13</f>
        <v>0.15000000000000002</v>
      </c>
      <c r="R13" s="129">
        <f>+(5*F13)-Q13</f>
        <v>9.9999999999999978E-2</v>
      </c>
      <c r="S13" s="79" t="s">
        <v>136</v>
      </c>
      <c r="T13" s="79" t="s">
        <v>137</v>
      </c>
      <c r="U13" s="79" t="s">
        <v>138</v>
      </c>
      <c r="V13" s="79" t="s">
        <v>139</v>
      </c>
      <c r="W13" s="79" t="s">
        <v>140</v>
      </c>
    </row>
    <row r="14" spans="1:23" s="3" customFormat="1" ht="18" customHeight="1" x14ac:dyDescent="0.3">
      <c r="A14" s="77"/>
      <c r="B14" s="77"/>
      <c r="C14" s="121"/>
      <c r="D14" s="101"/>
      <c r="E14" s="80"/>
      <c r="F14" s="101"/>
      <c r="G14" s="80"/>
      <c r="H14" s="80"/>
      <c r="I14" s="80"/>
      <c r="J14" s="23" t="s">
        <v>43</v>
      </c>
      <c r="K14" s="18">
        <v>11</v>
      </c>
      <c r="L14" s="18">
        <v>11</v>
      </c>
      <c r="M14" s="18">
        <v>11</v>
      </c>
      <c r="N14" s="18">
        <v>11</v>
      </c>
      <c r="O14" s="19" t="s">
        <v>138</v>
      </c>
      <c r="P14" s="80"/>
      <c r="Q14" s="163"/>
      <c r="R14" s="129"/>
      <c r="S14" s="80"/>
      <c r="T14" s="80"/>
      <c r="U14" s="80"/>
      <c r="V14" s="80"/>
      <c r="W14" s="80"/>
    </row>
    <row r="15" spans="1:23" s="3" customFormat="1" ht="18" customHeight="1" x14ac:dyDescent="0.3">
      <c r="A15" s="77"/>
      <c r="B15" s="77"/>
      <c r="C15" s="135" t="s">
        <v>70</v>
      </c>
      <c r="D15" s="122" t="s">
        <v>34</v>
      </c>
      <c r="E15" s="79" t="s">
        <v>57</v>
      </c>
      <c r="F15" s="122">
        <v>0.08</v>
      </c>
      <c r="G15" s="79" t="s">
        <v>58</v>
      </c>
      <c r="H15" s="79" t="s">
        <v>37</v>
      </c>
      <c r="I15" s="122">
        <v>0.54</v>
      </c>
      <c r="J15" s="23" t="s">
        <v>38</v>
      </c>
      <c r="K15" s="34">
        <v>0.31</v>
      </c>
      <c r="L15" s="34">
        <v>0.28000000000000003</v>
      </c>
      <c r="M15" s="34">
        <v>0.16</v>
      </c>
      <c r="N15" s="34">
        <v>0.48</v>
      </c>
      <c r="O15" s="38">
        <v>0.31</v>
      </c>
      <c r="P15" s="79">
        <v>0</v>
      </c>
      <c r="Q15" s="162">
        <f>+P15*F15</f>
        <v>0</v>
      </c>
      <c r="R15" s="129">
        <f>+(5*F15)-Q15</f>
        <v>0.4</v>
      </c>
      <c r="S15" s="130" t="s">
        <v>71</v>
      </c>
      <c r="T15" s="130" t="s">
        <v>72</v>
      </c>
      <c r="U15" s="130" t="s">
        <v>73</v>
      </c>
      <c r="V15" s="130" t="s">
        <v>74</v>
      </c>
      <c r="W15" s="130" t="s">
        <v>75</v>
      </c>
    </row>
    <row r="16" spans="1:23" s="3" customFormat="1" ht="18" customHeight="1" x14ac:dyDescent="0.3">
      <c r="A16" s="77"/>
      <c r="B16" s="77"/>
      <c r="C16" s="136"/>
      <c r="D16" s="101"/>
      <c r="E16" s="80"/>
      <c r="F16" s="101"/>
      <c r="G16" s="80"/>
      <c r="H16" s="80"/>
      <c r="I16" s="101"/>
      <c r="J16" s="37" t="s">
        <v>43</v>
      </c>
      <c r="K16" s="36" t="s">
        <v>73</v>
      </c>
      <c r="L16" s="36" t="s">
        <v>73</v>
      </c>
      <c r="M16" s="36" t="s">
        <v>73</v>
      </c>
      <c r="N16" s="36" t="s">
        <v>73</v>
      </c>
      <c r="O16" s="22" t="s">
        <v>73</v>
      </c>
      <c r="P16" s="181"/>
      <c r="Q16" s="182"/>
      <c r="R16" s="129"/>
      <c r="S16" s="131"/>
      <c r="T16" s="131"/>
      <c r="U16" s="131"/>
      <c r="V16" s="131"/>
      <c r="W16" s="131"/>
    </row>
    <row r="17" spans="1:23" s="3" customFormat="1" ht="18" customHeight="1" x14ac:dyDescent="0.3">
      <c r="A17" s="102" t="s">
        <v>76</v>
      </c>
      <c r="B17" s="77" t="s">
        <v>141</v>
      </c>
      <c r="C17" s="178" t="s">
        <v>78</v>
      </c>
      <c r="D17" s="118" t="s">
        <v>34</v>
      </c>
      <c r="E17" s="93" t="s">
        <v>79</v>
      </c>
      <c r="F17" s="118">
        <v>0.15</v>
      </c>
      <c r="G17" s="93" t="s">
        <v>58</v>
      </c>
      <c r="H17" s="93" t="s">
        <v>50</v>
      </c>
      <c r="I17" s="93"/>
      <c r="J17" s="27" t="s">
        <v>38</v>
      </c>
      <c r="K17" s="185"/>
      <c r="L17" s="186"/>
      <c r="M17" s="186"/>
      <c r="N17" s="187"/>
      <c r="O17" s="40">
        <v>0.15</v>
      </c>
      <c r="P17" s="88">
        <v>3</v>
      </c>
      <c r="Q17" s="183">
        <f>+P17*F17</f>
        <v>0.44999999999999996</v>
      </c>
      <c r="R17" s="85">
        <f>+(5*F17)-Q17</f>
        <v>0.30000000000000004</v>
      </c>
      <c r="S17" s="83" t="s">
        <v>142</v>
      </c>
      <c r="T17" s="81" t="s">
        <v>80</v>
      </c>
      <c r="U17" s="79" t="s">
        <v>81</v>
      </c>
      <c r="V17" s="81" t="s">
        <v>82</v>
      </c>
      <c r="W17" s="81" t="s">
        <v>83</v>
      </c>
    </row>
    <row r="18" spans="1:23" s="3" customFormat="1" ht="18" customHeight="1" x14ac:dyDescent="0.3">
      <c r="A18" s="102"/>
      <c r="B18" s="78"/>
      <c r="C18" s="178"/>
      <c r="D18" s="93"/>
      <c r="E18" s="93"/>
      <c r="F18" s="118"/>
      <c r="G18" s="93"/>
      <c r="H18" s="93"/>
      <c r="I18" s="93"/>
      <c r="J18" s="27" t="s">
        <v>43</v>
      </c>
      <c r="K18" s="185" t="s">
        <v>81</v>
      </c>
      <c r="L18" s="186"/>
      <c r="M18" s="186"/>
      <c r="N18" s="187"/>
      <c r="O18" s="22" t="s">
        <v>81</v>
      </c>
      <c r="P18" s="88"/>
      <c r="Q18" s="184"/>
      <c r="R18" s="85"/>
      <c r="S18" s="81"/>
      <c r="T18" s="81"/>
      <c r="U18" s="80"/>
      <c r="V18" s="81"/>
      <c r="W18" s="81"/>
    </row>
    <row r="19" spans="1:23" s="3" customFormat="1" ht="18" customHeight="1" x14ac:dyDescent="0.3">
      <c r="A19" s="102"/>
      <c r="B19" s="78"/>
      <c r="C19" s="178" t="s">
        <v>84</v>
      </c>
      <c r="D19" s="118" t="s">
        <v>34</v>
      </c>
      <c r="E19" s="93" t="s">
        <v>79</v>
      </c>
      <c r="F19" s="118">
        <v>0.1</v>
      </c>
      <c r="G19" s="93" t="s">
        <v>58</v>
      </c>
      <c r="H19" s="93" t="s">
        <v>50</v>
      </c>
      <c r="I19" s="93"/>
      <c r="J19" s="27" t="s">
        <v>38</v>
      </c>
      <c r="K19" s="188"/>
      <c r="L19" s="189"/>
      <c r="M19" s="189"/>
      <c r="N19" s="190"/>
      <c r="O19" s="39">
        <v>0.1</v>
      </c>
      <c r="P19" s="93">
        <v>2</v>
      </c>
      <c r="Q19" s="183">
        <f>+P19*F19</f>
        <v>0.2</v>
      </c>
      <c r="R19" s="85">
        <f>+(5*F19)-Q19</f>
        <v>0.3</v>
      </c>
      <c r="S19" s="83" t="s">
        <v>142</v>
      </c>
      <c r="T19" s="81" t="s">
        <v>80</v>
      </c>
      <c r="U19" s="79" t="s">
        <v>81</v>
      </c>
      <c r="V19" s="81" t="s">
        <v>82</v>
      </c>
      <c r="W19" s="81" t="s">
        <v>83</v>
      </c>
    </row>
    <row r="20" spans="1:23" s="3" customFormat="1" ht="18" customHeight="1" x14ac:dyDescent="0.3">
      <c r="A20" s="102"/>
      <c r="B20" s="78"/>
      <c r="C20" s="178"/>
      <c r="D20" s="93"/>
      <c r="E20" s="93"/>
      <c r="F20" s="118"/>
      <c r="G20" s="93"/>
      <c r="H20" s="93"/>
      <c r="I20" s="93"/>
      <c r="J20" s="27" t="s">
        <v>43</v>
      </c>
      <c r="K20" s="185" t="s">
        <v>81</v>
      </c>
      <c r="L20" s="186"/>
      <c r="M20" s="186"/>
      <c r="N20" s="187"/>
      <c r="O20" s="22" t="s">
        <v>81</v>
      </c>
      <c r="P20" s="93"/>
      <c r="Q20" s="184"/>
      <c r="R20" s="85"/>
      <c r="S20" s="81"/>
      <c r="T20" s="81"/>
      <c r="U20" s="80"/>
      <c r="V20" s="81"/>
      <c r="W20" s="81"/>
    </row>
    <row r="21" spans="1:23" s="3" customFormat="1" ht="18" customHeight="1" x14ac:dyDescent="0.3">
      <c r="A21" s="102"/>
      <c r="B21" s="78"/>
      <c r="C21" s="115" t="s">
        <v>86</v>
      </c>
      <c r="D21" s="101" t="s">
        <v>34</v>
      </c>
      <c r="E21" s="80" t="s">
        <v>35</v>
      </c>
      <c r="F21" s="101">
        <v>0.04</v>
      </c>
      <c r="G21" s="80" t="s">
        <v>64</v>
      </c>
      <c r="H21" s="80" t="s">
        <v>59</v>
      </c>
      <c r="I21" s="80">
        <v>13.25</v>
      </c>
      <c r="J21" s="30" t="s">
        <v>38</v>
      </c>
      <c r="K21" s="30">
        <v>22</v>
      </c>
      <c r="L21" s="30">
        <v>13</v>
      </c>
      <c r="M21" s="30">
        <v>15</v>
      </c>
      <c r="N21" s="30">
        <v>22</v>
      </c>
      <c r="O21" s="30">
        <v>50</v>
      </c>
      <c r="P21" s="80">
        <v>2</v>
      </c>
      <c r="Q21" s="180">
        <f>+P21*F21</f>
        <v>0.08</v>
      </c>
      <c r="R21" s="85">
        <f>+(5*F21)-Q21</f>
        <v>0.12000000000000001</v>
      </c>
      <c r="S21" s="81">
        <v>-49</v>
      </c>
      <c r="T21" s="81" t="s">
        <v>88</v>
      </c>
      <c r="U21" s="81" t="s">
        <v>89</v>
      </c>
      <c r="V21" s="81" t="s">
        <v>143</v>
      </c>
      <c r="W21" s="81" t="s">
        <v>144</v>
      </c>
    </row>
    <row r="22" spans="1:23" s="3" customFormat="1" ht="18" customHeight="1" x14ac:dyDescent="0.3">
      <c r="A22" s="102"/>
      <c r="B22" s="78"/>
      <c r="C22" s="116"/>
      <c r="D22" s="81"/>
      <c r="E22" s="81"/>
      <c r="F22" s="83"/>
      <c r="G22" s="81"/>
      <c r="H22" s="81"/>
      <c r="I22" s="81"/>
      <c r="J22" s="23" t="s">
        <v>43</v>
      </c>
      <c r="K22" s="23">
        <v>16</v>
      </c>
      <c r="L22" s="23">
        <v>16</v>
      </c>
      <c r="M22" s="23">
        <v>16</v>
      </c>
      <c r="N22" s="23">
        <v>16</v>
      </c>
      <c r="O22" s="23" t="s">
        <v>89</v>
      </c>
      <c r="P22" s="81"/>
      <c r="Q22" s="163"/>
      <c r="R22" s="85"/>
      <c r="S22" s="81"/>
      <c r="T22" s="81"/>
      <c r="U22" s="81"/>
      <c r="V22" s="81"/>
      <c r="W22" s="81"/>
    </row>
    <row r="23" spans="1:23" s="3" customFormat="1" ht="18" customHeight="1" x14ac:dyDescent="0.3">
      <c r="A23" s="102"/>
      <c r="B23" s="78"/>
      <c r="C23" s="116" t="s">
        <v>91</v>
      </c>
      <c r="D23" s="83" t="s">
        <v>34</v>
      </c>
      <c r="E23" s="81" t="s">
        <v>35</v>
      </c>
      <c r="F23" s="83">
        <v>0.04</v>
      </c>
      <c r="G23" s="81" t="s">
        <v>64</v>
      </c>
      <c r="H23" s="81" t="s">
        <v>59</v>
      </c>
      <c r="I23" s="81">
        <v>12</v>
      </c>
      <c r="J23" s="23" t="s">
        <v>38</v>
      </c>
      <c r="K23" s="23">
        <v>9</v>
      </c>
      <c r="L23" s="23">
        <v>16</v>
      </c>
      <c r="M23" s="23">
        <v>18</v>
      </c>
      <c r="N23" s="23">
        <v>6</v>
      </c>
      <c r="O23" s="32">
        <v>43</v>
      </c>
      <c r="P23" s="81">
        <v>2</v>
      </c>
      <c r="Q23" s="162">
        <f>+P23*F23</f>
        <v>0.08</v>
      </c>
      <c r="R23" s="85">
        <f>+(5*F23)-Q23</f>
        <v>0.12000000000000001</v>
      </c>
      <c r="S23" s="81" t="s">
        <v>145</v>
      </c>
      <c r="T23" s="81" t="s">
        <v>87</v>
      </c>
      <c r="U23" s="81" t="s">
        <v>88</v>
      </c>
      <c r="V23" s="81" t="s">
        <v>89</v>
      </c>
      <c r="W23" s="81" t="s">
        <v>90</v>
      </c>
    </row>
    <row r="24" spans="1:23" s="3" customFormat="1" ht="18" customHeight="1" x14ac:dyDescent="0.3">
      <c r="A24" s="102"/>
      <c r="B24" s="127"/>
      <c r="C24" s="116"/>
      <c r="D24" s="81"/>
      <c r="E24" s="81"/>
      <c r="F24" s="83"/>
      <c r="G24" s="81"/>
      <c r="H24" s="81"/>
      <c r="I24" s="81"/>
      <c r="J24" s="23" t="s">
        <v>43</v>
      </c>
      <c r="K24" s="23">
        <v>14</v>
      </c>
      <c r="L24" s="23">
        <v>14</v>
      </c>
      <c r="M24" s="23">
        <v>14</v>
      </c>
      <c r="N24" s="23">
        <v>14</v>
      </c>
      <c r="O24" s="23" t="s">
        <v>88</v>
      </c>
      <c r="P24" s="81"/>
      <c r="Q24" s="163"/>
      <c r="R24" s="85"/>
      <c r="S24" s="81"/>
      <c r="T24" s="81"/>
      <c r="U24" s="81"/>
      <c r="V24" s="81"/>
      <c r="W24" s="81"/>
    </row>
    <row r="25" spans="1:23" s="3" customFormat="1" ht="18" customHeight="1" x14ac:dyDescent="0.3">
      <c r="A25" s="102"/>
      <c r="B25" s="179" t="s">
        <v>92</v>
      </c>
      <c r="C25" s="116" t="s">
        <v>93</v>
      </c>
      <c r="D25" s="83" t="s">
        <v>34</v>
      </c>
      <c r="E25" s="81" t="s">
        <v>35</v>
      </c>
      <c r="F25" s="83">
        <v>0.06</v>
      </c>
      <c r="G25" s="81" t="s">
        <v>64</v>
      </c>
      <c r="H25" s="81" t="s">
        <v>59</v>
      </c>
      <c r="I25" s="81"/>
      <c r="J25" s="23" t="s">
        <v>38</v>
      </c>
      <c r="K25" s="23">
        <v>1</v>
      </c>
      <c r="L25" s="23">
        <v>2</v>
      </c>
      <c r="M25" s="23">
        <v>3</v>
      </c>
      <c r="N25" s="23">
        <v>1</v>
      </c>
      <c r="O25" s="32">
        <v>7</v>
      </c>
      <c r="P25" s="81">
        <v>3</v>
      </c>
      <c r="Q25" s="162">
        <f>+P25*F25</f>
        <v>0.18</v>
      </c>
      <c r="R25" s="85">
        <f>+(5*F25)-Q25</f>
        <v>0.12</v>
      </c>
      <c r="S25" s="97" t="s">
        <v>94</v>
      </c>
      <c r="T25" s="97" t="s">
        <v>95</v>
      </c>
      <c r="U25" s="97" t="s">
        <v>96</v>
      </c>
      <c r="V25" s="97" t="s">
        <v>97</v>
      </c>
      <c r="W25" s="90" t="s">
        <v>98</v>
      </c>
    </row>
    <row r="26" spans="1:23" s="3" customFormat="1" ht="18" customHeight="1" x14ac:dyDescent="0.3">
      <c r="A26" s="102"/>
      <c r="B26" s="106"/>
      <c r="C26" s="116"/>
      <c r="D26" s="81"/>
      <c r="E26" s="81"/>
      <c r="F26" s="83"/>
      <c r="G26" s="81"/>
      <c r="H26" s="81"/>
      <c r="I26" s="81"/>
      <c r="J26" s="23" t="s">
        <v>43</v>
      </c>
      <c r="K26" s="23">
        <v>1</v>
      </c>
      <c r="L26" s="23">
        <v>2</v>
      </c>
      <c r="M26" s="23">
        <v>3</v>
      </c>
      <c r="N26" s="23">
        <v>2</v>
      </c>
      <c r="O26" s="33" t="s">
        <v>96</v>
      </c>
      <c r="P26" s="81"/>
      <c r="Q26" s="163"/>
      <c r="R26" s="85"/>
      <c r="S26" s="98"/>
      <c r="T26" s="98"/>
      <c r="U26" s="98"/>
      <c r="V26" s="98"/>
      <c r="W26" s="97"/>
    </row>
    <row r="27" spans="1:23" s="3" customFormat="1" ht="18" customHeight="1" x14ac:dyDescent="0.3">
      <c r="A27" s="102"/>
      <c r="B27" s="106"/>
      <c r="C27" s="125" t="s">
        <v>99</v>
      </c>
      <c r="D27" s="96" t="s">
        <v>34</v>
      </c>
      <c r="E27" s="95" t="s">
        <v>35</v>
      </c>
      <c r="F27" s="96">
        <v>0.06</v>
      </c>
      <c r="G27" s="95" t="s">
        <v>64</v>
      </c>
      <c r="H27" s="95" t="s">
        <v>59</v>
      </c>
      <c r="I27" s="95">
        <v>419</v>
      </c>
      <c r="J27" s="28" t="s">
        <v>38</v>
      </c>
      <c r="K27" s="28">
        <v>155</v>
      </c>
      <c r="L27" s="28">
        <v>290</v>
      </c>
      <c r="M27" s="28">
        <v>325</v>
      </c>
      <c r="N27" s="28">
        <v>100</v>
      </c>
      <c r="O27" s="28">
        <v>870</v>
      </c>
      <c r="P27" s="95">
        <v>5</v>
      </c>
      <c r="Q27" s="174">
        <f>+P27*F27</f>
        <v>0.3</v>
      </c>
      <c r="R27" s="91">
        <f>+(5*F27)-Q27</f>
        <v>0</v>
      </c>
      <c r="S27" s="176" t="s">
        <v>101</v>
      </c>
      <c r="T27" s="176" t="s">
        <v>102</v>
      </c>
      <c r="U27" s="176" t="s">
        <v>103</v>
      </c>
      <c r="V27" s="173" t="s">
        <v>146</v>
      </c>
      <c r="W27" s="93" t="s">
        <v>147</v>
      </c>
    </row>
    <row r="28" spans="1:23" s="3" customFormat="1" ht="18" customHeight="1" x14ac:dyDescent="0.3">
      <c r="A28" s="102"/>
      <c r="B28" s="106"/>
      <c r="C28" s="125"/>
      <c r="D28" s="95"/>
      <c r="E28" s="95"/>
      <c r="F28" s="96"/>
      <c r="G28" s="95"/>
      <c r="H28" s="95"/>
      <c r="I28" s="95"/>
      <c r="J28" s="28" t="s">
        <v>43</v>
      </c>
      <c r="K28" s="28">
        <v>100</v>
      </c>
      <c r="L28" s="28">
        <v>250</v>
      </c>
      <c r="M28" s="28">
        <v>100</v>
      </c>
      <c r="N28" s="28">
        <v>50</v>
      </c>
      <c r="O28" s="28" t="s">
        <v>102</v>
      </c>
      <c r="P28" s="95"/>
      <c r="Q28" s="175"/>
      <c r="R28" s="91"/>
      <c r="S28" s="177"/>
      <c r="T28" s="177"/>
      <c r="U28" s="177"/>
      <c r="V28" s="173"/>
      <c r="W28" s="93"/>
    </row>
    <row r="29" spans="1:23" s="3" customFormat="1" ht="18" customHeight="1" x14ac:dyDescent="0.3">
      <c r="A29" s="102"/>
      <c r="B29" s="107"/>
      <c r="C29" s="134" t="s">
        <v>105</v>
      </c>
      <c r="D29" s="83" t="s">
        <v>34</v>
      </c>
      <c r="E29" s="81" t="s">
        <v>57</v>
      </c>
      <c r="F29" s="83">
        <v>0.08</v>
      </c>
      <c r="G29" s="81" t="s">
        <v>58</v>
      </c>
      <c r="H29" s="81" t="s">
        <v>106</v>
      </c>
      <c r="I29" s="81"/>
      <c r="J29" s="23" t="s">
        <v>38</v>
      </c>
      <c r="K29" s="29"/>
      <c r="L29" s="25">
        <v>0.96</v>
      </c>
      <c r="M29" s="25"/>
      <c r="N29" s="25">
        <v>0.97</v>
      </c>
      <c r="O29" s="25">
        <v>0.96</v>
      </c>
      <c r="P29" s="81">
        <v>3</v>
      </c>
      <c r="Q29" s="162">
        <f>+P29*F29</f>
        <v>0.24</v>
      </c>
      <c r="R29" s="85">
        <f>+(5*F29)-Q29</f>
        <v>0.16000000000000003</v>
      </c>
      <c r="S29" s="83" t="s">
        <v>135</v>
      </c>
      <c r="T29" s="132" t="s">
        <v>60</v>
      </c>
      <c r="U29" s="132" t="s">
        <v>61</v>
      </c>
      <c r="V29" s="132" t="s">
        <v>62</v>
      </c>
      <c r="W29" s="172" t="s">
        <v>62</v>
      </c>
    </row>
    <row r="30" spans="1:23" s="3" customFormat="1" ht="18" customHeight="1" x14ac:dyDescent="0.3">
      <c r="A30" s="102"/>
      <c r="B30" s="107"/>
      <c r="C30" s="134"/>
      <c r="D30" s="81"/>
      <c r="E30" s="81"/>
      <c r="F30" s="83"/>
      <c r="G30" s="81"/>
      <c r="H30" s="81"/>
      <c r="I30" s="81"/>
      <c r="J30" s="23" t="s">
        <v>43</v>
      </c>
      <c r="K30" s="29"/>
      <c r="L30" s="35" t="s">
        <v>61</v>
      </c>
      <c r="M30" s="29"/>
      <c r="N30" s="35" t="s">
        <v>61</v>
      </c>
      <c r="O30" s="29" t="s">
        <v>61</v>
      </c>
      <c r="P30" s="81"/>
      <c r="Q30" s="163"/>
      <c r="R30" s="85"/>
      <c r="S30" s="83"/>
      <c r="T30" s="132"/>
      <c r="U30" s="132"/>
      <c r="V30" s="132"/>
      <c r="W30" s="132"/>
    </row>
    <row r="31" spans="1:23" s="3" customFormat="1" ht="18" customHeight="1" x14ac:dyDescent="0.3">
      <c r="A31" s="127" t="s">
        <v>107</v>
      </c>
      <c r="B31" s="127" t="s">
        <v>108</v>
      </c>
      <c r="C31" s="82" t="s">
        <v>109</v>
      </c>
      <c r="D31" s="83" t="s">
        <v>110</v>
      </c>
      <c r="E31" s="81" t="s">
        <v>62</v>
      </c>
      <c r="F31" s="83" t="s">
        <v>62</v>
      </c>
      <c r="G31" s="81" t="s">
        <v>64</v>
      </c>
      <c r="H31" s="81" t="s">
        <v>50</v>
      </c>
      <c r="I31" s="81"/>
      <c r="J31" s="23" t="s">
        <v>38</v>
      </c>
      <c r="K31" s="169"/>
      <c r="L31" s="170"/>
      <c r="M31" s="170"/>
      <c r="N31" s="171"/>
      <c r="O31" s="23"/>
      <c r="P31" s="81" t="s">
        <v>62</v>
      </c>
      <c r="Q31" s="162" t="s">
        <v>62</v>
      </c>
      <c r="R31" s="85" t="e">
        <f>+(5*F31)-Q31</f>
        <v>#VALUE!</v>
      </c>
      <c r="S31" s="90" t="s">
        <v>62</v>
      </c>
      <c r="T31" s="90" t="s">
        <v>62</v>
      </c>
      <c r="U31" s="90" t="s">
        <v>62</v>
      </c>
      <c r="V31" s="90" t="s">
        <v>62</v>
      </c>
      <c r="W31" s="90" t="s">
        <v>62</v>
      </c>
    </row>
    <row r="32" spans="1:23" ht="18" customHeight="1" x14ac:dyDescent="0.3">
      <c r="A32" s="127"/>
      <c r="B32" s="127"/>
      <c r="C32" s="82"/>
      <c r="D32" s="81"/>
      <c r="E32" s="81"/>
      <c r="F32" s="83"/>
      <c r="G32" s="81"/>
      <c r="H32" s="81"/>
      <c r="I32" s="81"/>
      <c r="J32" s="23" t="s">
        <v>43</v>
      </c>
      <c r="K32" s="169"/>
      <c r="L32" s="170"/>
      <c r="M32" s="170"/>
      <c r="N32" s="171"/>
      <c r="O32" s="23"/>
      <c r="P32" s="81"/>
      <c r="Q32" s="163"/>
      <c r="R32" s="85"/>
      <c r="S32" s="90"/>
      <c r="T32" s="90"/>
      <c r="U32" s="90"/>
      <c r="V32" s="90"/>
      <c r="W32" s="90"/>
    </row>
    <row r="33" spans="1:23" s="3" customFormat="1" ht="18" customHeight="1" x14ac:dyDescent="0.3">
      <c r="A33" s="127"/>
      <c r="B33" s="127"/>
      <c r="C33" s="82" t="s">
        <v>111</v>
      </c>
      <c r="D33" s="83" t="s">
        <v>110</v>
      </c>
      <c r="E33" s="81" t="s">
        <v>62</v>
      </c>
      <c r="F33" s="83" t="s">
        <v>62</v>
      </c>
      <c r="G33" s="81" t="s">
        <v>64</v>
      </c>
      <c r="H33" s="81" t="s">
        <v>148</v>
      </c>
      <c r="I33" s="81"/>
      <c r="J33" s="23" t="s">
        <v>38</v>
      </c>
      <c r="K33" s="169"/>
      <c r="L33" s="170"/>
      <c r="M33" s="170"/>
      <c r="N33" s="171"/>
      <c r="O33" s="23"/>
      <c r="P33" s="81" t="s">
        <v>62</v>
      </c>
      <c r="Q33" s="162" t="s">
        <v>62</v>
      </c>
      <c r="R33" s="85" t="e">
        <f>+(5*F33)-Q33</f>
        <v>#VALUE!</v>
      </c>
      <c r="S33" s="90" t="s">
        <v>62</v>
      </c>
      <c r="T33" s="90" t="s">
        <v>62</v>
      </c>
      <c r="U33" s="90" t="s">
        <v>62</v>
      </c>
      <c r="V33" s="90" t="s">
        <v>62</v>
      </c>
      <c r="W33" s="90" t="s">
        <v>62</v>
      </c>
    </row>
    <row r="34" spans="1:23" s="3" customFormat="1" ht="24" customHeight="1" x14ac:dyDescent="0.3">
      <c r="A34" s="127"/>
      <c r="B34" s="127"/>
      <c r="C34" s="82"/>
      <c r="D34" s="81"/>
      <c r="E34" s="81"/>
      <c r="F34" s="83"/>
      <c r="G34" s="81"/>
      <c r="H34" s="81"/>
      <c r="I34" s="81"/>
      <c r="J34" s="23" t="s">
        <v>43</v>
      </c>
      <c r="K34" s="169"/>
      <c r="L34" s="170"/>
      <c r="M34" s="170"/>
      <c r="N34" s="171"/>
      <c r="O34" s="23"/>
      <c r="P34" s="81"/>
      <c r="Q34" s="163"/>
      <c r="R34" s="85"/>
      <c r="S34" s="90"/>
      <c r="T34" s="90"/>
      <c r="U34" s="90"/>
      <c r="V34" s="90"/>
      <c r="W34" s="90"/>
    </row>
    <row r="35" spans="1:23" s="43" customFormat="1" ht="18.600000000000001" customHeight="1" x14ac:dyDescent="0.3">
      <c r="A35" s="127"/>
      <c r="B35" s="127"/>
      <c r="C35" s="165" t="s">
        <v>112</v>
      </c>
      <c r="D35" s="156" t="s">
        <v>34</v>
      </c>
      <c r="E35" s="149" t="s">
        <v>35</v>
      </c>
      <c r="F35" s="156">
        <v>0.03</v>
      </c>
      <c r="G35" s="149" t="s">
        <v>64</v>
      </c>
      <c r="H35" s="149" t="s">
        <v>106</v>
      </c>
      <c r="I35" s="149"/>
      <c r="J35" s="41" t="s">
        <v>38</v>
      </c>
      <c r="K35" s="41" t="s">
        <v>62</v>
      </c>
      <c r="L35" s="41" t="s">
        <v>62</v>
      </c>
      <c r="M35" s="41" t="s">
        <v>62</v>
      </c>
      <c r="N35" s="41"/>
      <c r="O35" s="41">
        <v>0</v>
      </c>
      <c r="P35" s="149">
        <v>0</v>
      </c>
      <c r="Q35" s="166">
        <f>+P35*F35</f>
        <v>0</v>
      </c>
      <c r="R35" s="168">
        <f>+(5*F35)-Q35</f>
        <v>0.15</v>
      </c>
      <c r="S35" s="164" t="s">
        <v>62</v>
      </c>
      <c r="T35" s="164" t="s">
        <v>113</v>
      </c>
      <c r="U35" s="164" t="s">
        <v>114</v>
      </c>
      <c r="V35" s="164" t="s">
        <v>115</v>
      </c>
      <c r="W35" s="164" t="s">
        <v>116</v>
      </c>
    </row>
    <row r="36" spans="1:23" s="43" customFormat="1" ht="18.600000000000001" customHeight="1" x14ac:dyDescent="0.3">
      <c r="A36" s="127"/>
      <c r="B36" s="127"/>
      <c r="C36" s="165"/>
      <c r="D36" s="149"/>
      <c r="E36" s="149"/>
      <c r="F36" s="156"/>
      <c r="G36" s="149"/>
      <c r="H36" s="149"/>
      <c r="I36" s="149"/>
      <c r="J36" s="41" t="s">
        <v>43</v>
      </c>
      <c r="K36" s="41" t="s">
        <v>62</v>
      </c>
      <c r="L36" s="41">
        <v>1</v>
      </c>
      <c r="M36" s="41">
        <v>1</v>
      </c>
      <c r="N36" s="41">
        <v>1</v>
      </c>
      <c r="O36" s="42" t="s">
        <v>114</v>
      </c>
      <c r="P36" s="149"/>
      <c r="Q36" s="167"/>
      <c r="R36" s="168"/>
      <c r="S36" s="164"/>
      <c r="T36" s="164"/>
      <c r="U36" s="164"/>
      <c r="V36" s="164"/>
      <c r="W36" s="164"/>
    </row>
    <row r="37" spans="1:23" s="43" customFormat="1" ht="18.600000000000001" customHeight="1" x14ac:dyDescent="0.3">
      <c r="A37" s="127"/>
      <c r="B37" s="127"/>
      <c r="C37" s="165" t="s">
        <v>117</v>
      </c>
      <c r="D37" s="156" t="s">
        <v>34</v>
      </c>
      <c r="E37" s="149" t="s">
        <v>35</v>
      </c>
      <c r="F37" s="156">
        <v>0.02</v>
      </c>
      <c r="G37" s="149" t="s">
        <v>64</v>
      </c>
      <c r="H37" s="149" t="s">
        <v>106</v>
      </c>
      <c r="I37" s="149"/>
      <c r="J37" s="41" t="s">
        <v>38</v>
      </c>
      <c r="K37" s="41" t="s">
        <v>62</v>
      </c>
      <c r="L37" s="41" t="s">
        <v>62</v>
      </c>
      <c r="M37" s="41" t="s">
        <v>62</v>
      </c>
      <c r="N37" s="41" t="s">
        <v>62</v>
      </c>
      <c r="O37" s="41">
        <v>0</v>
      </c>
      <c r="P37" s="149">
        <v>0</v>
      </c>
      <c r="Q37" s="166">
        <f>+P37*F37</f>
        <v>0</v>
      </c>
      <c r="R37" s="168">
        <f>+(5*F37)-Q37</f>
        <v>0.1</v>
      </c>
      <c r="S37" s="164" t="s">
        <v>62</v>
      </c>
      <c r="T37" s="164" t="s">
        <v>113</v>
      </c>
      <c r="U37" s="164" t="s">
        <v>114</v>
      </c>
      <c r="V37" s="164" t="s">
        <v>115</v>
      </c>
      <c r="W37" s="164" t="s">
        <v>116</v>
      </c>
    </row>
    <row r="38" spans="1:23" s="43" customFormat="1" ht="26.25" customHeight="1" x14ac:dyDescent="0.3">
      <c r="A38" s="127"/>
      <c r="B38" s="127"/>
      <c r="C38" s="165"/>
      <c r="D38" s="149"/>
      <c r="E38" s="149"/>
      <c r="F38" s="156"/>
      <c r="G38" s="149"/>
      <c r="H38" s="149"/>
      <c r="I38" s="149"/>
      <c r="J38" s="41" t="s">
        <v>43</v>
      </c>
      <c r="K38" s="41" t="s">
        <v>62</v>
      </c>
      <c r="L38" s="41">
        <v>1</v>
      </c>
      <c r="M38" s="41" t="s">
        <v>62</v>
      </c>
      <c r="N38" s="41">
        <v>1</v>
      </c>
      <c r="O38" s="42" t="s">
        <v>114</v>
      </c>
      <c r="P38" s="149"/>
      <c r="Q38" s="167"/>
      <c r="R38" s="168"/>
      <c r="S38" s="164"/>
      <c r="T38" s="164"/>
      <c r="U38" s="164"/>
      <c r="V38" s="164"/>
      <c r="W38" s="164"/>
    </row>
    <row r="39" spans="1:23" s="3" customFormat="1" ht="18" customHeight="1" x14ac:dyDescent="0.3">
      <c r="A39" s="127"/>
      <c r="B39" s="128" t="s">
        <v>118</v>
      </c>
      <c r="C39" s="82" t="s">
        <v>119</v>
      </c>
      <c r="D39" s="83" t="s">
        <v>34</v>
      </c>
      <c r="E39" s="81" t="s">
        <v>35</v>
      </c>
      <c r="F39" s="83">
        <v>0.04</v>
      </c>
      <c r="G39" s="81" t="s">
        <v>58</v>
      </c>
      <c r="H39" s="81" t="s">
        <v>50</v>
      </c>
      <c r="I39" s="81"/>
      <c r="J39" s="23" t="s">
        <v>38</v>
      </c>
      <c r="K39" s="29"/>
      <c r="L39" s="23"/>
      <c r="M39" s="23"/>
      <c r="N39" s="23"/>
      <c r="O39" s="25">
        <v>0.89</v>
      </c>
      <c r="P39" s="81">
        <v>5</v>
      </c>
      <c r="Q39" s="162">
        <f>+P39*F39</f>
        <v>0.2</v>
      </c>
      <c r="R39" s="85"/>
      <c r="S39" s="90" t="s">
        <v>120</v>
      </c>
      <c r="T39" s="90" t="s">
        <v>121</v>
      </c>
      <c r="U39" s="90" t="s">
        <v>71</v>
      </c>
      <c r="V39" s="90" t="s">
        <v>72</v>
      </c>
      <c r="W39" s="90" t="s">
        <v>122</v>
      </c>
    </row>
    <row r="40" spans="1:23" s="3" customFormat="1" ht="18" customHeight="1" x14ac:dyDescent="0.3">
      <c r="A40" s="127"/>
      <c r="B40" s="128"/>
      <c r="C40" s="82"/>
      <c r="D40" s="81"/>
      <c r="E40" s="81"/>
      <c r="F40" s="83"/>
      <c r="G40" s="81"/>
      <c r="H40" s="81"/>
      <c r="I40" s="81"/>
      <c r="J40" s="23" t="s">
        <v>43</v>
      </c>
      <c r="K40" s="29"/>
      <c r="L40" s="29"/>
      <c r="M40" s="29"/>
      <c r="N40" s="29"/>
      <c r="O40" s="29" t="s">
        <v>71</v>
      </c>
      <c r="P40" s="81"/>
      <c r="Q40" s="163"/>
      <c r="R40" s="85"/>
      <c r="S40" s="90"/>
      <c r="T40" s="90"/>
      <c r="U40" s="90"/>
      <c r="V40" s="90"/>
      <c r="W40" s="90"/>
    </row>
    <row r="41" spans="1:23" ht="27.6" customHeight="1" x14ac:dyDescent="0.3">
      <c r="A41" s="12"/>
      <c r="B41" s="13"/>
      <c r="C41" s="13"/>
      <c r="D41" s="13"/>
      <c r="E41" s="13"/>
      <c r="F41" s="16">
        <f>SUM(F7:F40)</f>
        <v>1</v>
      </c>
      <c r="G41" s="13"/>
      <c r="H41" s="13"/>
      <c r="I41" s="13"/>
      <c r="J41" s="13"/>
      <c r="K41" s="13"/>
      <c r="L41" s="13"/>
      <c r="M41" s="13"/>
      <c r="N41" s="13"/>
      <c r="O41" s="11" t="s">
        <v>123</v>
      </c>
      <c r="P41" s="87">
        <f>SUM(Q7:Q40)</f>
        <v>2.4800000000000004</v>
      </c>
      <c r="Q41" s="87"/>
    </row>
    <row r="48" spans="1:23" ht="27.6" x14ac:dyDescent="0.3">
      <c r="C48" s="24" t="s">
        <v>124</v>
      </c>
      <c r="D48" s="1" t="s">
        <v>125</v>
      </c>
    </row>
    <row r="49" spans="3:16" ht="27.6" x14ac:dyDescent="0.3">
      <c r="C49" s="24" t="s">
        <v>126</v>
      </c>
      <c r="D49" s="15" t="s">
        <v>127</v>
      </c>
    </row>
    <row r="55" spans="3:16" x14ac:dyDescent="0.3">
      <c r="C55" s="82" t="s">
        <v>128</v>
      </c>
      <c r="M55" s="2">
        <v>1</v>
      </c>
    </row>
    <row r="56" spans="3:16" x14ac:dyDescent="0.3">
      <c r="C56" s="82"/>
    </row>
    <row r="62" spans="3:16" x14ac:dyDescent="0.3">
      <c r="P62" s="2">
        <f>100*16/42</f>
        <v>38.095238095238095</v>
      </c>
    </row>
    <row r="66" spans="3:23" x14ac:dyDescent="0.3">
      <c r="C66" s="195" t="s">
        <v>149</v>
      </c>
      <c r="D66" s="156" t="s">
        <v>34</v>
      </c>
      <c r="E66" s="149" t="s">
        <v>57</v>
      </c>
      <c r="F66" s="156">
        <v>0.14000000000000001</v>
      </c>
      <c r="G66" s="149" t="s">
        <v>64</v>
      </c>
      <c r="H66" s="149" t="s">
        <v>59</v>
      </c>
      <c r="I66" s="149">
        <v>39</v>
      </c>
      <c r="J66" s="41" t="s">
        <v>38</v>
      </c>
      <c r="K66" s="44">
        <v>12</v>
      </c>
      <c r="L66" s="44">
        <v>10</v>
      </c>
      <c r="M66" s="44">
        <v>3</v>
      </c>
      <c r="N66" s="45">
        <v>8</v>
      </c>
      <c r="O66" s="46">
        <f>SUM(K66:N66)</f>
        <v>33</v>
      </c>
      <c r="P66" s="149">
        <v>4</v>
      </c>
      <c r="Q66" s="150">
        <f>+P66*F66</f>
        <v>0.56000000000000005</v>
      </c>
      <c r="R66" s="198" t="s">
        <v>150</v>
      </c>
      <c r="S66" s="199">
        <v>-19</v>
      </c>
      <c r="T66" s="200" t="s">
        <v>151</v>
      </c>
      <c r="U66" s="199" t="s">
        <v>67</v>
      </c>
      <c r="V66" s="200" t="s">
        <v>68</v>
      </c>
      <c r="W66" s="200" t="s">
        <v>69</v>
      </c>
    </row>
    <row r="67" spans="3:23" x14ac:dyDescent="0.3">
      <c r="C67" s="196"/>
      <c r="D67" s="149"/>
      <c r="E67" s="149"/>
      <c r="F67" s="149"/>
      <c r="G67" s="149"/>
      <c r="H67" s="149"/>
      <c r="I67" s="149"/>
      <c r="J67" s="41" t="s">
        <v>43</v>
      </c>
      <c r="K67" s="44">
        <v>8</v>
      </c>
      <c r="L67" s="44">
        <v>8</v>
      </c>
      <c r="M67" s="44">
        <v>8</v>
      </c>
      <c r="N67" s="45">
        <v>8</v>
      </c>
      <c r="O67" s="46" t="s">
        <v>152</v>
      </c>
      <c r="P67" s="149"/>
      <c r="Q67" s="150"/>
      <c r="R67" s="198"/>
      <c r="S67" s="199"/>
      <c r="T67" s="200"/>
      <c r="U67" s="199"/>
      <c r="V67" s="200"/>
      <c r="W67" s="200"/>
    </row>
    <row r="68" spans="3:23" x14ac:dyDescent="0.3">
      <c r="C68" s="196"/>
      <c r="D68" s="156"/>
      <c r="E68" s="149"/>
      <c r="F68" s="156"/>
      <c r="G68" s="149"/>
      <c r="H68" s="149"/>
      <c r="I68" s="160"/>
      <c r="J68" s="41"/>
      <c r="K68" s="47"/>
      <c r="L68" s="44"/>
      <c r="M68" s="44"/>
      <c r="N68" s="45"/>
      <c r="O68" s="46"/>
      <c r="P68" s="149"/>
      <c r="Q68" s="150"/>
      <c r="R68" s="201"/>
      <c r="S68" s="199"/>
      <c r="T68" s="202"/>
      <c r="U68" s="203"/>
      <c r="V68" s="202"/>
      <c r="W68" s="200"/>
    </row>
    <row r="69" spans="3:23" x14ac:dyDescent="0.3">
      <c r="C69" s="197"/>
      <c r="D69" s="149"/>
      <c r="E69" s="149"/>
      <c r="F69" s="149"/>
      <c r="G69" s="149"/>
      <c r="H69" s="149"/>
      <c r="I69" s="161"/>
      <c r="J69" s="41"/>
      <c r="K69" s="44"/>
      <c r="L69" s="44"/>
      <c r="M69" s="44"/>
      <c r="N69" s="45"/>
      <c r="O69" s="42"/>
      <c r="P69" s="149"/>
      <c r="Q69" s="150"/>
      <c r="R69" s="201"/>
      <c r="S69" s="199"/>
      <c r="T69" s="200"/>
      <c r="U69" s="199"/>
      <c r="V69" s="200"/>
      <c r="W69" s="200"/>
    </row>
    <row r="70" spans="3:23" x14ac:dyDescent="0.3">
      <c r="C70" s="165" t="s">
        <v>153</v>
      </c>
      <c r="D70" s="156" t="s">
        <v>34</v>
      </c>
      <c r="E70" s="149" t="s">
        <v>57</v>
      </c>
      <c r="F70" s="156">
        <v>0.14000000000000001</v>
      </c>
      <c r="G70" s="149" t="s">
        <v>154</v>
      </c>
      <c r="H70" s="149" t="s">
        <v>59</v>
      </c>
      <c r="I70" s="149">
        <v>396</v>
      </c>
      <c r="J70" s="41" t="s">
        <v>38</v>
      </c>
      <c r="K70" s="44">
        <v>101</v>
      </c>
      <c r="L70" s="44">
        <v>56</v>
      </c>
      <c r="M70" s="44">
        <v>143</v>
      </c>
      <c r="N70" s="45">
        <v>110</v>
      </c>
      <c r="O70" s="48">
        <f>SUM(K70:N70)</f>
        <v>410</v>
      </c>
      <c r="P70" s="149">
        <v>5</v>
      </c>
      <c r="Q70" s="150">
        <f>+P70*F70</f>
        <v>0.70000000000000007</v>
      </c>
      <c r="R70" s="198" t="s">
        <v>150</v>
      </c>
      <c r="S70" s="199">
        <v>-99</v>
      </c>
      <c r="T70" s="200" t="s">
        <v>155</v>
      </c>
      <c r="U70" s="200" t="s">
        <v>156</v>
      </c>
      <c r="V70" s="200" t="s">
        <v>157</v>
      </c>
      <c r="W70" s="200" t="s">
        <v>158</v>
      </c>
    </row>
    <row r="71" spans="3:23" ht="23.25" customHeight="1" x14ac:dyDescent="0.3">
      <c r="C71" s="165"/>
      <c r="D71" s="149"/>
      <c r="E71" s="149"/>
      <c r="F71" s="149"/>
      <c r="G71" s="149"/>
      <c r="H71" s="149"/>
      <c r="I71" s="149"/>
      <c r="J71" s="41" t="s">
        <v>43</v>
      </c>
      <c r="K71" s="44">
        <v>40</v>
      </c>
      <c r="L71" s="44">
        <v>40</v>
      </c>
      <c r="M71" s="44">
        <v>40</v>
      </c>
      <c r="N71" s="45">
        <v>40</v>
      </c>
      <c r="O71" s="46" t="s">
        <v>156</v>
      </c>
      <c r="P71" s="149"/>
      <c r="Q71" s="150"/>
      <c r="R71" s="198"/>
      <c r="S71" s="199"/>
      <c r="T71" s="200"/>
      <c r="U71" s="200"/>
      <c r="V71" s="200"/>
      <c r="W71" s="200"/>
    </row>
    <row r="72" spans="3:23" ht="24" customHeight="1" x14ac:dyDescent="0.3">
      <c r="C72" s="165" t="s">
        <v>159</v>
      </c>
      <c r="D72" s="156" t="s">
        <v>34</v>
      </c>
      <c r="E72" s="149" t="s">
        <v>57</v>
      </c>
      <c r="F72" s="156">
        <v>0.1</v>
      </c>
      <c r="G72" s="149" t="s">
        <v>154</v>
      </c>
      <c r="H72" s="149" t="s">
        <v>59</v>
      </c>
      <c r="I72" s="160">
        <v>262</v>
      </c>
      <c r="J72" s="41" t="s">
        <v>38</v>
      </c>
      <c r="K72" s="44">
        <v>47</v>
      </c>
      <c r="L72" s="44">
        <v>50</v>
      </c>
      <c r="M72" s="44">
        <v>42</v>
      </c>
      <c r="N72" s="45">
        <v>105</v>
      </c>
      <c r="O72" s="46">
        <f>SUM(K72:N72)</f>
        <v>244</v>
      </c>
      <c r="P72" s="149">
        <v>5</v>
      </c>
      <c r="Q72" s="150">
        <f>+P72*F72</f>
        <v>0.5</v>
      </c>
      <c r="R72" s="201" t="s">
        <v>150</v>
      </c>
      <c r="S72" s="199">
        <v>-29</v>
      </c>
      <c r="T72" s="200" t="s">
        <v>160</v>
      </c>
      <c r="U72" s="200" t="s">
        <v>161</v>
      </c>
      <c r="V72" s="200" t="s">
        <v>162</v>
      </c>
      <c r="W72" s="200" t="s">
        <v>163</v>
      </c>
    </row>
    <row r="73" spans="3:23" ht="21.75" customHeight="1" x14ac:dyDescent="0.3">
      <c r="C73" s="165"/>
      <c r="D73" s="149"/>
      <c r="E73" s="149"/>
      <c r="F73" s="149"/>
      <c r="G73" s="149"/>
      <c r="H73" s="149"/>
      <c r="I73" s="161"/>
      <c r="J73" s="41" t="s">
        <v>43</v>
      </c>
      <c r="K73" s="44">
        <v>30</v>
      </c>
      <c r="L73" s="44">
        <v>30</v>
      </c>
      <c r="M73" s="44">
        <v>30</v>
      </c>
      <c r="N73" s="45">
        <v>30</v>
      </c>
      <c r="O73" s="46" t="s">
        <v>161</v>
      </c>
      <c r="P73" s="149"/>
      <c r="Q73" s="150"/>
      <c r="R73" s="201"/>
      <c r="S73" s="199"/>
      <c r="T73" s="200"/>
      <c r="U73" s="200"/>
      <c r="V73" s="200"/>
      <c r="W73" s="200"/>
    </row>
    <row r="74" spans="3:23" ht="18" customHeight="1" x14ac:dyDescent="0.3">
      <c r="C74" s="165" t="s">
        <v>164</v>
      </c>
      <c r="D74" s="156" t="s">
        <v>34</v>
      </c>
      <c r="E74" s="149" t="s">
        <v>57</v>
      </c>
      <c r="F74" s="156">
        <v>0.14000000000000001</v>
      </c>
      <c r="G74" s="149" t="s">
        <v>165</v>
      </c>
      <c r="H74" s="149" t="s">
        <v>59</v>
      </c>
      <c r="I74" s="149"/>
      <c r="J74" s="41" t="s">
        <v>38</v>
      </c>
      <c r="K74" s="44">
        <v>99</v>
      </c>
      <c r="L74" s="44">
        <v>64.5</v>
      </c>
      <c r="M74" s="44">
        <v>35</v>
      </c>
      <c r="N74" s="45">
        <v>132</v>
      </c>
      <c r="O74" s="46">
        <f>SUM(K74:N74)</f>
        <v>330.5</v>
      </c>
      <c r="P74" s="149">
        <v>2</v>
      </c>
      <c r="Q74" s="150">
        <f>+P74*F74</f>
        <v>0.28000000000000003</v>
      </c>
      <c r="R74" s="198" t="s">
        <v>150</v>
      </c>
      <c r="S74" s="199">
        <v>-249</v>
      </c>
      <c r="T74" s="204" t="s">
        <v>166</v>
      </c>
      <c r="U74" s="204" t="s">
        <v>167</v>
      </c>
      <c r="V74" s="204" t="s">
        <v>168</v>
      </c>
      <c r="W74" s="204" t="s">
        <v>169</v>
      </c>
    </row>
    <row r="75" spans="3:23" ht="26.25" customHeight="1" x14ac:dyDescent="0.3">
      <c r="C75" s="165"/>
      <c r="D75" s="149"/>
      <c r="E75" s="149"/>
      <c r="F75" s="149"/>
      <c r="G75" s="149"/>
      <c r="H75" s="149"/>
      <c r="I75" s="149"/>
      <c r="J75" s="41" t="s">
        <v>43</v>
      </c>
      <c r="K75" s="44">
        <v>120</v>
      </c>
      <c r="L75" s="44">
        <v>120</v>
      </c>
      <c r="M75" s="44">
        <v>120</v>
      </c>
      <c r="N75" s="45">
        <v>120</v>
      </c>
      <c r="O75" s="46" t="s">
        <v>167</v>
      </c>
      <c r="P75" s="149"/>
      <c r="Q75" s="150"/>
      <c r="R75" s="198"/>
      <c r="S75" s="199"/>
      <c r="T75" s="204"/>
      <c r="U75" s="204"/>
      <c r="V75" s="204"/>
      <c r="W75" s="204"/>
    </row>
    <row r="76" spans="3:23" ht="24" customHeight="1" x14ac:dyDescent="0.3">
      <c r="C76" s="165" t="s">
        <v>170</v>
      </c>
      <c r="D76" s="156" t="s">
        <v>34</v>
      </c>
      <c r="E76" s="149" t="s">
        <v>57</v>
      </c>
      <c r="F76" s="156">
        <v>0.11</v>
      </c>
      <c r="G76" s="149" t="s">
        <v>165</v>
      </c>
      <c r="H76" s="149" t="s">
        <v>59</v>
      </c>
      <c r="I76" s="149"/>
      <c r="J76" s="41" t="s">
        <v>38</v>
      </c>
      <c r="K76" s="44">
        <v>6</v>
      </c>
      <c r="L76" s="44">
        <v>3</v>
      </c>
      <c r="M76" s="44">
        <v>16</v>
      </c>
      <c r="N76" s="45"/>
      <c r="O76" s="46">
        <f>SUM(K76:N76)</f>
        <v>25</v>
      </c>
      <c r="P76" s="149">
        <v>2</v>
      </c>
      <c r="Q76" s="150">
        <f>+P76*F76</f>
        <v>0.22</v>
      </c>
      <c r="R76" s="201" t="s">
        <v>150</v>
      </c>
      <c r="S76" s="199">
        <v>-39</v>
      </c>
      <c r="T76" s="204" t="s">
        <v>171</v>
      </c>
      <c r="U76" s="204" t="s">
        <v>172</v>
      </c>
      <c r="V76" s="204" t="s">
        <v>173</v>
      </c>
      <c r="W76" s="204" t="s">
        <v>174</v>
      </c>
    </row>
    <row r="77" spans="3:23" x14ac:dyDescent="0.3">
      <c r="C77" s="165"/>
      <c r="D77" s="149"/>
      <c r="E77" s="149"/>
      <c r="F77" s="149"/>
      <c r="G77" s="149"/>
      <c r="H77" s="149"/>
      <c r="I77" s="149"/>
      <c r="J77" s="41" t="s">
        <v>43</v>
      </c>
      <c r="K77" s="44">
        <v>24</v>
      </c>
      <c r="L77" s="44">
        <v>24</v>
      </c>
      <c r="M77" s="44">
        <v>24</v>
      </c>
      <c r="N77" s="45">
        <v>24</v>
      </c>
      <c r="O77" s="46" t="s">
        <v>172</v>
      </c>
      <c r="P77" s="149"/>
      <c r="Q77" s="150"/>
      <c r="R77" s="201"/>
      <c r="S77" s="199"/>
      <c r="T77" s="204"/>
      <c r="U77" s="204"/>
      <c r="V77" s="204"/>
      <c r="W77" s="204"/>
    </row>
    <row r="80" spans="3:23" x14ac:dyDescent="0.3">
      <c r="C80" s="159" t="s">
        <v>175</v>
      </c>
      <c r="D80" s="156" t="s">
        <v>34</v>
      </c>
      <c r="E80" s="149" t="s">
        <v>35</v>
      </c>
      <c r="F80" s="156">
        <v>0</v>
      </c>
      <c r="G80" s="160" t="s">
        <v>176</v>
      </c>
      <c r="H80" s="149" t="s">
        <v>106</v>
      </c>
      <c r="I80" s="149">
        <v>16</v>
      </c>
      <c r="J80" s="41" t="s">
        <v>38</v>
      </c>
      <c r="K80" s="152">
        <v>21</v>
      </c>
      <c r="L80" s="153"/>
      <c r="M80" s="152">
        <v>19</v>
      </c>
      <c r="N80" s="153"/>
      <c r="O80" s="48">
        <f>+SUM(K80:N80)</f>
        <v>40</v>
      </c>
      <c r="P80" s="149">
        <v>5</v>
      </c>
      <c r="Q80" s="150">
        <f>P80*F80</f>
        <v>0</v>
      </c>
      <c r="R80" s="151" t="s">
        <v>177</v>
      </c>
      <c r="S80" s="132" t="s">
        <v>178</v>
      </c>
      <c r="T80" s="146" t="s">
        <v>179</v>
      </c>
      <c r="U80" s="147" t="s">
        <v>180</v>
      </c>
      <c r="V80" s="147" t="s">
        <v>181</v>
      </c>
      <c r="W80" s="147" t="s">
        <v>182</v>
      </c>
    </row>
    <row r="81" spans="3:23" x14ac:dyDescent="0.3">
      <c r="C81" s="155"/>
      <c r="D81" s="149"/>
      <c r="E81" s="149"/>
      <c r="F81" s="149"/>
      <c r="G81" s="161"/>
      <c r="H81" s="149"/>
      <c r="I81" s="149"/>
      <c r="J81" s="41" t="s">
        <v>43</v>
      </c>
      <c r="K81" s="152">
        <v>12</v>
      </c>
      <c r="L81" s="153"/>
      <c r="M81" s="152">
        <v>12</v>
      </c>
      <c r="N81" s="153"/>
      <c r="O81" s="48" t="s">
        <v>183</v>
      </c>
      <c r="P81" s="149"/>
      <c r="Q81" s="150"/>
      <c r="R81" s="151"/>
      <c r="S81" s="132"/>
      <c r="T81" s="81"/>
      <c r="U81" s="132"/>
      <c r="V81" s="132"/>
      <c r="W81" s="132"/>
    </row>
    <row r="82" spans="3:23" x14ac:dyDescent="0.3">
      <c r="C82" s="154" t="s">
        <v>184</v>
      </c>
      <c r="D82" s="156" t="s">
        <v>34</v>
      </c>
      <c r="E82" s="149" t="s">
        <v>35</v>
      </c>
      <c r="F82" s="156">
        <v>0</v>
      </c>
      <c r="G82" s="157" t="s">
        <v>185</v>
      </c>
      <c r="H82" s="149" t="s">
        <v>59</v>
      </c>
      <c r="I82" s="149">
        <v>111</v>
      </c>
      <c r="J82" s="41" t="s">
        <v>38</v>
      </c>
      <c r="K82" s="44">
        <v>284</v>
      </c>
      <c r="L82" s="44">
        <v>227</v>
      </c>
      <c r="M82" s="44">
        <v>158</v>
      </c>
      <c r="N82" s="44">
        <v>64.5</v>
      </c>
      <c r="O82" s="46">
        <f>+SUM(K82:N82)</f>
        <v>733.5</v>
      </c>
      <c r="P82" s="149">
        <v>5</v>
      </c>
      <c r="Q82" s="150">
        <f>P82*F82</f>
        <v>0</v>
      </c>
      <c r="R82" s="151" t="s">
        <v>177</v>
      </c>
      <c r="S82" s="148" t="s">
        <v>186</v>
      </c>
      <c r="T82" s="132" t="s">
        <v>187</v>
      </c>
      <c r="U82" s="132" t="s">
        <v>188</v>
      </c>
      <c r="V82" s="132" t="s">
        <v>189</v>
      </c>
      <c r="W82" s="132" t="s">
        <v>190</v>
      </c>
    </row>
    <row r="83" spans="3:23" x14ac:dyDescent="0.3">
      <c r="C83" s="155"/>
      <c r="D83" s="149"/>
      <c r="E83" s="149"/>
      <c r="F83" s="149"/>
      <c r="G83" s="158"/>
      <c r="H83" s="149"/>
      <c r="I83" s="149"/>
      <c r="J83" s="41" t="s">
        <v>43</v>
      </c>
      <c r="K83" s="49">
        <f>12*3*3</f>
        <v>108</v>
      </c>
      <c r="L83" s="49">
        <f t="shared" ref="L83:N83" si="0">12*3*3</f>
        <v>108</v>
      </c>
      <c r="M83" s="49">
        <f t="shared" si="0"/>
        <v>108</v>
      </c>
      <c r="N83" s="49">
        <f t="shared" si="0"/>
        <v>108</v>
      </c>
      <c r="O83" s="46" t="s">
        <v>191</v>
      </c>
      <c r="P83" s="149"/>
      <c r="Q83" s="150"/>
      <c r="R83" s="151"/>
      <c r="S83" s="148"/>
      <c r="T83" s="132"/>
      <c r="U83" s="132"/>
      <c r="V83" s="132"/>
      <c r="W83" s="132"/>
    </row>
  </sheetData>
  <mergeCells count="416">
    <mergeCell ref="U74:U75"/>
    <mergeCell ref="V74:V75"/>
    <mergeCell ref="W74:W75"/>
    <mergeCell ref="C76:C77"/>
    <mergeCell ref="D76:D77"/>
    <mergeCell ref="E76:E77"/>
    <mergeCell ref="F76:F77"/>
    <mergeCell ref="G76:G77"/>
    <mergeCell ref="H76:H77"/>
    <mergeCell ref="I76:I77"/>
    <mergeCell ref="P76:P77"/>
    <mergeCell ref="Q76:Q77"/>
    <mergeCell ref="R76:R77"/>
    <mergeCell ref="S76:S77"/>
    <mergeCell ref="T76:T77"/>
    <mergeCell ref="U76:U77"/>
    <mergeCell ref="V76:V77"/>
    <mergeCell ref="W76:W77"/>
    <mergeCell ref="C74:C75"/>
    <mergeCell ref="D74:D75"/>
    <mergeCell ref="E74:E75"/>
    <mergeCell ref="F74:F75"/>
    <mergeCell ref="G74:G75"/>
    <mergeCell ref="H74:H75"/>
    <mergeCell ref="I74:I75"/>
    <mergeCell ref="P74:P75"/>
    <mergeCell ref="Q74:Q75"/>
    <mergeCell ref="R70:R71"/>
    <mergeCell ref="S70:S71"/>
    <mergeCell ref="T70:T71"/>
    <mergeCell ref="I70:I71"/>
    <mergeCell ref="P70:P71"/>
    <mergeCell ref="Q70:Q71"/>
    <mergeCell ref="R74:R75"/>
    <mergeCell ref="S74:S75"/>
    <mergeCell ref="T74:T75"/>
    <mergeCell ref="U70:U71"/>
    <mergeCell ref="V70:V71"/>
    <mergeCell ref="W70:W71"/>
    <mergeCell ref="C72:C73"/>
    <mergeCell ref="D72:D73"/>
    <mergeCell ref="E72:E73"/>
    <mergeCell ref="F72:F73"/>
    <mergeCell ref="G72:G73"/>
    <mergeCell ref="H72:H73"/>
    <mergeCell ref="I72:I73"/>
    <mergeCell ref="P72:P73"/>
    <mergeCell ref="Q72:Q73"/>
    <mergeCell ref="R72:R73"/>
    <mergeCell ref="S72:S73"/>
    <mergeCell ref="T72:T73"/>
    <mergeCell ref="U72:U73"/>
    <mergeCell ref="V72:V73"/>
    <mergeCell ref="W72:W73"/>
    <mergeCell ref="C70:C71"/>
    <mergeCell ref="D70:D71"/>
    <mergeCell ref="E70:E71"/>
    <mergeCell ref="F70:F71"/>
    <mergeCell ref="G70:G71"/>
    <mergeCell ref="H70:H71"/>
    <mergeCell ref="R66:R67"/>
    <mergeCell ref="S66:S67"/>
    <mergeCell ref="T66:T67"/>
    <mergeCell ref="U66:U67"/>
    <mergeCell ref="V66:V67"/>
    <mergeCell ref="W66:W67"/>
    <mergeCell ref="D68:D69"/>
    <mergeCell ref="E68:E69"/>
    <mergeCell ref="F68:F69"/>
    <mergeCell ref="G68:G69"/>
    <mergeCell ref="H68:H69"/>
    <mergeCell ref="I68:I69"/>
    <mergeCell ref="P68:P69"/>
    <mergeCell ref="Q68:Q69"/>
    <mergeCell ref="R68:R69"/>
    <mergeCell ref="S68:S69"/>
    <mergeCell ref="T68:T69"/>
    <mergeCell ref="U68:U69"/>
    <mergeCell ref="V68:V69"/>
    <mergeCell ref="W68:W69"/>
    <mergeCell ref="C66:C69"/>
    <mergeCell ref="D66:D67"/>
    <mergeCell ref="E66:E67"/>
    <mergeCell ref="F66:F67"/>
    <mergeCell ref="G66:G67"/>
    <mergeCell ref="H66:H67"/>
    <mergeCell ref="I66:I67"/>
    <mergeCell ref="P66:P67"/>
    <mergeCell ref="Q66:Q67"/>
    <mergeCell ref="B13:B16"/>
    <mergeCell ref="B17:B24"/>
    <mergeCell ref="A1:Q1"/>
    <mergeCell ref="A2:B2"/>
    <mergeCell ref="C2:D2"/>
    <mergeCell ref="G2:N2"/>
    <mergeCell ref="O2:Q2"/>
    <mergeCell ref="A3:B3"/>
    <mergeCell ref="C3:Q3"/>
    <mergeCell ref="A7:A16"/>
    <mergeCell ref="B7:B12"/>
    <mergeCell ref="C7:C8"/>
    <mergeCell ref="D7:D8"/>
    <mergeCell ref="E7:E8"/>
    <mergeCell ref="F7:F8"/>
    <mergeCell ref="A4:B4"/>
    <mergeCell ref="C4:Q4"/>
    <mergeCell ref="C9:C10"/>
    <mergeCell ref="D9:D10"/>
    <mergeCell ref="E9:E10"/>
    <mergeCell ref="F9:F10"/>
    <mergeCell ref="G9:G10"/>
    <mergeCell ref="C15:C16"/>
    <mergeCell ref="D15:D16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G7:G8"/>
    <mergeCell ref="H7:H8"/>
    <mergeCell ref="I7:I8"/>
    <mergeCell ref="P7:P8"/>
    <mergeCell ref="Q7:Q8"/>
    <mergeCell ref="R7:R8"/>
    <mergeCell ref="W9:W10"/>
    <mergeCell ref="C11:C12"/>
    <mergeCell ref="D11:D12"/>
    <mergeCell ref="E11:E12"/>
    <mergeCell ref="F11:F12"/>
    <mergeCell ref="G11:G12"/>
    <mergeCell ref="H11:H12"/>
    <mergeCell ref="H9:H10"/>
    <mergeCell ref="I9:I10"/>
    <mergeCell ref="P9:P10"/>
    <mergeCell ref="Q9:Q10"/>
    <mergeCell ref="R9:R10"/>
    <mergeCell ref="S9:S10"/>
    <mergeCell ref="U11:U12"/>
    <mergeCell ref="V11:V12"/>
    <mergeCell ref="W11:W12"/>
    <mergeCell ref="I11:I12"/>
    <mergeCell ref="P11:P12"/>
    <mergeCell ref="Q11:Q12"/>
    <mergeCell ref="R11:R12"/>
    <mergeCell ref="S11:S12"/>
    <mergeCell ref="T11:T12"/>
    <mergeCell ref="T9:T10"/>
    <mergeCell ref="U9:U10"/>
    <mergeCell ref="V9:V10"/>
    <mergeCell ref="C13:C14"/>
    <mergeCell ref="D13:D14"/>
    <mergeCell ref="E13:E14"/>
    <mergeCell ref="F13:F14"/>
    <mergeCell ref="G13:G14"/>
    <mergeCell ref="H13:H14"/>
    <mergeCell ref="I13:I14"/>
    <mergeCell ref="P13:P14"/>
    <mergeCell ref="K12:N12"/>
    <mergeCell ref="K11:N11"/>
    <mergeCell ref="W13:W14"/>
    <mergeCell ref="Q13:Q14"/>
    <mergeCell ref="R13:R14"/>
    <mergeCell ref="S13:S14"/>
    <mergeCell ref="W19:W20"/>
    <mergeCell ref="R15:R16"/>
    <mergeCell ref="S15:S16"/>
    <mergeCell ref="T15:T16"/>
    <mergeCell ref="U15:U16"/>
    <mergeCell ref="V15:V16"/>
    <mergeCell ref="W15:W16"/>
    <mergeCell ref="W17:W18"/>
    <mergeCell ref="T13:T14"/>
    <mergeCell ref="U13:U14"/>
    <mergeCell ref="V13:V14"/>
    <mergeCell ref="U19:U20"/>
    <mergeCell ref="V19:V20"/>
    <mergeCell ref="R19:R20"/>
    <mergeCell ref="S19:S20"/>
    <mergeCell ref="S17:S18"/>
    <mergeCell ref="T17:T18"/>
    <mergeCell ref="U17:U18"/>
    <mergeCell ref="V17:V18"/>
    <mergeCell ref="R17:R18"/>
    <mergeCell ref="E15:E16"/>
    <mergeCell ref="F15:F16"/>
    <mergeCell ref="G15:G16"/>
    <mergeCell ref="H15:H16"/>
    <mergeCell ref="I15:I16"/>
    <mergeCell ref="P15:P16"/>
    <mergeCell ref="Q15:Q16"/>
    <mergeCell ref="F19:F20"/>
    <mergeCell ref="G19:G20"/>
    <mergeCell ref="G17:G18"/>
    <mergeCell ref="H17:H18"/>
    <mergeCell ref="I17:I18"/>
    <mergeCell ref="P17:P18"/>
    <mergeCell ref="Q19:Q20"/>
    <mergeCell ref="H19:H20"/>
    <mergeCell ref="I19:I20"/>
    <mergeCell ref="P19:P20"/>
    <mergeCell ref="Q17:Q18"/>
    <mergeCell ref="K18:N18"/>
    <mergeCell ref="K20:N20"/>
    <mergeCell ref="K19:N19"/>
    <mergeCell ref="K17:N17"/>
    <mergeCell ref="W21:W22"/>
    <mergeCell ref="C23:C24"/>
    <mergeCell ref="D23:D24"/>
    <mergeCell ref="E23:E24"/>
    <mergeCell ref="F23:F24"/>
    <mergeCell ref="G23:G24"/>
    <mergeCell ref="H23:H24"/>
    <mergeCell ref="H21:H22"/>
    <mergeCell ref="I21:I22"/>
    <mergeCell ref="P21:P22"/>
    <mergeCell ref="Q21:Q22"/>
    <mergeCell ref="R21:R22"/>
    <mergeCell ref="S21:S22"/>
    <mergeCell ref="U23:U24"/>
    <mergeCell ref="V23:V24"/>
    <mergeCell ref="W23:W24"/>
    <mergeCell ref="Q23:Q24"/>
    <mergeCell ref="R23:R24"/>
    <mergeCell ref="S23:S24"/>
    <mergeCell ref="T23:T24"/>
    <mergeCell ref="T21:T22"/>
    <mergeCell ref="U21:U22"/>
    <mergeCell ref="V21:V22"/>
    <mergeCell ref="C17:C18"/>
    <mergeCell ref="D17:D18"/>
    <mergeCell ref="E17:E18"/>
    <mergeCell ref="F17:F18"/>
    <mergeCell ref="T19:T20"/>
    <mergeCell ref="C19:C20"/>
    <mergeCell ref="D19:D20"/>
    <mergeCell ref="E19:E20"/>
    <mergeCell ref="B25:B28"/>
    <mergeCell ref="C25:C26"/>
    <mergeCell ref="D25:D26"/>
    <mergeCell ref="E25:E26"/>
    <mergeCell ref="F25:F26"/>
    <mergeCell ref="G25:G26"/>
    <mergeCell ref="H25:H26"/>
    <mergeCell ref="I23:I24"/>
    <mergeCell ref="P23:P24"/>
    <mergeCell ref="C21:C22"/>
    <mergeCell ref="D21:D22"/>
    <mergeCell ref="E21:E22"/>
    <mergeCell ref="F21:F22"/>
    <mergeCell ref="G21:G22"/>
    <mergeCell ref="P27:P28"/>
    <mergeCell ref="U25:U26"/>
    <mergeCell ref="V25:V26"/>
    <mergeCell ref="W25:W26"/>
    <mergeCell ref="C27:C28"/>
    <mergeCell ref="D27:D28"/>
    <mergeCell ref="E27:E28"/>
    <mergeCell ref="F27:F28"/>
    <mergeCell ref="G27:G28"/>
    <mergeCell ref="H27:H28"/>
    <mergeCell ref="I27:I28"/>
    <mergeCell ref="I25:I26"/>
    <mergeCell ref="P25:P26"/>
    <mergeCell ref="Q25:Q26"/>
    <mergeCell ref="R25:R26"/>
    <mergeCell ref="S25:S26"/>
    <mergeCell ref="T25:T26"/>
    <mergeCell ref="V27:V28"/>
    <mergeCell ref="Q27:Q28"/>
    <mergeCell ref="R27:R28"/>
    <mergeCell ref="T27:T28"/>
    <mergeCell ref="U27:U28"/>
    <mergeCell ref="S27:S28"/>
    <mergeCell ref="W27:W28"/>
    <mergeCell ref="H29:H30"/>
    <mergeCell ref="I29:I30"/>
    <mergeCell ref="P31:P32"/>
    <mergeCell ref="Q31:Q32"/>
    <mergeCell ref="R31:R32"/>
    <mergeCell ref="V29:V30"/>
    <mergeCell ref="W29:W30"/>
    <mergeCell ref="Q29:Q30"/>
    <mergeCell ref="R29:R30"/>
    <mergeCell ref="S29:S30"/>
    <mergeCell ref="T29:T30"/>
    <mergeCell ref="U29:U30"/>
    <mergeCell ref="U31:U32"/>
    <mergeCell ref="V31:V32"/>
    <mergeCell ref="S31:S32"/>
    <mergeCell ref="T31:T32"/>
    <mergeCell ref="I31:I32"/>
    <mergeCell ref="W31:W32"/>
    <mergeCell ref="K32:N32"/>
    <mergeCell ref="K31:N31"/>
    <mergeCell ref="A31:A40"/>
    <mergeCell ref="B31:B38"/>
    <mergeCell ref="C31:C32"/>
    <mergeCell ref="D31:D32"/>
    <mergeCell ref="E31:E32"/>
    <mergeCell ref="F31:F32"/>
    <mergeCell ref="G31:G32"/>
    <mergeCell ref="H31:H32"/>
    <mergeCell ref="P29:P30"/>
    <mergeCell ref="A17:A30"/>
    <mergeCell ref="B39:B40"/>
    <mergeCell ref="C39:C40"/>
    <mergeCell ref="D39:D40"/>
    <mergeCell ref="E39:E40"/>
    <mergeCell ref="F39:F40"/>
    <mergeCell ref="G39:G40"/>
    <mergeCell ref="C33:C34"/>
    <mergeCell ref="D33:D34"/>
    <mergeCell ref="B29:B30"/>
    <mergeCell ref="C29:C30"/>
    <mergeCell ref="D29:D30"/>
    <mergeCell ref="E29:E30"/>
    <mergeCell ref="F29:F30"/>
    <mergeCell ref="G29:G30"/>
    <mergeCell ref="V33:V34"/>
    <mergeCell ref="W33:W34"/>
    <mergeCell ref="C35:C36"/>
    <mergeCell ref="D35:D36"/>
    <mergeCell ref="E35:E36"/>
    <mergeCell ref="F35:F36"/>
    <mergeCell ref="G35:G36"/>
    <mergeCell ref="H35:H36"/>
    <mergeCell ref="I35:I36"/>
    <mergeCell ref="P35:P36"/>
    <mergeCell ref="P33:P34"/>
    <mergeCell ref="Q33:Q34"/>
    <mergeCell ref="R33:R34"/>
    <mergeCell ref="S33:S34"/>
    <mergeCell ref="T33:T34"/>
    <mergeCell ref="U33:U34"/>
    <mergeCell ref="E33:E34"/>
    <mergeCell ref="F33:F34"/>
    <mergeCell ref="G33:G34"/>
    <mergeCell ref="H33:H34"/>
    <mergeCell ref="I33:I34"/>
    <mergeCell ref="K34:N34"/>
    <mergeCell ref="K33:N33"/>
    <mergeCell ref="U37:U38"/>
    <mergeCell ref="V37:V38"/>
    <mergeCell ref="W37:W38"/>
    <mergeCell ref="W35:W36"/>
    <mergeCell ref="C37:C38"/>
    <mergeCell ref="D37:D38"/>
    <mergeCell ref="E37:E38"/>
    <mergeCell ref="F37:F38"/>
    <mergeCell ref="G37:G38"/>
    <mergeCell ref="H37:H38"/>
    <mergeCell ref="I37:I38"/>
    <mergeCell ref="P37:P38"/>
    <mergeCell ref="Q37:Q38"/>
    <mergeCell ref="Q35:Q36"/>
    <mergeCell ref="R35:R36"/>
    <mergeCell ref="S35:S36"/>
    <mergeCell ref="T35:T36"/>
    <mergeCell ref="U35:U36"/>
    <mergeCell ref="V35:V36"/>
    <mergeCell ref="R37:R38"/>
    <mergeCell ref="S37:S38"/>
    <mergeCell ref="T37:T38"/>
    <mergeCell ref="T39:T40"/>
    <mergeCell ref="U39:U40"/>
    <mergeCell ref="V39:V40"/>
    <mergeCell ref="W39:W40"/>
    <mergeCell ref="P41:Q41"/>
    <mergeCell ref="C55:C56"/>
    <mergeCell ref="H39:H40"/>
    <mergeCell ref="I39:I40"/>
    <mergeCell ref="P39:P40"/>
    <mergeCell ref="Q39:Q40"/>
    <mergeCell ref="R39:R40"/>
    <mergeCell ref="S39:S40"/>
    <mergeCell ref="P80:P81"/>
    <mergeCell ref="Q80:Q81"/>
    <mergeCell ref="R80:R81"/>
    <mergeCell ref="K81:L81"/>
    <mergeCell ref="M81:N81"/>
    <mergeCell ref="C82:C83"/>
    <mergeCell ref="D82:D83"/>
    <mergeCell ref="E82:E83"/>
    <mergeCell ref="F82:F83"/>
    <mergeCell ref="G82:G83"/>
    <mergeCell ref="H82:H83"/>
    <mergeCell ref="I82:I83"/>
    <mergeCell ref="P82:P83"/>
    <mergeCell ref="Q82:Q83"/>
    <mergeCell ref="R82:R83"/>
    <mergeCell ref="C80:C81"/>
    <mergeCell ref="D80:D81"/>
    <mergeCell ref="E80:E81"/>
    <mergeCell ref="F80:F81"/>
    <mergeCell ref="G80:G81"/>
    <mergeCell ref="H80:H81"/>
    <mergeCell ref="I80:I81"/>
    <mergeCell ref="K80:L80"/>
    <mergeCell ref="M80:N80"/>
    <mergeCell ref="S80:S81"/>
    <mergeCell ref="T80:T81"/>
    <mergeCell ref="U80:U81"/>
    <mergeCell ref="V80:V81"/>
    <mergeCell ref="W80:W81"/>
    <mergeCell ref="S82:S83"/>
    <mergeCell ref="T82:T83"/>
    <mergeCell ref="U82:U83"/>
    <mergeCell ref="V82:V83"/>
    <mergeCell ref="W82:W8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4B0E-637E-4781-A818-EBD82A84C3CF}">
  <dimension ref="A1:W83"/>
  <sheetViews>
    <sheetView zoomScale="92" zoomScaleNormal="92" workbookViewId="0">
      <pane xSplit="3" ySplit="6" topLeftCell="D7" activePane="bottomRight" state="frozenSplit"/>
      <selection pane="topRight" activeCell="C1" sqref="C1"/>
      <selection pane="bottomLeft" activeCell="A6" sqref="A6"/>
      <selection pane="bottomRight" activeCell="O17" sqref="O17"/>
    </sheetView>
  </sheetViews>
  <sheetFormatPr defaultColWidth="8.88671875" defaultRowHeight="13.8" x14ac:dyDescent="0.3"/>
  <cols>
    <col min="1" max="2" width="6.33203125" style="1" customWidth="1"/>
    <col min="3" max="3" width="26.109375" style="1" customWidth="1"/>
    <col min="4" max="6" width="8.88671875" style="1" customWidth="1"/>
    <col min="7" max="7" width="5.6640625" style="1" customWidth="1"/>
    <col min="8" max="8" width="6" style="1" customWidth="1"/>
    <col min="9" max="9" width="6.88671875" style="1" customWidth="1"/>
    <col min="10" max="10" width="6.5546875" style="2" customWidth="1"/>
    <col min="11" max="14" width="8" style="2" customWidth="1"/>
    <col min="15" max="16" width="8.88671875" style="2" customWidth="1"/>
    <col min="17" max="17" width="8" style="2" customWidth="1"/>
    <col min="18" max="18" width="9.109375" style="1"/>
    <col min="19" max="23" width="16.6640625" style="1" customWidth="1"/>
    <col min="24" max="16384" width="8.88671875" style="1"/>
  </cols>
  <sheetData>
    <row r="1" spans="1:23" ht="31.9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ht="18.600000000000001" customHeight="1" x14ac:dyDescent="0.3">
      <c r="A2" s="110" t="s">
        <v>1</v>
      </c>
      <c r="B2" s="110"/>
      <c r="C2" s="113">
        <v>44887</v>
      </c>
      <c r="D2" s="113"/>
      <c r="E2" s="5" t="s">
        <v>2</v>
      </c>
      <c r="F2" s="5"/>
      <c r="G2" s="113">
        <v>44652</v>
      </c>
      <c r="H2" s="113"/>
      <c r="I2" s="113"/>
      <c r="J2" s="113"/>
      <c r="K2" s="113"/>
      <c r="L2" s="113"/>
      <c r="M2" s="113"/>
      <c r="N2" s="113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ht="15" customHeight="1" x14ac:dyDescent="0.3">
      <c r="A4" s="111" t="s">
        <v>6</v>
      </c>
      <c r="B4" s="111"/>
      <c r="C4" s="123" t="s">
        <v>7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130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s="4" customFormat="1" ht="5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s="4" customFormat="1" ht="16.5" customHeight="1" x14ac:dyDescent="0.3">
      <c r="A7" s="77" t="s">
        <v>31</v>
      </c>
      <c r="B7" s="77" t="s">
        <v>32</v>
      </c>
      <c r="C7" s="144" t="s">
        <v>131</v>
      </c>
      <c r="D7" s="83" t="s">
        <v>34</v>
      </c>
      <c r="E7" s="81" t="s">
        <v>35</v>
      </c>
      <c r="F7" s="83">
        <v>0.1</v>
      </c>
      <c r="G7" s="81" t="s">
        <v>36</v>
      </c>
      <c r="H7" s="81" t="s">
        <v>37</v>
      </c>
      <c r="I7" s="81">
        <v>0.95</v>
      </c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1">
        <v>3</v>
      </c>
      <c r="Q7" s="194">
        <f>+P7*F7</f>
        <v>0.30000000000000004</v>
      </c>
      <c r="R7" s="85">
        <f>+(5*F7)-Q7</f>
        <v>0.19999999999999996</v>
      </c>
      <c r="S7" s="83" t="s">
        <v>135</v>
      </c>
      <c r="T7" s="132" t="s">
        <v>60</v>
      </c>
      <c r="U7" s="132" t="s">
        <v>61</v>
      </c>
      <c r="V7" s="132" t="s">
        <v>62</v>
      </c>
      <c r="W7" s="132" t="s">
        <v>62</v>
      </c>
    </row>
    <row r="8" spans="1:23" s="4" customFormat="1" ht="16.5" customHeight="1" x14ac:dyDescent="0.3">
      <c r="A8" s="77"/>
      <c r="B8" s="77"/>
      <c r="C8" s="144"/>
      <c r="D8" s="83"/>
      <c r="E8" s="81"/>
      <c r="F8" s="83"/>
      <c r="G8" s="81"/>
      <c r="H8" s="81"/>
      <c r="I8" s="81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1"/>
      <c r="Q8" s="194"/>
      <c r="R8" s="85"/>
      <c r="S8" s="83"/>
      <c r="T8" s="132"/>
      <c r="U8" s="132"/>
      <c r="V8" s="132"/>
      <c r="W8" s="132"/>
    </row>
    <row r="9" spans="1:23" s="4" customFormat="1" ht="16.5" customHeight="1" x14ac:dyDescent="0.3">
      <c r="A9" s="77"/>
      <c r="B9" s="77"/>
      <c r="C9" s="144" t="s">
        <v>132</v>
      </c>
      <c r="D9" s="83" t="s">
        <v>34</v>
      </c>
      <c r="E9" s="81" t="s">
        <v>35</v>
      </c>
      <c r="F9" s="83">
        <v>0.1</v>
      </c>
      <c r="G9" s="81" t="s">
        <v>36</v>
      </c>
      <c r="H9" s="81" t="s">
        <v>37</v>
      </c>
      <c r="I9" s="81">
        <v>0.95</v>
      </c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1">
        <v>3</v>
      </c>
      <c r="Q9" s="194">
        <f t="shared" ref="Q9" si="0">+P9*F9</f>
        <v>0.30000000000000004</v>
      </c>
      <c r="R9" s="85">
        <f>+(5*F9)-Q9</f>
        <v>0.19999999999999996</v>
      </c>
      <c r="S9" s="83" t="s">
        <v>135</v>
      </c>
      <c r="T9" s="132" t="s">
        <v>60</v>
      </c>
      <c r="U9" s="132" t="s">
        <v>61</v>
      </c>
      <c r="V9" s="132" t="s">
        <v>62</v>
      </c>
      <c r="W9" s="132" t="s">
        <v>62</v>
      </c>
    </row>
    <row r="10" spans="1:23" s="4" customFormat="1" ht="16.5" customHeight="1" x14ac:dyDescent="0.3">
      <c r="A10" s="77"/>
      <c r="B10" s="77"/>
      <c r="C10" s="144"/>
      <c r="D10" s="83"/>
      <c r="E10" s="81"/>
      <c r="F10" s="83"/>
      <c r="G10" s="81"/>
      <c r="H10" s="81"/>
      <c r="I10" s="81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1"/>
      <c r="Q10" s="194"/>
      <c r="R10" s="85"/>
      <c r="S10" s="83"/>
      <c r="T10" s="132"/>
      <c r="U10" s="132"/>
      <c r="V10" s="132"/>
      <c r="W10" s="132"/>
    </row>
    <row r="11" spans="1:23" s="4" customFormat="1" ht="16.5" customHeight="1" x14ac:dyDescent="0.3">
      <c r="A11" s="77"/>
      <c r="B11" s="77"/>
      <c r="C11" s="144" t="s">
        <v>192</v>
      </c>
      <c r="D11" s="83" t="s">
        <v>34</v>
      </c>
      <c r="E11" s="81" t="s">
        <v>79</v>
      </c>
      <c r="F11" s="83">
        <v>0.1</v>
      </c>
      <c r="G11" s="81" t="s">
        <v>58</v>
      </c>
      <c r="H11" s="81" t="s">
        <v>106</v>
      </c>
      <c r="I11" s="83">
        <v>0.1</v>
      </c>
      <c r="J11" s="23" t="s">
        <v>38</v>
      </c>
      <c r="K11" s="139">
        <v>0.2</v>
      </c>
      <c r="L11" s="205"/>
      <c r="M11" s="139">
        <v>0.2</v>
      </c>
      <c r="N11" s="205"/>
      <c r="O11" s="25">
        <v>0.2</v>
      </c>
      <c r="P11" s="79">
        <v>3</v>
      </c>
      <c r="Q11" s="194">
        <f t="shared" ref="Q11" si="1">+P11*F11</f>
        <v>0.30000000000000004</v>
      </c>
      <c r="R11" s="52"/>
      <c r="S11" s="83" t="s">
        <v>193</v>
      </c>
      <c r="T11" s="132" t="s">
        <v>194</v>
      </c>
      <c r="U11" s="132" t="s">
        <v>195</v>
      </c>
      <c r="V11" s="132" t="s">
        <v>196</v>
      </c>
      <c r="W11" s="132" t="s">
        <v>197</v>
      </c>
    </row>
    <row r="12" spans="1:23" s="4" customFormat="1" ht="16.5" customHeight="1" x14ac:dyDescent="0.3">
      <c r="A12" s="77"/>
      <c r="B12" s="77"/>
      <c r="C12" s="144"/>
      <c r="D12" s="83"/>
      <c r="E12" s="81"/>
      <c r="F12" s="83"/>
      <c r="G12" s="81"/>
      <c r="H12" s="81"/>
      <c r="I12" s="81"/>
      <c r="J12" s="23" t="s">
        <v>43</v>
      </c>
      <c r="K12" s="139">
        <v>0.2</v>
      </c>
      <c r="L12" s="205"/>
      <c r="M12" s="139">
        <v>0.2</v>
      </c>
      <c r="N12" s="205"/>
      <c r="O12" s="25">
        <v>0.2</v>
      </c>
      <c r="P12" s="80"/>
      <c r="Q12" s="194"/>
      <c r="R12" s="52"/>
      <c r="S12" s="83"/>
      <c r="T12" s="132"/>
      <c r="U12" s="132"/>
      <c r="V12" s="132"/>
      <c r="W12" s="132"/>
    </row>
    <row r="13" spans="1:23" s="4" customFormat="1" ht="16.5" customHeight="1" x14ac:dyDescent="0.3">
      <c r="A13" s="77"/>
      <c r="B13" s="77"/>
      <c r="C13" s="82" t="s">
        <v>133</v>
      </c>
      <c r="D13" s="83" t="s">
        <v>34</v>
      </c>
      <c r="E13" s="81" t="s">
        <v>35</v>
      </c>
      <c r="F13" s="83"/>
      <c r="G13" s="81" t="s">
        <v>36</v>
      </c>
      <c r="H13" s="81" t="s">
        <v>50</v>
      </c>
      <c r="I13" s="83">
        <v>0.1</v>
      </c>
      <c r="J13" s="23" t="s">
        <v>38</v>
      </c>
      <c r="K13" s="191" t="s">
        <v>62</v>
      </c>
      <c r="L13" s="192"/>
      <c r="M13" s="192"/>
      <c r="N13" s="193"/>
      <c r="O13" s="17" t="s">
        <v>62</v>
      </c>
      <c r="P13" s="81"/>
      <c r="Q13" s="194">
        <f t="shared" ref="Q13" si="2">+P13*F13</f>
        <v>0</v>
      </c>
      <c r="R13" s="85">
        <f>+(5*F13)-Q13</f>
        <v>0</v>
      </c>
      <c r="S13" s="83"/>
      <c r="T13" s="132"/>
      <c r="U13" s="132"/>
      <c r="V13" s="132" t="s">
        <v>62</v>
      </c>
      <c r="W13" s="132" t="s">
        <v>62</v>
      </c>
    </row>
    <row r="14" spans="1:23" s="4" customFormat="1" ht="16.5" customHeight="1" x14ac:dyDescent="0.3">
      <c r="A14" s="77"/>
      <c r="B14" s="77"/>
      <c r="C14" s="82"/>
      <c r="D14" s="83"/>
      <c r="E14" s="81"/>
      <c r="F14" s="83"/>
      <c r="G14" s="81"/>
      <c r="H14" s="81"/>
      <c r="I14" s="81"/>
      <c r="J14" s="23" t="s">
        <v>43</v>
      </c>
      <c r="K14" s="191" t="s">
        <v>62</v>
      </c>
      <c r="L14" s="192"/>
      <c r="M14" s="192"/>
      <c r="N14" s="193"/>
      <c r="O14" s="17" t="s">
        <v>62</v>
      </c>
      <c r="P14" s="81"/>
      <c r="Q14" s="194"/>
      <c r="R14" s="85"/>
      <c r="S14" s="83"/>
      <c r="T14" s="132"/>
      <c r="U14" s="132"/>
      <c r="V14" s="132"/>
      <c r="W14" s="132"/>
    </row>
    <row r="15" spans="1:23" s="3" customFormat="1" ht="18" customHeight="1" x14ac:dyDescent="0.3">
      <c r="A15" s="77"/>
      <c r="B15" s="77" t="s">
        <v>55</v>
      </c>
      <c r="C15" s="218" t="s">
        <v>63</v>
      </c>
      <c r="D15" s="211" t="s">
        <v>34</v>
      </c>
      <c r="E15" s="211" t="s">
        <v>57</v>
      </c>
      <c r="F15" s="213">
        <v>0.05</v>
      </c>
      <c r="G15" s="211" t="s">
        <v>64</v>
      </c>
      <c r="H15" s="211" t="s">
        <v>37</v>
      </c>
      <c r="I15" s="211">
        <v>17</v>
      </c>
      <c r="J15" s="59" t="s">
        <v>38</v>
      </c>
      <c r="K15" s="59">
        <v>12</v>
      </c>
      <c r="L15" s="59">
        <v>28</v>
      </c>
      <c r="M15" s="59">
        <v>27</v>
      </c>
      <c r="N15" s="59">
        <v>19</v>
      </c>
      <c r="O15" s="59">
        <v>86</v>
      </c>
      <c r="P15" s="211">
        <v>5</v>
      </c>
      <c r="Q15" s="194">
        <f t="shared" ref="Q15" si="3">+P15*F15</f>
        <v>0.25</v>
      </c>
      <c r="R15" s="129">
        <f>+(5*F15)-Q15</f>
        <v>0</v>
      </c>
      <c r="S15" s="79" t="s">
        <v>198</v>
      </c>
      <c r="T15" s="79" t="s">
        <v>199</v>
      </c>
      <c r="U15" s="79" t="s">
        <v>200</v>
      </c>
      <c r="V15" s="79" t="s">
        <v>201</v>
      </c>
      <c r="W15" s="79" t="s">
        <v>202</v>
      </c>
    </row>
    <row r="16" spans="1:23" s="3" customFormat="1" ht="18" customHeight="1" x14ac:dyDescent="0.3">
      <c r="A16" s="77"/>
      <c r="B16" s="77"/>
      <c r="C16" s="219"/>
      <c r="D16" s="212"/>
      <c r="E16" s="212"/>
      <c r="F16" s="212"/>
      <c r="G16" s="212"/>
      <c r="H16" s="212"/>
      <c r="I16" s="212"/>
      <c r="J16" s="60" t="s">
        <v>43</v>
      </c>
      <c r="K16" s="60">
        <v>16</v>
      </c>
      <c r="L16" s="60">
        <v>16</v>
      </c>
      <c r="M16" s="60">
        <v>16</v>
      </c>
      <c r="N16" s="60">
        <v>16</v>
      </c>
      <c r="O16" s="60" t="s">
        <v>200</v>
      </c>
      <c r="P16" s="212"/>
      <c r="Q16" s="194"/>
      <c r="R16" s="129"/>
      <c r="S16" s="80"/>
      <c r="T16" s="80"/>
      <c r="U16" s="80"/>
      <c r="V16" s="80"/>
      <c r="W16" s="80"/>
    </row>
    <row r="17" spans="1:23" s="3" customFormat="1" ht="18" customHeight="1" x14ac:dyDescent="0.3">
      <c r="A17" s="77"/>
      <c r="B17" s="77"/>
      <c r="C17" s="216" t="s">
        <v>70</v>
      </c>
      <c r="D17" s="215" t="s">
        <v>34</v>
      </c>
      <c r="E17" s="215" t="s">
        <v>57</v>
      </c>
      <c r="F17" s="214">
        <v>7.0000000000000007E-2</v>
      </c>
      <c r="G17" s="215" t="s">
        <v>58</v>
      </c>
      <c r="H17" s="215" t="s">
        <v>37</v>
      </c>
      <c r="I17" s="214">
        <v>0.31</v>
      </c>
      <c r="J17" s="60" t="s">
        <v>38</v>
      </c>
      <c r="K17" s="61">
        <v>0.5</v>
      </c>
      <c r="L17" s="61">
        <v>0.64</v>
      </c>
      <c r="M17" s="61">
        <v>0.74</v>
      </c>
      <c r="N17" s="61">
        <v>0.68</v>
      </c>
      <c r="O17" s="61">
        <v>0.64</v>
      </c>
      <c r="P17" s="215">
        <v>4</v>
      </c>
      <c r="Q17" s="194">
        <f t="shared" ref="Q17" si="4">+P17*F17</f>
        <v>0.28000000000000003</v>
      </c>
      <c r="R17" s="129">
        <f>+(5*F17)-Q17</f>
        <v>7.0000000000000007E-2</v>
      </c>
      <c r="S17" s="130" t="s">
        <v>203</v>
      </c>
      <c r="T17" s="130" t="s">
        <v>204</v>
      </c>
      <c r="U17" s="130" t="s">
        <v>205</v>
      </c>
      <c r="V17" s="130" t="s">
        <v>206</v>
      </c>
      <c r="W17" s="130" t="s">
        <v>207</v>
      </c>
    </row>
    <row r="18" spans="1:23" s="3" customFormat="1" ht="18" customHeight="1" x14ac:dyDescent="0.3">
      <c r="A18" s="77"/>
      <c r="B18" s="77"/>
      <c r="C18" s="217"/>
      <c r="D18" s="212"/>
      <c r="E18" s="212"/>
      <c r="F18" s="212"/>
      <c r="G18" s="212"/>
      <c r="H18" s="212"/>
      <c r="I18" s="212"/>
      <c r="J18" s="62" t="s">
        <v>43</v>
      </c>
      <c r="K18" s="50" t="s">
        <v>205</v>
      </c>
      <c r="L18" s="51" t="s">
        <v>205</v>
      </c>
      <c r="M18" s="51" t="s">
        <v>205</v>
      </c>
      <c r="N18" s="51" t="s">
        <v>205</v>
      </c>
      <c r="O18" s="51" t="s">
        <v>205</v>
      </c>
      <c r="P18" s="212"/>
      <c r="Q18" s="194"/>
      <c r="R18" s="129"/>
      <c r="S18" s="131"/>
      <c r="T18" s="131"/>
      <c r="U18" s="131"/>
      <c r="V18" s="131"/>
      <c r="W18" s="131"/>
    </row>
    <row r="19" spans="1:23" s="3" customFormat="1" ht="18" customHeight="1" x14ac:dyDescent="0.3">
      <c r="A19" s="77" t="s">
        <v>76</v>
      </c>
      <c r="B19" s="77" t="s">
        <v>77</v>
      </c>
      <c r="C19" s="178" t="s">
        <v>78</v>
      </c>
      <c r="D19" s="118" t="s">
        <v>34</v>
      </c>
      <c r="E19" s="93" t="s">
        <v>79</v>
      </c>
      <c r="F19" s="118"/>
      <c r="G19" s="93" t="s">
        <v>58</v>
      </c>
      <c r="H19" s="93" t="s">
        <v>50</v>
      </c>
      <c r="I19" s="93"/>
      <c r="J19" s="27" t="s">
        <v>38</v>
      </c>
      <c r="K19" s="208"/>
      <c r="L19" s="209"/>
      <c r="M19" s="209"/>
      <c r="N19" s="210"/>
      <c r="O19" s="40"/>
      <c r="P19" s="88"/>
      <c r="Q19" s="194"/>
      <c r="R19" s="85">
        <f>+(5*F19)-Q19</f>
        <v>0</v>
      </c>
      <c r="S19" s="83" t="s">
        <v>142</v>
      </c>
      <c r="T19" s="81" t="s">
        <v>80</v>
      </c>
      <c r="U19" s="79" t="s">
        <v>81</v>
      </c>
      <c r="V19" s="81" t="s">
        <v>82</v>
      </c>
      <c r="W19" s="81" t="s">
        <v>83</v>
      </c>
    </row>
    <row r="20" spans="1:23" s="3" customFormat="1" ht="18" customHeight="1" x14ac:dyDescent="0.3">
      <c r="A20" s="78"/>
      <c r="B20" s="78"/>
      <c r="C20" s="178"/>
      <c r="D20" s="93"/>
      <c r="E20" s="93"/>
      <c r="F20" s="118"/>
      <c r="G20" s="93"/>
      <c r="H20" s="93"/>
      <c r="I20" s="93"/>
      <c r="J20" s="27" t="s">
        <v>43</v>
      </c>
      <c r="K20" s="185"/>
      <c r="L20" s="186"/>
      <c r="M20" s="186"/>
      <c r="N20" s="187"/>
      <c r="O20" s="22"/>
      <c r="P20" s="88"/>
      <c r="Q20" s="194"/>
      <c r="R20" s="85"/>
      <c r="S20" s="81"/>
      <c r="T20" s="81"/>
      <c r="U20" s="80"/>
      <c r="V20" s="81"/>
      <c r="W20" s="81"/>
    </row>
    <row r="21" spans="1:23" s="3" customFormat="1" ht="18" customHeight="1" x14ac:dyDescent="0.3">
      <c r="A21" s="78"/>
      <c r="B21" s="78"/>
      <c r="C21" s="178" t="s">
        <v>84</v>
      </c>
      <c r="D21" s="118" t="s">
        <v>34</v>
      </c>
      <c r="E21" s="93" t="s">
        <v>79</v>
      </c>
      <c r="F21" s="118"/>
      <c r="G21" s="93" t="s">
        <v>58</v>
      </c>
      <c r="H21" s="93" t="s">
        <v>50</v>
      </c>
      <c r="I21" s="93"/>
      <c r="J21" s="27" t="s">
        <v>38</v>
      </c>
      <c r="K21" s="188"/>
      <c r="L21" s="189"/>
      <c r="M21" s="189"/>
      <c r="N21" s="190"/>
      <c r="O21" s="39"/>
      <c r="P21" s="93"/>
      <c r="Q21" s="194"/>
      <c r="R21" s="85">
        <f>+(5*F21)-Q21</f>
        <v>0</v>
      </c>
      <c r="S21" s="83" t="s">
        <v>142</v>
      </c>
      <c r="T21" s="81" t="s">
        <v>80</v>
      </c>
      <c r="U21" s="79" t="s">
        <v>81</v>
      </c>
      <c r="V21" s="81" t="s">
        <v>82</v>
      </c>
      <c r="W21" s="81" t="s">
        <v>83</v>
      </c>
    </row>
    <row r="22" spans="1:23" s="3" customFormat="1" ht="18" customHeight="1" x14ac:dyDescent="0.3">
      <c r="A22" s="78"/>
      <c r="B22" s="78"/>
      <c r="C22" s="178"/>
      <c r="D22" s="93"/>
      <c r="E22" s="93"/>
      <c r="F22" s="118"/>
      <c r="G22" s="93"/>
      <c r="H22" s="93"/>
      <c r="I22" s="93"/>
      <c r="J22" s="27" t="s">
        <v>43</v>
      </c>
      <c r="K22" s="185"/>
      <c r="L22" s="186"/>
      <c r="M22" s="186"/>
      <c r="N22" s="187"/>
      <c r="O22" s="22"/>
      <c r="P22" s="93"/>
      <c r="Q22" s="194"/>
      <c r="R22" s="85"/>
      <c r="S22" s="81"/>
      <c r="T22" s="81"/>
      <c r="U22" s="80"/>
      <c r="V22" s="81"/>
      <c r="W22" s="81"/>
    </row>
    <row r="23" spans="1:23" s="3" customFormat="1" ht="18" customHeight="1" x14ac:dyDescent="0.3">
      <c r="A23" s="78"/>
      <c r="B23" s="78"/>
      <c r="C23" s="178" t="s">
        <v>208</v>
      </c>
      <c r="D23" s="118" t="s">
        <v>34</v>
      </c>
      <c r="E23" s="93" t="s">
        <v>79</v>
      </c>
      <c r="F23" s="118"/>
      <c r="G23" s="93"/>
      <c r="H23" s="93"/>
      <c r="I23" s="93"/>
      <c r="J23" s="27" t="s">
        <v>38</v>
      </c>
      <c r="K23" s="188"/>
      <c r="L23" s="189"/>
      <c r="M23" s="189"/>
      <c r="N23" s="190"/>
      <c r="O23" s="39"/>
      <c r="P23" s="93"/>
      <c r="Q23" s="194"/>
      <c r="R23" s="85">
        <f>+(5*F23)-Q23</f>
        <v>0</v>
      </c>
      <c r="S23" s="83"/>
      <c r="T23" s="81"/>
      <c r="U23" s="79"/>
      <c r="V23" s="81"/>
      <c r="W23" s="81"/>
    </row>
    <row r="24" spans="1:23" s="3" customFormat="1" ht="18" customHeight="1" x14ac:dyDescent="0.3">
      <c r="A24" s="78"/>
      <c r="B24" s="78"/>
      <c r="C24" s="178"/>
      <c r="D24" s="93"/>
      <c r="E24" s="93"/>
      <c r="F24" s="118"/>
      <c r="G24" s="93"/>
      <c r="H24" s="93"/>
      <c r="I24" s="93"/>
      <c r="J24" s="27" t="s">
        <v>43</v>
      </c>
      <c r="K24" s="185"/>
      <c r="L24" s="186"/>
      <c r="M24" s="186"/>
      <c r="N24" s="187"/>
      <c r="O24" s="22"/>
      <c r="P24" s="93"/>
      <c r="Q24" s="194"/>
      <c r="R24" s="85"/>
      <c r="S24" s="81"/>
      <c r="T24" s="81"/>
      <c r="U24" s="80"/>
      <c r="V24" s="81"/>
      <c r="W24" s="81"/>
    </row>
    <row r="25" spans="1:23" s="3" customFormat="1" ht="18" customHeight="1" x14ac:dyDescent="0.3">
      <c r="A25" s="220"/>
      <c r="B25" s="106" t="s">
        <v>209</v>
      </c>
      <c r="C25" s="116" t="s">
        <v>93</v>
      </c>
      <c r="D25" s="83" t="s">
        <v>34</v>
      </c>
      <c r="E25" s="81" t="s">
        <v>35</v>
      </c>
      <c r="F25" s="83">
        <v>0.05</v>
      </c>
      <c r="G25" s="81" t="s">
        <v>64</v>
      </c>
      <c r="H25" s="81" t="s">
        <v>59</v>
      </c>
      <c r="I25" s="81"/>
      <c r="J25" s="23" t="s">
        <v>38</v>
      </c>
      <c r="K25" s="23">
        <v>4</v>
      </c>
      <c r="L25" s="23">
        <v>6</v>
      </c>
      <c r="M25" s="23">
        <v>3</v>
      </c>
      <c r="N25" s="23">
        <v>5</v>
      </c>
      <c r="O25" s="32">
        <v>18</v>
      </c>
      <c r="P25" s="81">
        <v>5</v>
      </c>
      <c r="Q25" s="194">
        <f t="shared" ref="Q25" si="5">+P25*F25</f>
        <v>0.25</v>
      </c>
      <c r="R25" s="85">
        <f>+(5*F25)-Q25</f>
        <v>0</v>
      </c>
      <c r="S25" s="97" t="s">
        <v>94</v>
      </c>
      <c r="T25" s="97" t="s">
        <v>95</v>
      </c>
      <c r="U25" s="97" t="s">
        <v>96</v>
      </c>
      <c r="V25" s="97" t="s">
        <v>97</v>
      </c>
      <c r="W25" s="90" t="s">
        <v>98</v>
      </c>
    </row>
    <row r="26" spans="1:23" s="3" customFormat="1" ht="18" customHeight="1" x14ac:dyDescent="0.3">
      <c r="A26" s="220"/>
      <c r="B26" s="106"/>
      <c r="C26" s="116"/>
      <c r="D26" s="81"/>
      <c r="E26" s="81"/>
      <c r="F26" s="83"/>
      <c r="G26" s="81"/>
      <c r="H26" s="81"/>
      <c r="I26" s="81"/>
      <c r="J26" s="23" t="s">
        <v>43</v>
      </c>
      <c r="K26" s="23">
        <v>2</v>
      </c>
      <c r="L26" s="23">
        <v>2</v>
      </c>
      <c r="M26" s="23">
        <v>2</v>
      </c>
      <c r="N26" s="23">
        <v>2</v>
      </c>
      <c r="O26" s="33" t="s">
        <v>96</v>
      </c>
      <c r="P26" s="81"/>
      <c r="Q26" s="194"/>
      <c r="R26" s="85"/>
      <c r="S26" s="98"/>
      <c r="T26" s="98"/>
      <c r="U26" s="98"/>
      <c r="V26" s="98"/>
      <c r="W26" s="97"/>
    </row>
    <row r="27" spans="1:23" s="3" customFormat="1" ht="18" customHeight="1" x14ac:dyDescent="0.3">
      <c r="A27" s="220"/>
      <c r="B27" s="106"/>
      <c r="C27" s="125" t="s">
        <v>99</v>
      </c>
      <c r="D27" s="96" t="s">
        <v>34</v>
      </c>
      <c r="E27" s="95" t="s">
        <v>35</v>
      </c>
      <c r="F27" s="96">
        <v>0.05</v>
      </c>
      <c r="G27" s="95" t="s">
        <v>64</v>
      </c>
      <c r="H27" s="95" t="s">
        <v>59</v>
      </c>
      <c r="I27" s="95">
        <v>215</v>
      </c>
      <c r="J27" s="28" t="s">
        <v>38</v>
      </c>
      <c r="K27" s="28">
        <v>186</v>
      </c>
      <c r="L27" s="28">
        <v>174</v>
      </c>
      <c r="M27" s="28">
        <v>180</v>
      </c>
      <c r="N27" s="28">
        <v>192</v>
      </c>
      <c r="O27" s="28">
        <v>732</v>
      </c>
      <c r="P27" s="95">
        <v>5</v>
      </c>
      <c r="Q27" s="194">
        <f t="shared" ref="Q27" si="6">+P27*F27</f>
        <v>0.25</v>
      </c>
      <c r="R27" s="91">
        <f>+(5*F27)-Q27</f>
        <v>0</v>
      </c>
      <c r="S27" s="176" t="s">
        <v>101</v>
      </c>
      <c r="T27" s="176" t="s">
        <v>102</v>
      </c>
      <c r="U27" s="176" t="s">
        <v>103</v>
      </c>
      <c r="V27" s="173" t="s">
        <v>146</v>
      </c>
      <c r="W27" s="93" t="s">
        <v>147</v>
      </c>
    </row>
    <row r="28" spans="1:23" s="3" customFormat="1" ht="18" customHeight="1" x14ac:dyDescent="0.3">
      <c r="A28" s="220"/>
      <c r="B28" s="106"/>
      <c r="C28" s="125"/>
      <c r="D28" s="95"/>
      <c r="E28" s="95"/>
      <c r="F28" s="96"/>
      <c r="G28" s="95"/>
      <c r="H28" s="95"/>
      <c r="I28" s="95"/>
      <c r="J28" s="28" t="s">
        <v>43</v>
      </c>
      <c r="K28" s="28">
        <v>150</v>
      </c>
      <c r="L28" s="28">
        <v>150</v>
      </c>
      <c r="M28" s="28">
        <v>150</v>
      </c>
      <c r="N28" s="28">
        <v>150</v>
      </c>
      <c r="O28" s="28" t="s">
        <v>102</v>
      </c>
      <c r="P28" s="95"/>
      <c r="Q28" s="194"/>
      <c r="R28" s="91"/>
      <c r="S28" s="177"/>
      <c r="T28" s="177"/>
      <c r="U28" s="177"/>
      <c r="V28" s="173"/>
      <c r="W28" s="93"/>
    </row>
    <row r="29" spans="1:23" s="3" customFormat="1" ht="18" customHeight="1" x14ac:dyDescent="0.3">
      <c r="A29" s="220"/>
      <c r="B29" s="106" t="s">
        <v>210</v>
      </c>
      <c r="C29" s="115" t="s">
        <v>86</v>
      </c>
      <c r="D29" s="101" t="s">
        <v>34</v>
      </c>
      <c r="E29" s="80" t="s">
        <v>35</v>
      </c>
      <c r="F29" s="101">
        <v>0.04</v>
      </c>
      <c r="G29" s="80" t="s">
        <v>64</v>
      </c>
      <c r="H29" s="80" t="s">
        <v>211</v>
      </c>
      <c r="I29" s="80">
        <v>18</v>
      </c>
      <c r="J29" s="30" t="s">
        <v>38</v>
      </c>
      <c r="K29" s="30">
        <v>19</v>
      </c>
      <c r="L29" s="30">
        <v>23</v>
      </c>
      <c r="M29" s="30">
        <v>21</v>
      </c>
      <c r="N29" s="30">
        <v>15</v>
      </c>
      <c r="O29" s="30">
        <v>78</v>
      </c>
      <c r="P29" s="80">
        <v>4</v>
      </c>
      <c r="Q29" s="194">
        <f t="shared" ref="Q29" si="7">+P29*F29</f>
        <v>0.16</v>
      </c>
      <c r="R29" s="85">
        <f>+(5*F29)-Q29</f>
        <v>4.0000000000000008E-2</v>
      </c>
      <c r="S29" s="81">
        <v>-49</v>
      </c>
      <c r="T29" s="81" t="s">
        <v>88</v>
      </c>
      <c r="U29" s="81" t="s">
        <v>89</v>
      </c>
      <c r="V29" s="81" t="s">
        <v>143</v>
      </c>
      <c r="W29" s="81" t="s">
        <v>144</v>
      </c>
    </row>
    <row r="30" spans="1:23" ht="18" customHeight="1" x14ac:dyDescent="0.3">
      <c r="A30" s="220"/>
      <c r="B30" s="106"/>
      <c r="C30" s="116"/>
      <c r="D30" s="81"/>
      <c r="E30" s="81"/>
      <c r="F30" s="83"/>
      <c r="G30" s="81"/>
      <c r="H30" s="81"/>
      <c r="I30" s="81"/>
      <c r="J30" s="23" t="s">
        <v>43</v>
      </c>
      <c r="K30" s="23">
        <v>18</v>
      </c>
      <c r="L30" s="23">
        <v>18</v>
      </c>
      <c r="M30" s="23">
        <v>18</v>
      </c>
      <c r="N30" s="23">
        <v>18</v>
      </c>
      <c r="O30" s="23" t="s">
        <v>89</v>
      </c>
      <c r="P30" s="81"/>
      <c r="Q30" s="194"/>
      <c r="R30" s="85"/>
      <c r="S30" s="81"/>
      <c r="T30" s="81"/>
      <c r="U30" s="81"/>
      <c r="V30" s="81"/>
      <c r="W30" s="81"/>
    </row>
    <row r="31" spans="1:23" s="3" customFormat="1" ht="18" customHeight="1" x14ac:dyDescent="0.3">
      <c r="A31" s="220"/>
      <c r="B31" s="106"/>
      <c r="C31" s="116" t="s">
        <v>91</v>
      </c>
      <c r="D31" s="83" t="s">
        <v>34</v>
      </c>
      <c r="E31" s="81" t="s">
        <v>35</v>
      </c>
      <c r="F31" s="83">
        <v>0.04</v>
      </c>
      <c r="G31" s="81" t="s">
        <v>64</v>
      </c>
      <c r="H31" s="81" t="s">
        <v>59</v>
      </c>
      <c r="I31" s="81">
        <v>12</v>
      </c>
      <c r="J31" s="23" t="s">
        <v>38</v>
      </c>
      <c r="K31" s="23">
        <v>15</v>
      </c>
      <c r="L31" s="23">
        <v>13</v>
      </c>
      <c r="M31" s="23">
        <v>8</v>
      </c>
      <c r="N31" s="23">
        <v>17</v>
      </c>
      <c r="O31" s="32">
        <v>53</v>
      </c>
      <c r="P31" s="81">
        <v>3</v>
      </c>
      <c r="Q31" s="194">
        <f t="shared" ref="Q31" si="8">+P31*F31</f>
        <v>0.12</v>
      </c>
      <c r="R31" s="85">
        <f>+(5*F31)-Q31</f>
        <v>8.0000000000000016E-2</v>
      </c>
      <c r="S31" s="81" t="s">
        <v>145</v>
      </c>
      <c r="T31" s="81" t="s">
        <v>87</v>
      </c>
      <c r="U31" s="81" t="s">
        <v>88</v>
      </c>
      <c r="V31" s="81" t="s">
        <v>89</v>
      </c>
      <c r="W31" s="81" t="s">
        <v>90</v>
      </c>
    </row>
    <row r="32" spans="1:23" s="3" customFormat="1" ht="23.25" customHeight="1" x14ac:dyDescent="0.3">
      <c r="A32" s="220"/>
      <c r="B32" s="106"/>
      <c r="C32" s="116"/>
      <c r="D32" s="81"/>
      <c r="E32" s="81"/>
      <c r="F32" s="83"/>
      <c r="G32" s="81"/>
      <c r="H32" s="81"/>
      <c r="I32" s="81"/>
      <c r="J32" s="23" t="s">
        <v>43</v>
      </c>
      <c r="K32" s="23">
        <v>14</v>
      </c>
      <c r="L32" s="23">
        <v>14</v>
      </c>
      <c r="M32" s="23">
        <v>14</v>
      </c>
      <c r="N32" s="23">
        <v>14</v>
      </c>
      <c r="O32" s="23" t="s">
        <v>88</v>
      </c>
      <c r="P32" s="81"/>
      <c r="Q32" s="194"/>
      <c r="R32" s="85"/>
      <c r="S32" s="81"/>
      <c r="T32" s="81"/>
      <c r="U32" s="81"/>
      <c r="V32" s="81"/>
      <c r="W32" s="81"/>
    </row>
    <row r="33" spans="1:23" s="3" customFormat="1" ht="18" customHeight="1" x14ac:dyDescent="0.3">
      <c r="A33" s="220"/>
      <c r="B33" s="106"/>
      <c r="C33" s="116" t="s">
        <v>109</v>
      </c>
      <c r="D33" s="83" t="s">
        <v>110</v>
      </c>
      <c r="E33" s="81" t="s">
        <v>62</v>
      </c>
      <c r="F33" s="83" t="s">
        <v>62</v>
      </c>
      <c r="G33" s="81" t="s">
        <v>64</v>
      </c>
      <c r="H33" s="81" t="s">
        <v>50</v>
      </c>
      <c r="I33" s="81">
        <v>750</v>
      </c>
      <c r="J33" s="23" t="s">
        <v>38</v>
      </c>
      <c r="K33" s="169"/>
      <c r="L33" s="170"/>
      <c r="M33" s="170"/>
      <c r="N33" s="171"/>
      <c r="O33" s="23">
        <v>750</v>
      </c>
      <c r="P33" s="81" t="s">
        <v>62</v>
      </c>
      <c r="Q33" s="194"/>
      <c r="R33" s="85" t="e">
        <f>+(5*F33)-Q33</f>
        <v>#VALUE!</v>
      </c>
      <c r="S33" s="90" t="s">
        <v>62</v>
      </c>
      <c r="T33" s="90" t="s">
        <v>62</v>
      </c>
      <c r="U33" s="90" t="s">
        <v>62</v>
      </c>
      <c r="V33" s="90" t="s">
        <v>62</v>
      </c>
      <c r="W33" s="90" t="s">
        <v>62</v>
      </c>
    </row>
    <row r="34" spans="1:23" ht="18" customHeight="1" x14ac:dyDescent="0.3">
      <c r="A34" s="220"/>
      <c r="B34" s="106"/>
      <c r="C34" s="116"/>
      <c r="D34" s="81"/>
      <c r="E34" s="81"/>
      <c r="F34" s="83"/>
      <c r="G34" s="81"/>
      <c r="H34" s="81"/>
      <c r="I34" s="81"/>
      <c r="J34" s="23" t="s">
        <v>43</v>
      </c>
      <c r="K34" s="169"/>
      <c r="L34" s="170"/>
      <c r="M34" s="170"/>
      <c r="N34" s="171"/>
      <c r="O34" s="23"/>
      <c r="P34" s="81"/>
      <c r="Q34" s="194"/>
      <c r="R34" s="85"/>
      <c r="S34" s="90"/>
      <c r="T34" s="90"/>
      <c r="U34" s="90"/>
      <c r="V34" s="90"/>
      <c r="W34" s="90"/>
    </row>
    <row r="35" spans="1:23" s="3" customFormat="1" ht="18" customHeight="1" x14ac:dyDescent="0.3">
      <c r="A35" s="220"/>
      <c r="B35" s="106"/>
      <c r="C35" s="116" t="s">
        <v>111</v>
      </c>
      <c r="D35" s="83" t="s">
        <v>110</v>
      </c>
      <c r="E35" s="81" t="s">
        <v>62</v>
      </c>
      <c r="F35" s="83" t="s">
        <v>62</v>
      </c>
      <c r="G35" s="81" t="s">
        <v>64</v>
      </c>
      <c r="H35" s="81" t="s">
        <v>148</v>
      </c>
      <c r="I35" s="81">
        <v>6</v>
      </c>
      <c r="J35" s="23" t="s">
        <v>38</v>
      </c>
      <c r="K35" s="169"/>
      <c r="L35" s="170"/>
      <c r="M35" s="170"/>
      <c r="N35" s="171"/>
      <c r="O35" s="23">
        <v>4</v>
      </c>
      <c r="P35" s="81" t="s">
        <v>62</v>
      </c>
      <c r="Q35" s="194"/>
      <c r="R35" s="85" t="e">
        <f>+(5*F35)-Q35</f>
        <v>#VALUE!</v>
      </c>
      <c r="S35" s="90" t="s">
        <v>62</v>
      </c>
      <c r="T35" s="90" t="s">
        <v>62</v>
      </c>
      <c r="U35" s="90" t="s">
        <v>62</v>
      </c>
      <c r="V35" s="90" t="s">
        <v>62</v>
      </c>
      <c r="W35" s="90" t="s">
        <v>62</v>
      </c>
    </row>
    <row r="36" spans="1:23" s="3" customFormat="1" ht="23.25" customHeight="1" x14ac:dyDescent="0.3">
      <c r="A36" s="220"/>
      <c r="B36" s="106"/>
      <c r="C36" s="116"/>
      <c r="D36" s="81"/>
      <c r="E36" s="81"/>
      <c r="F36" s="83"/>
      <c r="G36" s="81"/>
      <c r="H36" s="81"/>
      <c r="I36" s="81"/>
      <c r="J36" s="23" t="s">
        <v>43</v>
      </c>
      <c r="K36" s="169"/>
      <c r="L36" s="170"/>
      <c r="M36" s="170"/>
      <c r="N36" s="171"/>
      <c r="O36" s="23"/>
      <c r="P36" s="81"/>
      <c r="Q36" s="194"/>
      <c r="R36" s="85"/>
      <c r="S36" s="90"/>
      <c r="T36" s="90"/>
      <c r="U36" s="90"/>
      <c r="V36" s="90"/>
      <c r="W36" s="90"/>
    </row>
    <row r="37" spans="1:23" s="3" customFormat="1" ht="18.600000000000001" customHeight="1" x14ac:dyDescent="0.3">
      <c r="A37" s="220"/>
      <c r="B37" s="106"/>
      <c r="C37" s="116" t="s">
        <v>112</v>
      </c>
      <c r="D37" s="83" t="s">
        <v>34</v>
      </c>
      <c r="E37" s="81" t="s">
        <v>35</v>
      </c>
      <c r="F37" s="83">
        <v>0.04</v>
      </c>
      <c r="G37" s="81" t="s">
        <v>64</v>
      </c>
      <c r="H37" s="81" t="s">
        <v>106</v>
      </c>
      <c r="I37" s="81">
        <v>1</v>
      </c>
      <c r="J37" s="23" t="s">
        <v>38</v>
      </c>
      <c r="K37" s="23" t="s">
        <v>62</v>
      </c>
      <c r="L37" s="23">
        <v>1</v>
      </c>
      <c r="M37" s="23" t="s">
        <v>62</v>
      </c>
      <c r="N37" s="23">
        <v>1</v>
      </c>
      <c r="O37" s="23">
        <v>2</v>
      </c>
      <c r="P37" s="81">
        <v>3</v>
      </c>
      <c r="Q37" s="194">
        <f t="shared" ref="Q37" si="9">+P37*F37</f>
        <v>0.12</v>
      </c>
      <c r="R37" s="85">
        <f>+(5*F37)-Q37</f>
        <v>8.0000000000000016E-2</v>
      </c>
      <c r="S37" s="90" t="s">
        <v>62</v>
      </c>
      <c r="T37" s="90" t="s">
        <v>113</v>
      </c>
      <c r="U37" s="90" t="s">
        <v>114</v>
      </c>
      <c r="V37" s="90" t="s">
        <v>115</v>
      </c>
      <c r="W37" s="90" t="s">
        <v>116</v>
      </c>
    </row>
    <row r="38" spans="1:23" s="3" customFormat="1" ht="18.600000000000001" customHeight="1" x14ac:dyDescent="0.3">
      <c r="A38" s="220"/>
      <c r="B38" s="106"/>
      <c r="C38" s="116"/>
      <c r="D38" s="81"/>
      <c r="E38" s="81"/>
      <c r="F38" s="83"/>
      <c r="G38" s="81"/>
      <c r="H38" s="81"/>
      <c r="I38" s="81"/>
      <c r="J38" s="23" t="s">
        <v>43</v>
      </c>
      <c r="K38" s="23" t="s">
        <v>62</v>
      </c>
      <c r="L38" s="23">
        <v>1</v>
      </c>
      <c r="M38" s="23">
        <v>1</v>
      </c>
      <c r="N38" s="23">
        <v>1</v>
      </c>
      <c r="O38" s="33" t="s">
        <v>114</v>
      </c>
      <c r="P38" s="81"/>
      <c r="Q38" s="194"/>
      <c r="R38" s="85"/>
      <c r="S38" s="90"/>
      <c r="T38" s="90"/>
      <c r="U38" s="90"/>
      <c r="V38" s="90"/>
      <c r="W38" s="90"/>
    </row>
    <row r="39" spans="1:23" s="3" customFormat="1" ht="18.600000000000001" customHeight="1" x14ac:dyDescent="0.3">
      <c r="A39" s="220"/>
      <c r="B39" s="106"/>
      <c r="C39" s="116" t="s">
        <v>117</v>
      </c>
      <c r="D39" s="83" t="s">
        <v>34</v>
      </c>
      <c r="E39" s="81" t="s">
        <v>35</v>
      </c>
      <c r="F39" s="83">
        <v>0.04</v>
      </c>
      <c r="G39" s="81" t="s">
        <v>64</v>
      </c>
      <c r="H39" s="81" t="s">
        <v>106</v>
      </c>
      <c r="I39" s="81"/>
      <c r="J39" s="23" t="s">
        <v>38</v>
      </c>
      <c r="K39" s="23" t="s">
        <v>62</v>
      </c>
      <c r="L39" s="23">
        <v>1</v>
      </c>
      <c r="M39" s="23" t="s">
        <v>62</v>
      </c>
      <c r="N39" s="23">
        <v>1</v>
      </c>
      <c r="O39" s="23">
        <v>0</v>
      </c>
      <c r="P39" s="81">
        <v>3</v>
      </c>
      <c r="Q39" s="194">
        <f t="shared" ref="Q39" si="10">+P39*F39</f>
        <v>0.12</v>
      </c>
      <c r="R39" s="85">
        <f>+(5*F39)-Q39</f>
        <v>8.0000000000000016E-2</v>
      </c>
      <c r="S39" s="90" t="s">
        <v>62</v>
      </c>
      <c r="T39" s="90" t="s">
        <v>113</v>
      </c>
      <c r="U39" s="90" t="s">
        <v>114</v>
      </c>
      <c r="V39" s="90" t="s">
        <v>115</v>
      </c>
      <c r="W39" s="90" t="s">
        <v>116</v>
      </c>
    </row>
    <row r="40" spans="1:23" s="3" customFormat="1" ht="26.25" customHeight="1" x14ac:dyDescent="0.3">
      <c r="A40" s="220"/>
      <c r="B40" s="106"/>
      <c r="C40" s="116"/>
      <c r="D40" s="81"/>
      <c r="E40" s="81"/>
      <c r="F40" s="83"/>
      <c r="G40" s="81"/>
      <c r="H40" s="81"/>
      <c r="I40" s="81"/>
      <c r="J40" s="23" t="s">
        <v>43</v>
      </c>
      <c r="K40" s="23" t="s">
        <v>62</v>
      </c>
      <c r="L40" s="23">
        <v>1</v>
      </c>
      <c r="M40" s="23" t="s">
        <v>62</v>
      </c>
      <c r="N40" s="23">
        <v>1</v>
      </c>
      <c r="O40" s="33" t="s">
        <v>114</v>
      </c>
      <c r="P40" s="81"/>
      <c r="Q40" s="194"/>
      <c r="R40" s="85"/>
      <c r="S40" s="90"/>
      <c r="T40" s="90"/>
      <c r="U40" s="90"/>
      <c r="V40" s="90"/>
      <c r="W40" s="90"/>
    </row>
    <row r="41" spans="1:23" s="3" customFormat="1" ht="18.600000000000001" customHeight="1" x14ac:dyDescent="0.3">
      <c r="A41" s="220"/>
      <c r="B41" s="106"/>
      <c r="C41" s="222" t="s">
        <v>175</v>
      </c>
      <c r="D41" s="83" t="s">
        <v>34</v>
      </c>
      <c r="E41" s="81" t="s">
        <v>35</v>
      </c>
      <c r="F41" s="83">
        <v>7.0000000000000007E-2</v>
      </c>
      <c r="G41" s="79" t="s">
        <v>176</v>
      </c>
      <c r="H41" s="81" t="s">
        <v>106</v>
      </c>
      <c r="I41" s="81">
        <v>16</v>
      </c>
      <c r="J41" s="23" t="s">
        <v>38</v>
      </c>
      <c r="K41" s="223">
        <v>21</v>
      </c>
      <c r="L41" s="224"/>
      <c r="M41" s="223">
        <v>16</v>
      </c>
      <c r="N41" s="224"/>
      <c r="O41" s="18">
        <v>37</v>
      </c>
      <c r="P41" s="81">
        <v>5</v>
      </c>
      <c r="Q41" s="194">
        <f t="shared" ref="Q41" si="11">+P41*F41</f>
        <v>0.35000000000000003</v>
      </c>
      <c r="R41" s="85">
        <f>+(5*F41)-Q41</f>
        <v>0</v>
      </c>
      <c r="S41" s="90" t="s">
        <v>212</v>
      </c>
      <c r="T41" s="90" t="s">
        <v>213</v>
      </c>
      <c r="U41" s="90" t="s">
        <v>183</v>
      </c>
      <c r="V41" s="90" t="s">
        <v>214</v>
      </c>
      <c r="W41" s="90" t="s">
        <v>215</v>
      </c>
    </row>
    <row r="42" spans="1:23" s="3" customFormat="1" ht="26.25" customHeight="1" x14ac:dyDescent="0.3">
      <c r="A42" s="220"/>
      <c r="B42" s="106"/>
      <c r="C42" s="115"/>
      <c r="D42" s="81"/>
      <c r="E42" s="81"/>
      <c r="F42" s="81"/>
      <c r="G42" s="80"/>
      <c r="H42" s="81"/>
      <c r="I42" s="81"/>
      <c r="J42" s="23" t="s">
        <v>43</v>
      </c>
      <c r="K42" s="223">
        <v>12</v>
      </c>
      <c r="L42" s="224"/>
      <c r="M42" s="223">
        <v>12</v>
      </c>
      <c r="N42" s="224"/>
      <c r="O42" s="18" t="s">
        <v>183</v>
      </c>
      <c r="P42" s="81"/>
      <c r="Q42" s="194"/>
      <c r="R42" s="85"/>
      <c r="S42" s="90"/>
      <c r="T42" s="90"/>
      <c r="U42" s="90"/>
      <c r="V42" s="90"/>
      <c r="W42" s="90"/>
    </row>
    <row r="43" spans="1:23" s="3" customFormat="1" ht="18.600000000000001" customHeight="1" x14ac:dyDescent="0.3">
      <c r="A43" s="220"/>
      <c r="B43" s="106"/>
      <c r="C43" s="120" t="s">
        <v>184</v>
      </c>
      <c r="D43" s="83" t="s">
        <v>34</v>
      </c>
      <c r="E43" s="81" t="s">
        <v>35</v>
      </c>
      <c r="F43" s="83">
        <v>0.06</v>
      </c>
      <c r="G43" s="206" t="s">
        <v>185</v>
      </c>
      <c r="H43" s="81" t="s">
        <v>59</v>
      </c>
      <c r="I43" s="81">
        <v>111</v>
      </c>
      <c r="J43" s="23" t="s">
        <v>38</v>
      </c>
      <c r="K43" s="53">
        <v>284</v>
      </c>
      <c r="L43" s="53">
        <v>227</v>
      </c>
      <c r="M43" s="53">
        <v>158</v>
      </c>
      <c r="N43" s="53">
        <v>112</v>
      </c>
      <c r="O43" s="19">
        <v>781</v>
      </c>
      <c r="P43" s="81">
        <v>5</v>
      </c>
      <c r="Q43" s="194">
        <f t="shared" ref="Q43" si="12">+P43*F43</f>
        <v>0.3</v>
      </c>
      <c r="R43" s="85">
        <f>+(5*F43)-Q43</f>
        <v>0</v>
      </c>
      <c r="S43" s="90" t="s">
        <v>216</v>
      </c>
      <c r="T43" s="90" t="s">
        <v>217</v>
      </c>
      <c r="U43" s="90" t="s">
        <v>191</v>
      </c>
      <c r="V43" s="90" t="s">
        <v>218</v>
      </c>
      <c r="W43" s="90" t="s">
        <v>219</v>
      </c>
    </row>
    <row r="44" spans="1:23" s="3" customFormat="1" ht="26.25" customHeight="1" x14ac:dyDescent="0.3">
      <c r="A44" s="220"/>
      <c r="B44" s="106"/>
      <c r="C44" s="121"/>
      <c r="D44" s="81"/>
      <c r="E44" s="81"/>
      <c r="F44" s="81"/>
      <c r="G44" s="207"/>
      <c r="H44" s="81"/>
      <c r="I44" s="81"/>
      <c r="J44" s="23" t="s">
        <v>43</v>
      </c>
      <c r="K44" s="54">
        <v>108</v>
      </c>
      <c r="L44" s="54">
        <v>108</v>
      </c>
      <c r="M44" s="54">
        <v>108</v>
      </c>
      <c r="N44" s="54">
        <v>108</v>
      </c>
      <c r="O44" s="19" t="s">
        <v>191</v>
      </c>
      <c r="P44" s="81"/>
      <c r="Q44" s="194"/>
      <c r="R44" s="85"/>
      <c r="S44" s="90"/>
      <c r="T44" s="90"/>
      <c r="U44" s="90"/>
      <c r="V44" s="90"/>
      <c r="W44" s="90"/>
    </row>
    <row r="45" spans="1:23" s="3" customFormat="1" ht="18.600000000000001" customHeight="1" x14ac:dyDescent="0.3">
      <c r="A45" s="220"/>
      <c r="B45" s="106"/>
      <c r="C45" s="120" t="s">
        <v>220</v>
      </c>
      <c r="D45" s="83" t="s">
        <v>34</v>
      </c>
      <c r="E45" s="81" t="s">
        <v>35</v>
      </c>
      <c r="F45" s="83">
        <v>0.04</v>
      </c>
      <c r="G45" s="206" t="s">
        <v>64</v>
      </c>
      <c r="H45" s="81" t="s">
        <v>59</v>
      </c>
      <c r="I45" s="81"/>
      <c r="J45" s="23" t="s">
        <v>38</v>
      </c>
      <c r="K45" s="53">
        <v>0</v>
      </c>
      <c r="L45" s="53">
        <v>0</v>
      </c>
      <c r="M45" s="53">
        <v>0</v>
      </c>
      <c r="N45" s="53">
        <v>1</v>
      </c>
      <c r="O45" s="57">
        <v>1</v>
      </c>
      <c r="P45" s="81">
        <v>2</v>
      </c>
      <c r="Q45" s="194">
        <f t="shared" ref="Q45" si="13">+P45*F45</f>
        <v>0.08</v>
      </c>
      <c r="R45" s="85"/>
      <c r="S45" s="90" t="s">
        <v>62</v>
      </c>
      <c r="T45" s="90" t="s">
        <v>113</v>
      </c>
      <c r="U45" s="90" t="s">
        <v>114</v>
      </c>
      <c r="V45" s="90" t="s">
        <v>115</v>
      </c>
      <c r="W45" s="90" t="s">
        <v>116</v>
      </c>
    </row>
    <row r="46" spans="1:23" s="3" customFormat="1" ht="26.25" customHeight="1" x14ac:dyDescent="0.3">
      <c r="A46" s="220"/>
      <c r="B46" s="106"/>
      <c r="C46" s="121"/>
      <c r="D46" s="81"/>
      <c r="E46" s="81"/>
      <c r="F46" s="81"/>
      <c r="G46" s="207"/>
      <c r="H46" s="81"/>
      <c r="I46" s="81"/>
      <c r="J46" s="23" t="s">
        <v>43</v>
      </c>
      <c r="K46" s="54">
        <v>2</v>
      </c>
      <c r="L46" s="54">
        <v>1</v>
      </c>
      <c r="M46" s="54">
        <v>2</v>
      </c>
      <c r="N46" s="54">
        <v>1</v>
      </c>
      <c r="O46" s="57" t="s">
        <v>115</v>
      </c>
      <c r="P46" s="81"/>
      <c r="Q46" s="194"/>
      <c r="R46" s="85"/>
      <c r="S46" s="90"/>
      <c r="T46" s="90"/>
      <c r="U46" s="90"/>
      <c r="V46" s="90"/>
      <c r="W46" s="90"/>
    </row>
    <row r="47" spans="1:23" s="3" customFormat="1" ht="18" customHeight="1" x14ac:dyDescent="0.3">
      <c r="A47" s="78"/>
      <c r="B47" s="221" t="s">
        <v>221</v>
      </c>
      <c r="C47" s="134" t="s">
        <v>105</v>
      </c>
      <c r="D47" s="83" t="s">
        <v>34</v>
      </c>
      <c r="E47" s="81" t="s">
        <v>57</v>
      </c>
      <c r="F47" s="83">
        <v>0.1</v>
      </c>
      <c r="G47" s="81" t="s">
        <v>58</v>
      </c>
      <c r="H47" s="81" t="s">
        <v>106</v>
      </c>
      <c r="I47" s="81"/>
      <c r="J47" s="23" t="s">
        <v>38</v>
      </c>
      <c r="K47" s="29"/>
      <c r="L47" s="25">
        <v>0.96</v>
      </c>
      <c r="M47" s="25"/>
      <c r="N47" s="25">
        <v>0.97</v>
      </c>
      <c r="O47" s="25">
        <v>0.96</v>
      </c>
      <c r="P47" s="81">
        <v>3</v>
      </c>
      <c r="Q47" s="194">
        <f t="shared" ref="Q47" si="14">+P47*F47</f>
        <v>0.30000000000000004</v>
      </c>
      <c r="R47" s="85">
        <f>+(5*F47)-Q47</f>
        <v>0.19999999999999996</v>
      </c>
      <c r="S47" s="83" t="s">
        <v>135</v>
      </c>
      <c r="T47" s="132" t="s">
        <v>60</v>
      </c>
      <c r="U47" s="132" t="s">
        <v>61</v>
      </c>
      <c r="V47" s="132" t="s">
        <v>62</v>
      </c>
      <c r="W47" s="172" t="s">
        <v>62</v>
      </c>
    </row>
    <row r="48" spans="1:23" s="3" customFormat="1" ht="18" customHeight="1" x14ac:dyDescent="0.3">
      <c r="A48" s="78"/>
      <c r="B48" s="179"/>
      <c r="C48" s="134"/>
      <c r="D48" s="81"/>
      <c r="E48" s="81"/>
      <c r="F48" s="83"/>
      <c r="G48" s="81"/>
      <c r="H48" s="81"/>
      <c r="I48" s="81"/>
      <c r="J48" s="23" t="s">
        <v>43</v>
      </c>
      <c r="K48" s="29"/>
      <c r="L48" s="35" t="s">
        <v>61</v>
      </c>
      <c r="M48" s="29"/>
      <c r="N48" s="35" t="s">
        <v>61</v>
      </c>
      <c r="O48" s="29" t="s">
        <v>61</v>
      </c>
      <c r="P48" s="81"/>
      <c r="Q48" s="194"/>
      <c r="R48" s="85"/>
      <c r="S48" s="83"/>
      <c r="T48" s="132"/>
      <c r="U48" s="132"/>
      <c r="V48" s="132"/>
      <c r="W48" s="132"/>
    </row>
    <row r="49" spans="1:23" s="3" customFormat="1" ht="18" customHeight="1" x14ac:dyDescent="0.3">
      <c r="A49" s="78"/>
      <c r="B49" s="128" t="s">
        <v>222</v>
      </c>
      <c r="C49" s="82" t="s">
        <v>119</v>
      </c>
      <c r="D49" s="83" t="s">
        <v>34</v>
      </c>
      <c r="E49" s="81" t="s">
        <v>35</v>
      </c>
      <c r="F49" s="83">
        <v>0.05</v>
      </c>
      <c r="G49" s="81" t="s">
        <v>58</v>
      </c>
      <c r="H49" s="81" t="s">
        <v>50</v>
      </c>
      <c r="I49" s="81"/>
      <c r="J49" s="23" t="s">
        <v>38</v>
      </c>
      <c r="K49" s="29"/>
      <c r="L49" s="23"/>
      <c r="M49" s="23"/>
      <c r="N49" s="23"/>
      <c r="O49" s="25">
        <v>0.89</v>
      </c>
      <c r="P49" s="81">
        <v>5</v>
      </c>
      <c r="Q49" s="194">
        <f t="shared" ref="Q49" si="15">+P49*F49</f>
        <v>0.25</v>
      </c>
      <c r="R49" s="85"/>
      <c r="S49" s="90" t="s">
        <v>120</v>
      </c>
      <c r="T49" s="90" t="s">
        <v>121</v>
      </c>
      <c r="U49" s="90" t="s">
        <v>71</v>
      </c>
      <c r="V49" s="90" t="s">
        <v>72</v>
      </c>
      <c r="W49" s="90" t="s">
        <v>122</v>
      </c>
    </row>
    <row r="50" spans="1:23" s="3" customFormat="1" ht="18" customHeight="1" x14ac:dyDescent="0.3">
      <c r="A50" s="127"/>
      <c r="B50" s="128"/>
      <c r="C50" s="82"/>
      <c r="D50" s="81"/>
      <c r="E50" s="81"/>
      <c r="F50" s="83"/>
      <c r="G50" s="81"/>
      <c r="H50" s="81"/>
      <c r="I50" s="81"/>
      <c r="J50" s="23" t="s">
        <v>43</v>
      </c>
      <c r="K50" s="29"/>
      <c r="L50" s="29"/>
      <c r="M50" s="29"/>
      <c r="N50" s="29"/>
      <c r="O50" s="29" t="s">
        <v>71</v>
      </c>
      <c r="P50" s="81"/>
      <c r="Q50" s="194"/>
      <c r="R50" s="85"/>
      <c r="S50" s="90"/>
      <c r="T50" s="90"/>
      <c r="U50" s="90"/>
      <c r="V50" s="90"/>
      <c r="W50" s="90"/>
    </row>
    <row r="51" spans="1:23" ht="27.6" customHeight="1" x14ac:dyDescent="0.3">
      <c r="A51" s="12"/>
      <c r="B51" s="13"/>
      <c r="C51" s="13"/>
      <c r="D51" s="13"/>
      <c r="E51" s="13"/>
      <c r="F51" s="16">
        <f>SUM(F7:F50)</f>
        <v>1.0000000000000002</v>
      </c>
      <c r="G51" s="13"/>
      <c r="H51" s="13"/>
      <c r="I51" s="13"/>
      <c r="J51" s="13"/>
      <c r="K51" s="13"/>
      <c r="L51" s="13"/>
      <c r="M51" s="13"/>
      <c r="N51" s="13"/>
      <c r="O51" s="11" t="s">
        <v>123</v>
      </c>
      <c r="P51" s="87">
        <f>SUM(Q7:Q50)</f>
        <v>3.7300000000000004</v>
      </c>
      <c r="Q51" s="87"/>
    </row>
    <row r="54" spans="1:23" ht="27.6" x14ac:dyDescent="0.3">
      <c r="C54" s="24" t="s">
        <v>124</v>
      </c>
      <c r="D54" s="1" t="s">
        <v>125</v>
      </c>
    </row>
    <row r="55" spans="1:23" ht="27.6" x14ac:dyDescent="0.3">
      <c r="C55" s="24" t="s">
        <v>126</v>
      </c>
      <c r="D55" s="15" t="s">
        <v>127</v>
      </c>
    </row>
    <row r="61" spans="1:23" x14ac:dyDescent="0.3">
      <c r="C61" s="82" t="s">
        <v>128</v>
      </c>
      <c r="M61" s="2">
        <v>1</v>
      </c>
    </row>
    <row r="62" spans="1:23" x14ac:dyDescent="0.3">
      <c r="C62" s="82"/>
    </row>
    <row r="68" spans="3:23" x14ac:dyDescent="0.3">
      <c r="P68" s="2">
        <f>100*16/42</f>
        <v>38.095238095238095</v>
      </c>
    </row>
    <row r="72" spans="3:23" x14ac:dyDescent="0.3">
      <c r="C72" s="195" t="s">
        <v>149</v>
      </c>
      <c r="D72" s="156" t="s">
        <v>34</v>
      </c>
      <c r="E72" s="149" t="s">
        <v>57</v>
      </c>
      <c r="F72" s="156">
        <v>0.14000000000000001</v>
      </c>
      <c r="G72" s="149" t="s">
        <v>64</v>
      </c>
      <c r="H72" s="149" t="s">
        <v>59</v>
      </c>
      <c r="I72" s="149">
        <v>39</v>
      </c>
      <c r="J72" s="41" t="s">
        <v>38</v>
      </c>
      <c r="K72" s="44">
        <v>12</v>
      </c>
      <c r="L72" s="44">
        <v>10</v>
      </c>
      <c r="M72" s="44">
        <v>3</v>
      </c>
      <c r="N72" s="45"/>
      <c r="O72" s="46">
        <f>SUM(K72:N72)</f>
        <v>25</v>
      </c>
      <c r="P72" s="149">
        <v>4</v>
      </c>
      <c r="Q72" s="150">
        <f>+P72*F72</f>
        <v>0.56000000000000005</v>
      </c>
      <c r="R72" s="198" t="s">
        <v>150</v>
      </c>
      <c r="S72" s="199">
        <v>-19</v>
      </c>
      <c r="T72" s="200" t="s">
        <v>151</v>
      </c>
      <c r="U72" s="199" t="s">
        <v>67</v>
      </c>
      <c r="V72" s="200" t="s">
        <v>68</v>
      </c>
      <c r="W72" s="200" t="s">
        <v>69</v>
      </c>
    </row>
    <row r="73" spans="3:23" x14ac:dyDescent="0.3">
      <c r="C73" s="196"/>
      <c r="D73" s="149"/>
      <c r="E73" s="149"/>
      <c r="F73" s="149"/>
      <c r="G73" s="149"/>
      <c r="H73" s="149"/>
      <c r="I73" s="149"/>
      <c r="J73" s="41" t="s">
        <v>43</v>
      </c>
      <c r="K73" s="44">
        <v>8</v>
      </c>
      <c r="L73" s="44">
        <v>8</v>
      </c>
      <c r="M73" s="44">
        <v>8</v>
      </c>
      <c r="N73" s="45">
        <v>8</v>
      </c>
      <c r="O73" s="46" t="s">
        <v>152</v>
      </c>
      <c r="P73" s="149"/>
      <c r="Q73" s="150"/>
      <c r="R73" s="198"/>
      <c r="S73" s="199"/>
      <c r="T73" s="200"/>
      <c r="U73" s="199"/>
      <c r="V73" s="200"/>
      <c r="W73" s="200"/>
    </row>
    <row r="74" spans="3:23" x14ac:dyDescent="0.3">
      <c r="C74" s="196"/>
      <c r="D74" s="156" t="s">
        <v>34</v>
      </c>
      <c r="E74" s="149" t="s">
        <v>57</v>
      </c>
      <c r="F74" s="156">
        <v>0.11</v>
      </c>
      <c r="G74" s="149" t="s">
        <v>64</v>
      </c>
      <c r="H74" s="149" t="s">
        <v>59</v>
      </c>
      <c r="I74" s="160">
        <v>17</v>
      </c>
      <c r="J74" s="41" t="s">
        <v>38</v>
      </c>
      <c r="K74" s="47">
        <v>4</v>
      </c>
      <c r="L74" s="44">
        <v>3</v>
      </c>
      <c r="M74" s="44">
        <v>4</v>
      </c>
      <c r="N74" s="45"/>
      <c r="O74" s="46">
        <f>SUM(K74:N74)</f>
        <v>11</v>
      </c>
      <c r="P74" s="149">
        <v>5</v>
      </c>
      <c r="Q74" s="150">
        <f>+P74*F74</f>
        <v>0.55000000000000004</v>
      </c>
      <c r="R74" s="201" t="s">
        <v>150</v>
      </c>
      <c r="S74" s="199">
        <v>-10</v>
      </c>
      <c r="T74" s="202" t="s">
        <v>223</v>
      </c>
      <c r="U74" s="203" t="s">
        <v>224</v>
      </c>
      <c r="V74" s="202" t="s">
        <v>225</v>
      </c>
      <c r="W74" s="200" t="s">
        <v>226</v>
      </c>
    </row>
    <row r="75" spans="3:23" x14ac:dyDescent="0.3">
      <c r="C75" s="197"/>
      <c r="D75" s="149"/>
      <c r="E75" s="149"/>
      <c r="F75" s="149"/>
      <c r="G75" s="149"/>
      <c r="H75" s="149"/>
      <c r="I75" s="161"/>
      <c r="J75" s="41" t="s">
        <v>43</v>
      </c>
      <c r="K75" s="44">
        <v>2</v>
      </c>
      <c r="L75" s="44">
        <v>2</v>
      </c>
      <c r="M75" s="44">
        <v>2</v>
      </c>
      <c r="N75" s="45">
        <v>2</v>
      </c>
      <c r="O75" s="42" t="s">
        <v>224</v>
      </c>
      <c r="P75" s="149"/>
      <c r="Q75" s="150"/>
      <c r="R75" s="201"/>
      <c r="S75" s="199"/>
      <c r="T75" s="200"/>
      <c r="U75" s="199"/>
      <c r="V75" s="200"/>
      <c r="W75" s="200"/>
    </row>
    <row r="76" spans="3:23" x14ac:dyDescent="0.3">
      <c r="C76" s="165" t="s">
        <v>227</v>
      </c>
      <c r="D76" s="156" t="s">
        <v>34</v>
      </c>
      <c r="E76" s="149" t="s">
        <v>57</v>
      </c>
      <c r="F76" s="156">
        <v>0.14000000000000001</v>
      </c>
      <c r="G76" s="149" t="s">
        <v>154</v>
      </c>
      <c r="H76" s="149" t="s">
        <v>59</v>
      </c>
      <c r="I76" s="149">
        <v>396</v>
      </c>
      <c r="J76" s="41" t="s">
        <v>38</v>
      </c>
      <c r="K76" s="44">
        <v>101</v>
      </c>
      <c r="L76" s="44">
        <v>56</v>
      </c>
      <c r="M76" s="44">
        <v>143</v>
      </c>
      <c r="N76" s="45"/>
      <c r="O76" s="48">
        <f>SUM(K76:N76)</f>
        <v>300</v>
      </c>
      <c r="P76" s="149">
        <v>5</v>
      </c>
      <c r="Q76" s="150">
        <f>+P76*F76</f>
        <v>0.70000000000000007</v>
      </c>
      <c r="R76" s="198" t="s">
        <v>150</v>
      </c>
      <c r="S76" s="199">
        <v>-99</v>
      </c>
      <c r="T76" s="200" t="s">
        <v>155</v>
      </c>
      <c r="U76" s="200" t="s">
        <v>156</v>
      </c>
      <c r="V76" s="200" t="s">
        <v>157</v>
      </c>
      <c r="W76" s="200" t="s">
        <v>158</v>
      </c>
    </row>
    <row r="77" spans="3:23" ht="23.25" customHeight="1" x14ac:dyDescent="0.3">
      <c r="C77" s="165"/>
      <c r="D77" s="149"/>
      <c r="E77" s="149"/>
      <c r="F77" s="149"/>
      <c r="G77" s="149"/>
      <c r="H77" s="149"/>
      <c r="I77" s="149"/>
      <c r="J77" s="41" t="s">
        <v>43</v>
      </c>
      <c r="K77" s="44">
        <v>40</v>
      </c>
      <c r="L77" s="44">
        <v>40</v>
      </c>
      <c r="M77" s="44">
        <v>40</v>
      </c>
      <c r="N77" s="45">
        <v>40</v>
      </c>
      <c r="O77" s="46" t="s">
        <v>156</v>
      </c>
      <c r="P77" s="149"/>
      <c r="Q77" s="150"/>
      <c r="R77" s="198"/>
      <c r="S77" s="199"/>
      <c r="T77" s="200"/>
      <c r="U77" s="200"/>
      <c r="V77" s="200"/>
      <c r="W77" s="200"/>
    </row>
    <row r="78" spans="3:23" ht="24" customHeight="1" x14ac:dyDescent="0.3">
      <c r="C78" s="165" t="s">
        <v>228</v>
      </c>
      <c r="D78" s="156" t="s">
        <v>34</v>
      </c>
      <c r="E78" s="149" t="s">
        <v>57</v>
      </c>
      <c r="F78" s="156">
        <v>0.1</v>
      </c>
      <c r="G78" s="149" t="s">
        <v>154</v>
      </c>
      <c r="H78" s="149" t="s">
        <v>59</v>
      </c>
      <c r="I78" s="160">
        <v>262</v>
      </c>
      <c r="J78" s="41" t="s">
        <v>38</v>
      </c>
      <c r="K78" s="44">
        <v>47</v>
      </c>
      <c r="L78" s="44">
        <v>50</v>
      </c>
      <c r="M78" s="44">
        <v>42</v>
      </c>
      <c r="N78" s="45"/>
      <c r="O78" s="46">
        <f>SUM(K78:N78)</f>
        <v>139</v>
      </c>
      <c r="P78" s="149">
        <v>5</v>
      </c>
      <c r="Q78" s="150">
        <f>+P78*F78</f>
        <v>0.5</v>
      </c>
      <c r="R78" s="201" t="s">
        <v>150</v>
      </c>
      <c r="S78" s="199">
        <v>-29</v>
      </c>
      <c r="T78" s="200" t="s">
        <v>160</v>
      </c>
      <c r="U78" s="200" t="s">
        <v>161</v>
      </c>
      <c r="V78" s="200" t="s">
        <v>162</v>
      </c>
      <c r="W78" s="200" t="s">
        <v>163</v>
      </c>
    </row>
    <row r="79" spans="3:23" ht="21.75" customHeight="1" x14ac:dyDescent="0.3">
      <c r="C79" s="165"/>
      <c r="D79" s="149"/>
      <c r="E79" s="149"/>
      <c r="F79" s="149"/>
      <c r="G79" s="149"/>
      <c r="H79" s="149"/>
      <c r="I79" s="161"/>
      <c r="J79" s="41" t="s">
        <v>43</v>
      </c>
      <c r="K79" s="44">
        <v>30</v>
      </c>
      <c r="L79" s="44">
        <v>30</v>
      </c>
      <c r="M79" s="44">
        <v>30</v>
      </c>
      <c r="N79" s="45">
        <v>30</v>
      </c>
      <c r="O79" s="46" t="s">
        <v>161</v>
      </c>
      <c r="P79" s="149"/>
      <c r="Q79" s="150"/>
      <c r="R79" s="201"/>
      <c r="S79" s="199"/>
      <c r="T79" s="200"/>
      <c r="U79" s="200"/>
      <c r="V79" s="200"/>
      <c r="W79" s="200"/>
    </row>
    <row r="80" spans="3:23" ht="18" customHeight="1" x14ac:dyDescent="0.3">
      <c r="C80" s="165" t="s">
        <v>164</v>
      </c>
      <c r="D80" s="156" t="s">
        <v>34</v>
      </c>
      <c r="E80" s="149" t="s">
        <v>57</v>
      </c>
      <c r="F80" s="156">
        <v>0.14000000000000001</v>
      </c>
      <c r="G80" s="149" t="s">
        <v>165</v>
      </c>
      <c r="H80" s="149" t="s">
        <v>59</v>
      </c>
      <c r="I80" s="149"/>
      <c r="J80" s="41" t="s">
        <v>38</v>
      </c>
      <c r="K80" s="44">
        <v>99</v>
      </c>
      <c r="L80" s="44">
        <v>64.5</v>
      </c>
      <c r="M80" s="44">
        <v>35</v>
      </c>
      <c r="N80" s="45"/>
      <c r="O80" s="46">
        <f>SUM(K80:N80)</f>
        <v>198.5</v>
      </c>
      <c r="P80" s="149">
        <v>2</v>
      </c>
      <c r="Q80" s="150">
        <f>+P80*F80</f>
        <v>0.28000000000000003</v>
      </c>
      <c r="R80" s="198" t="s">
        <v>150</v>
      </c>
      <c r="S80" s="199">
        <v>-249</v>
      </c>
      <c r="T80" s="204" t="s">
        <v>166</v>
      </c>
      <c r="U80" s="204" t="s">
        <v>167</v>
      </c>
      <c r="V80" s="204" t="s">
        <v>168</v>
      </c>
      <c r="W80" s="204" t="s">
        <v>169</v>
      </c>
    </row>
    <row r="81" spans="3:23" ht="26.25" customHeight="1" x14ac:dyDescent="0.3">
      <c r="C81" s="165"/>
      <c r="D81" s="149"/>
      <c r="E81" s="149"/>
      <c r="F81" s="149"/>
      <c r="G81" s="149"/>
      <c r="H81" s="149"/>
      <c r="I81" s="149"/>
      <c r="J81" s="41" t="s">
        <v>43</v>
      </c>
      <c r="K81" s="44">
        <v>120</v>
      </c>
      <c r="L81" s="44">
        <v>120</v>
      </c>
      <c r="M81" s="44">
        <v>120</v>
      </c>
      <c r="N81" s="45">
        <v>120</v>
      </c>
      <c r="O81" s="46" t="s">
        <v>167</v>
      </c>
      <c r="P81" s="149"/>
      <c r="Q81" s="150"/>
      <c r="R81" s="198"/>
      <c r="S81" s="199"/>
      <c r="T81" s="204"/>
      <c r="U81" s="204"/>
      <c r="V81" s="204"/>
      <c r="W81" s="204"/>
    </row>
    <row r="82" spans="3:23" ht="24" customHeight="1" x14ac:dyDescent="0.3">
      <c r="C82" s="165" t="s">
        <v>170</v>
      </c>
      <c r="D82" s="156" t="s">
        <v>34</v>
      </c>
      <c r="E82" s="149" t="s">
        <v>57</v>
      </c>
      <c r="F82" s="156">
        <v>0.11</v>
      </c>
      <c r="G82" s="149" t="s">
        <v>165</v>
      </c>
      <c r="H82" s="149" t="s">
        <v>59</v>
      </c>
      <c r="I82" s="149"/>
      <c r="J82" s="41" t="s">
        <v>38</v>
      </c>
      <c r="K82" s="44">
        <v>6</v>
      </c>
      <c r="L82" s="44">
        <v>3</v>
      </c>
      <c r="M82" s="44">
        <v>16</v>
      </c>
      <c r="N82" s="45"/>
      <c r="O82" s="46">
        <f>SUM(K82:N82)</f>
        <v>25</v>
      </c>
      <c r="P82" s="149">
        <v>2</v>
      </c>
      <c r="Q82" s="150">
        <f>+P82*F82</f>
        <v>0.22</v>
      </c>
      <c r="R82" s="201" t="s">
        <v>150</v>
      </c>
      <c r="S82" s="199">
        <v>-39</v>
      </c>
      <c r="T82" s="204" t="s">
        <v>171</v>
      </c>
      <c r="U82" s="204" t="s">
        <v>172</v>
      </c>
      <c r="V82" s="204" t="s">
        <v>173</v>
      </c>
      <c r="W82" s="204" t="s">
        <v>174</v>
      </c>
    </row>
    <row r="83" spans="3:23" x14ac:dyDescent="0.3">
      <c r="C83" s="165"/>
      <c r="D83" s="149"/>
      <c r="E83" s="149"/>
      <c r="F83" s="149"/>
      <c r="G83" s="149"/>
      <c r="H83" s="149"/>
      <c r="I83" s="149"/>
      <c r="J83" s="41" t="s">
        <v>43</v>
      </c>
      <c r="K83" s="44">
        <v>24</v>
      </c>
      <c r="L83" s="44">
        <v>24</v>
      </c>
      <c r="M83" s="44">
        <v>24</v>
      </c>
      <c r="N83" s="45">
        <v>24</v>
      </c>
      <c r="O83" s="46" t="s">
        <v>172</v>
      </c>
      <c r="P83" s="149"/>
      <c r="Q83" s="150"/>
      <c r="R83" s="201"/>
      <c r="S83" s="199"/>
      <c r="T83" s="204"/>
      <c r="U83" s="204"/>
      <c r="V83" s="204"/>
      <c r="W83" s="204"/>
    </row>
  </sheetData>
  <mergeCells count="465">
    <mergeCell ref="U43:U44"/>
    <mergeCell ref="V43:V44"/>
    <mergeCell ref="W43:W44"/>
    <mergeCell ref="M42:N42"/>
    <mergeCell ref="C43:C44"/>
    <mergeCell ref="D43:D44"/>
    <mergeCell ref="E43:E44"/>
    <mergeCell ref="F43:F44"/>
    <mergeCell ref="G43:G44"/>
    <mergeCell ref="H43:H44"/>
    <mergeCell ref="I43:I44"/>
    <mergeCell ref="P43:P44"/>
    <mergeCell ref="K42:L42"/>
    <mergeCell ref="U31:U32"/>
    <mergeCell ref="V31:V32"/>
    <mergeCell ref="W31:W32"/>
    <mergeCell ref="B29:B46"/>
    <mergeCell ref="C41:C42"/>
    <mergeCell ref="D41:D42"/>
    <mergeCell ref="E41:E42"/>
    <mergeCell ref="F41:F42"/>
    <mergeCell ref="G41:G42"/>
    <mergeCell ref="H41:H42"/>
    <mergeCell ref="I41:I42"/>
    <mergeCell ref="K41:L41"/>
    <mergeCell ref="M41:N41"/>
    <mergeCell ref="P41:P42"/>
    <mergeCell ref="Q41:Q42"/>
    <mergeCell ref="R41:R42"/>
    <mergeCell ref="S41:S42"/>
    <mergeCell ref="T41:T42"/>
    <mergeCell ref="U41:U42"/>
    <mergeCell ref="C31:C32"/>
    <mergeCell ref="Q43:Q44"/>
    <mergeCell ref="R43:R44"/>
    <mergeCell ref="S43:S44"/>
    <mergeCell ref="T43:T44"/>
    <mergeCell ref="W29:W30"/>
    <mergeCell ref="W39:W40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Q48"/>
    <mergeCell ref="R47:R48"/>
    <mergeCell ref="S47:S48"/>
    <mergeCell ref="T47:T48"/>
    <mergeCell ref="U47:U48"/>
    <mergeCell ref="V47:V48"/>
    <mergeCell ref="W47:W48"/>
    <mergeCell ref="V41:V42"/>
    <mergeCell ref="W41:W42"/>
    <mergeCell ref="D31:D32"/>
    <mergeCell ref="E31:E32"/>
    <mergeCell ref="F31:F32"/>
    <mergeCell ref="G31:G32"/>
    <mergeCell ref="W23:W24"/>
    <mergeCell ref="K24:N24"/>
    <mergeCell ref="B19:B24"/>
    <mergeCell ref="A19:A50"/>
    <mergeCell ref="B25:B28"/>
    <mergeCell ref="C39:C40"/>
    <mergeCell ref="D39:D40"/>
    <mergeCell ref="E39:E40"/>
    <mergeCell ref="F39:F40"/>
    <mergeCell ref="G39:G40"/>
    <mergeCell ref="H39:H40"/>
    <mergeCell ref="I39:I40"/>
    <mergeCell ref="P39:P40"/>
    <mergeCell ref="Q39:Q40"/>
    <mergeCell ref="R39:R40"/>
    <mergeCell ref="S39:S40"/>
    <mergeCell ref="T39:T40"/>
    <mergeCell ref="U39:U40"/>
    <mergeCell ref="V39:V40"/>
    <mergeCell ref="C23:C24"/>
    <mergeCell ref="S29:S30"/>
    <mergeCell ref="T29:T30"/>
    <mergeCell ref="U29:U30"/>
    <mergeCell ref="V29:V30"/>
    <mergeCell ref="D7:D8"/>
    <mergeCell ref="E7:E8"/>
    <mergeCell ref="F7:F8"/>
    <mergeCell ref="I17:I18"/>
    <mergeCell ref="P17:P18"/>
    <mergeCell ref="A7:A18"/>
    <mergeCell ref="B15:B18"/>
    <mergeCell ref="T23:T24"/>
    <mergeCell ref="U23:U24"/>
    <mergeCell ref="T9:T10"/>
    <mergeCell ref="U9:U10"/>
    <mergeCell ref="C17:C18"/>
    <mergeCell ref="D17:D18"/>
    <mergeCell ref="E17:E18"/>
    <mergeCell ref="F17:F18"/>
    <mergeCell ref="G17:G18"/>
    <mergeCell ref="G15:G16"/>
    <mergeCell ref="H15:H16"/>
    <mergeCell ref="I15:I16"/>
    <mergeCell ref="P15:P16"/>
    <mergeCell ref="C15:C16"/>
    <mergeCell ref="P13:P14"/>
    <mergeCell ref="H17:H18"/>
    <mergeCell ref="T19:T20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Q7:Q8"/>
    <mergeCell ref="R7:R8"/>
    <mergeCell ref="B7:B14"/>
    <mergeCell ref="D9:D10"/>
    <mergeCell ref="E9:E10"/>
    <mergeCell ref="F9:F10"/>
    <mergeCell ref="G9:G10"/>
    <mergeCell ref="G7:G8"/>
    <mergeCell ref="H7:H8"/>
    <mergeCell ref="I7:I8"/>
    <mergeCell ref="P7:P8"/>
    <mergeCell ref="C7:C8"/>
    <mergeCell ref="W9:W10"/>
    <mergeCell ref="C13:C14"/>
    <mergeCell ref="D13:D14"/>
    <mergeCell ref="E13:E14"/>
    <mergeCell ref="F13:F14"/>
    <mergeCell ref="G13:G14"/>
    <mergeCell ref="H13:H14"/>
    <mergeCell ref="H9:H10"/>
    <mergeCell ref="I9:I10"/>
    <mergeCell ref="P9:P10"/>
    <mergeCell ref="Q9:Q10"/>
    <mergeCell ref="R9:R10"/>
    <mergeCell ref="S9:S10"/>
    <mergeCell ref="T13:T14"/>
    <mergeCell ref="U13:U14"/>
    <mergeCell ref="V13:V14"/>
    <mergeCell ref="W13:W14"/>
    <mergeCell ref="K14:N14"/>
    <mergeCell ref="R13:R14"/>
    <mergeCell ref="S13:S14"/>
    <mergeCell ref="C9:C10"/>
    <mergeCell ref="I13:I14"/>
    <mergeCell ref="K13:N13"/>
    <mergeCell ref="C11:C12"/>
    <mergeCell ref="R17:R18"/>
    <mergeCell ref="E23:E24"/>
    <mergeCell ref="F23:F24"/>
    <mergeCell ref="G23:G24"/>
    <mergeCell ref="H23:H24"/>
    <mergeCell ref="I23:I24"/>
    <mergeCell ref="K23:N23"/>
    <mergeCell ref="P23:P24"/>
    <mergeCell ref="V9:V10"/>
    <mergeCell ref="V23:V24"/>
    <mergeCell ref="S17:S18"/>
    <mergeCell ref="Q13:Q14"/>
    <mergeCell ref="T17:T18"/>
    <mergeCell ref="U17:U18"/>
    <mergeCell ref="V17:V18"/>
    <mergeCell ref="S11:S12"/>
    <mergeCell ref="T11:T12"/>
    <mergeCell ref="U11:U12"/>
    <mergeCell ref="V11:V12"/>
    <mergeCell ref="P11:P12"/>
    <mergeCell ref="Q11:Q12"/>
    <mergeCell ref="D15:D16"/>
    <mergeCell ref="E15:E16"/>
    <mergeCell ref="F15:F16"/>
    <mergeCell ref="T15:T16"/>
    <mergeCell ref="U15:U16"/>
    <mergeCell ref="V15:V16"/>
    <mergeCell ref="W15:W16"/>
    <mergeCell ref="Q15:Q16"/>
    <mergeCell ref="R15:R16"/>
    <mergeCell ref="S15:S16"/>
    <mergeCell ref="V25:V26"/>
    <mergeCell ref="G25:G26"/>
    <mergeCell ref="H25:H26"/>
    <mergeCell ref="D19:D20"/>
    <mergeCell ref="E19:E20"/>
    <mergeCell ref="F19:F20"/>
    <mergeCell ref="Q23:Q24"/>
    <mergeCell ref="R23:R24"/>
    <mergeCell ref="S23:S24"/>
    <mergeCell ref="D23:D24"/>
    <mergeCell ref="R21:R22"/>
    <mergeCell ref="S21:S22"/>
    <mergeCell ref="R19:R20"/>
    <mergeCell ref="S19:S20"/>
    <mergeCell ref="G19:G20"/>
    <mergeCell ref="H19:H20"/>
    <mergeCell ref="I19:I20"/>
    <mergeCell ref="K19:N19"/>
    <mergeCell ref="P19:P20"/>
    <mergeCell ref="K20:N20"/>
    <mergeCell ref="K22:N22"/>
    <mergeCell ref="I21:I22"/>
    <mergeCell ref="K21:N21"/>
    <mergeCell ref="P21:P22"/>
    <mergeCell ref="W17:W18"/>
    <mergeCell ref="Q17:Q18"/>
    <mergeCell ref="V27:V28"/>
    <mergeCell ref="W27:W28"/>
    <mergeCell ref="Q27:Q28"/>
    <mergeCell ref="R27:R28"/>
    <mergeCell ref="S27:S28"/>
    <mergeCell ref="T27:T28"/>
    <mergeCell ref="U27:U28"/>
    <mergeCell ref="W25:W26"/>
    <mergeCell ref="Q25:Q26"/>
    <mergeCell ref="R25:R26"/>
    <mergeCell ref="S25:S26"/>
    <mergeCell ref="T25:T26"/>
    <mergeCell ref="W19:W20"/>
    <mergeCell ref="Q19:Q20"/>
    <mergeCell ref="T21:T22"/>
    <mergeCell ref="U21:U22"/>
    <mergeCell ref="V21:V22"/>
    <mergeCell ref="W21:W22"/>
    <mergeCell ref="Q21:Q22"/>
    <mergeCell ref="U19:U20"/>
    <mergeCell ref="V19:V20"/>
    <mergeCell ref="U25:U26"/>
    <mergeCell ref="C33:C34"/>
    <mergeCell ref="D33:D34"/>
    <mergeCell ref="E33:E34"/>
    <mergeCell ref="F33:F34"/>
    <mergeCell ref="G33:G34"/>
    <mergeCell ref="H33:H34"/>
    <mergeCell ref="P29:P30"/>
    <mergeCell ref="T33:T34"/>
    <mergeCell ref="I25:I26"/>
    <mergeCell ref="P25:P26"/>
    <mergeCell ref="H31:H32"/>
    <mergeCell ref="I31:I32"/>
    <mergeCell ref="P31:P32"/>
    <mergeCell ref="Q29:Q30"/>
    <mergeCell ref="R29:R30"/>
    <mergeCell ref="Q31:Q32"/>
    <mergeCell ref="R31:R32"/>
    <mergeCell ref="I29:I30"/>
    <mergeCell ref="S31:S32"/>
    <mergeCell ref="T31:T32"/>
    <mergeCell ref="U33:U34"/>
    <mergeCell ref="V33:V34"/>
    <mergeCell ref="W33:W34"/>
    <mergeCell ref="R33:R34"/>
    <mergeCell ref="S33:S34"/>
    <mergeCell ref="Q33:Q34"/>
    <mergeCell ref="C27:C28"/>
    <mergeCell ref="D27:D28"/>
    <mergeCell ref="C35:C36"/>
    <mergeCell ref="K34:N34"/>
    <mergeCell ref="D35:D36"/>
    <mergeCell ref="E35:E36"/>
    <mergeCell ref="F35:F36"/>
    <mergeCell ref="G35:G36"/>
    <mergeCell ref="I33:I34"/>
    <mergeCell ref="K33:N33"/>
    <mergeCell ref="P33:P34"/>
    <mergeCell ref="P27:P28"/>
    <mergeCell ref="I27:I28"/>
    <mergeCell ref="S35:S36"/>
    <mergeCell ref="T35:T36"/>
    <mergeCell ref="U35:U36"/>
    <mergeCell ref="V35:V36"/>
    <mergeCell ref="W35:W36"/>
    <mergeCell ref="C19:C20"/>
    <mergeCell ref="G29:G30"/>
    <mergeCell ref="H29:H30"/>
    <mergeCell ref="C29:C30"/>
    <mergeCell ref="D29:D30"/>
    <mergeCell ref="E29:E30"/>
    <mergeCell ref="F29:F30"/>
    <mergeCell ref="E27:E28"/>
    <mergeCell ref="F27:F28"/>
    <mergeCell ref="G27:G28"/>
    <mergeCell ref="H27:H28"/>
    <mergeCell ref="C21:C22"/>
    <mergeCell ref="D21:D22"/>
    <mergeCell ref="E21:E22"/>
    <mergeCell ref="F21:F22"/>
    <mergeCell ref="G21:G22"/>
    <mergeCell ref="H21:H22"/>
    <mergeCell ref="D25:D26"/>
    <mergeCell ref="E25:E26"/>
    <mergeCell ref="F25:F26"/>
    <mergeCell ref="C25:C26"/>
    <mergeCell ref="K36:N36"/>
    <mergeCell ref="H35:H36"/>
    <mergeCell ref="I35:I36"/>
    <mergeCell ref="Q35:Q36"/>
    <mergeCell ref="R35:R36"/>
    <mergeCell ref="K35:N35"/>
    <mergeCell ref="P35:P36"/>
    <mergeCell ref="U37:U38"/>
    <mergeCell ref="V37:V38"/>
    <mergeCell ref="W37:W38"/>
    <mergeCell ref="C45:C46"/>
    <mergeCell ref="D45:D46"/>
    <mergeCell ref="E45:E46"/>
    <mergeCell ref="F45:F46"/>
    <mergeCell ref="G45:G46"/>
    <mergeCell ref="H45:H46"/>
    <mergeCell ref="I45:I46"/>
    <mergeCell ref="I37:I38"/>
    <mergeCell ref="P37:P38"/>
    <mergeCell ref="Q37:Q38"/>
    <mergeCell ref="R37:R38"/>
    <mergeCell ref="S37:S38"/>
    <mergeCell ref="T37:T38"/>
    <mergeCell ref="C37:C38"/>
    <mergeCell ref="D37:D38"/>
    <mergeCell ref="E37:E38"/>
    <mergeCell ref="F37:F38"/>
    <mergeCell ref="G37:G38"/>
    <mergeCell ref="H37:H38"/>
    <mergeCell ref="V45:V46"/>
    <mergeCell ref="W45:W46"/>
    <mergeCell ref="Q45:Q46"/>
    <mergeCell ref="R45:R46"/>
    <mergeCell ref="B49:B50"/>
    <mergeCell ref="C49:C50"/>
    <mergeCell ref="D49:D50"/>
    <mergeCell ref="E49:E50"/>
    <mergeCell ref="F49:F50"/>
    <mergeCell ref="G49:G50"/>
    <mergeCell ref="H49:H50"/>
    <mergeCell ref="I49:I50"/>
    <mergeCell ref="P45:P46"/>
    <mergeCell ref="S45:S46"/>
    <mergeCell ref="T45:T46"/>
    <mergeCell ref="U45:U46"/>
    <mergeCell ref="V49:V50"/>
    <mergeCell ref="W49:W50"/>
    <mergeCell ref="R49:R50"/>
    <mergeCell ref="S49:S50"/>
    <mergeCell ref="T49:T50"/>
    <mergeCell ref="U49:U50"/>
    <mergeCell ref="P51:Q51"/>
    <mergeCell ref="C61:C62"/>
    <mergeCell ref="C72:C75"/>
    <mergeCell ref="D72:D73"/>
    <mergeCell ref="E72:E73"/>
    <mergeCell ref="F72:F73"/>
    <mergeCell ref="G72:G73"/>
    <mergeCell ref="H72:H73"/>
    <mergeCell ref="P49:P50"/>
    <mergeCell ref="Q49:Q50"/>
    <mergeCell ref="U72:U73"/>
    <mergeCell ref="V72:V73"/>
    <mergeCell ref="W72:W73"/>
    <mergeCell ref="D74:D75"/>
    <mergeCell ref="E74:E75"/>
    <mergeCell ref="F74:F75"/>
    <mergeCell ref="G74:G75"/>
    <mergeCell ref="H74:H75"/>
    <mergeCell ref="I74:I75"/>
    <mergeCell ref="P74:P75"/>
    <mergeCell ref="I72:I73"/>
    <mergeCell ref="P72:P73"/>
    <mergeCell ref="Q72:Q73"/>
    <mergeCell ref="R72:R73"/>
    <mergeCell ref="S72:S73"/>
    <mergeCell ref="T72:T73"/>
    <mergeCell ref="R76:R77"/>
    <mergeCell ref="S76:S77"/>
    <mergeCell ref="T76:T77"/>
    <mergeCell ref="U76:U77"/>
    <mergeCell ref="V76:V77"/>
    <mergeCell ref="W76:W77"/>
    <mergeCell ref="W74:W75"/>
    <mergeCell ref="C76:C77"/>
    <mergeCell ref="D76:D77"/>
    <mergeCell ref="E76:E77"/>
    <mergeCell ref="F76:F77"/>
    <mergeCell ref="G76:G77"/>
    <mergeCell ref="H76:H77"/>
    <mergeCell ref="I76:I77"/>
    <mergeCell ref="P76:P77"/>
    <mergeCell ref="Q76:Q77"/>
    <mergeCell ref="Q74:Q75"/>
    <mergeCell ref="R74:R75"/>
    <mergeCell ref="S74:S75"/>
    <mergeCell ref="T74:T75"/>
    <mergeCell ref="U74:U75"/>
    <mergeCell ref="V74:V75"/>
    <mergeCell ref="U78:U79"/>
    <mergeCell ref="V78:V79"/>
    <mergeCell ref="W78:W79"/>
    <mergeCell ref="C80:C81"/>
    <mergeCell ref="D80:D81"/>
    <mergeCell ref="E80:E81"/>
    <mergeCell ref="F80:F81"/>
    <mergeCell ref="G80:G81"/>
    <mergeCell ref="H80:H81"/>
    <mergeCell ref="I80:I81"/>
    <mergeCell ref="I78:I79"/>
    <mergeCell ref="P78:P79"/>
    <mergeCell ref="Q78:Q79"/>
    <mergeCell ref="R78:R79"/>
    <mergeCell ref="S78:S79"/>
    <mergeCell ref="T78:T79"/>
    <mergeCell ref="C78:C79"/>
    <mergeCell ref="D78:D79"/>
    <mergeCell ref="E78:E79"/>
    <mergeCell ref="F78:F79"/>
    <mergeCell ref="G78:G79"/>
    <mergeCell ref="H78:H79"/>
    <mergeCell ref="C82:C83"/>
    <mergeCell ref="D82:D83"/>
    <mergeCell ref="E82:E83"/>
    <mergeCell ref="F82:F83"/>
    <mergeCell ref="G82:G83"/>
    <mergeCell ref="H82:H83"/>
    <mergeCell ref="I82:I83"/>
    <mergeCell ref="P82:P83"/>
    <mergeCell ref="P80:P81"/>
    <mergeCell ref="W82:W83"/>
    <mergeCell ref="Q82:Q83"/>
    <mergeCell ref="R82:R83"/>
    <mergeCell ref="S82:S83"/>
    <mergeCell ref="T82:T83"/>
    <mergeCell ref="U82:U83"/>
    <mergeCell ref="V82:V83"/>
    <mergeCell ref="V80:V81"/>
    <mergeCell ref="W80:W81"/>
    <mergeCell ref="Q80:Q81"/>
    <mergeCell ref="R80:R81"/>
    <mergeCell ref="S80:S81"/>
    <mergeCell ref="T80:T81"/>
    <mergeCell ref="U80:U81"/>
    <mergeCell ref="W11:W12"/>
    <mergeCell ref="D11:D12"/>
    <mergeCell ref="E11:E12"/>
    <mergeCell ref="F11:F12"/>
    <mergeCell ref="G11:G12"/>
    <mergeCell ref="H11:H12"/>
    <mergeCell ref="I11:I12"/>
    <mergeCell ref="K11:L11"/>
    <mergeCell ref="K12:L12"/>
    <mergeCell ref="M11:N11"/>
    <mergeCell ref="M12:N12"/>
  </mergeCells>
  <phoneticPr fontId="1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E903-8284-4D35-B2D2-824117A33005}">
  <dimension ref="A1:W91"/>
  <sheetViews>
    <sheetView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7" sqref="C7:C8"/>
    </sheetView>
  </sheetViews>
  <sheetFormatPr defaultColWidth="8.88671875" defaultRowHeight="13.8" x14ac:dyDescent="0.3"/>
  <cols>
    <col min="1" max="1" width="6.88671875" style="1" customWidth="1"/>
    <col min="2" max="2" width="7.33203125" style="1" customWidth="1"/>
    <col min="3" max="3" width="26.109375" style="1" customWidth="1"/>
    <col min="4" max="6" width="8.88671875" style="1" customWidth="1"/>
    <col min="7" max="7" width="5.6640625" style="1" customWidth="1"/>
    <col min="8" max="8" width="6" style="1" customWidth="1"/>
    <col min="9" max="9" width="6.88671875" style="1" customWidth="1"/>
    <col min="10" max="10" width="6.5546875" style="2" customWidth="1"/>
    <col min="11" max="14" width="8" style="2" customWidth="1"/>
    <col min="15" max="16" width="8.88671875" style="2" customWidth="1"/>
    <col min="17" max="17" width="8" style="2" customWidth="1"/>
    <col min="18" max="18" width="8.88671875" style="1"/>
    <col min="19" max="23" width="16.6640625" style="1" customWidth="1"/>
    <col min="24" max="16384" width="8.88671875" style="1"/>
  </cols>
  <sheetData>
    <row r="1" spans="1:23" ht="15.6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x14ac:dyDescent="0.3">
      <c r="A2" s="110" t="s">
        <v>1</v>
      </c>
      <c r="B2" s="110"/>
      <c r="C2" s="113">
        <v>45642</v>
      </c>
      <c r="D2" s="113"/>
      <c r="E2" s="5" t="s">
        <v>2</v>
      </c>
      <c r="F2" s="5"/>
      <c r="G2" s="113">
        <v>44652</v>
      </c>
      <c r="H2" s="113"/>
      <c r="I2" s="113"/>
      <c r="J2" s="113"/>
      <c r="K2" s="113"/>
      <c r="L2" s="113"/>
      <c r="M2" s="113"/>
      <c r="N2" s="113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x14ac:dyDescent="0.3">
      <c r="A4" s="111" t="s">
        <v>6</v>
      </c>
      <c r="B4" s="111"/>
      <c r="C4" s="123" t="s">
        <v>229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230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s="4" customFormat="1" ht="5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s="4" customFormat="1" ht="16.2" customHeight="1" x14ac:dyDescent="0.3">
      <c r="A7" s="77" t="s">
        <v>31</v>
      </c>
      <c r="B7" s="77" t="s">
        <v>32</v>
      </c>
      <c r="C7" s="231" t="s">
        <v>63</v>
      </c>
      <c r="D7" s="211" t="s">
        <v>34</v>
      </c>
      <c r="E7" s="211" t="s">
        <v>35</v>
      </c>
      <c r="F7" s="213">
        <v>0.05</v>
      </c>
      <c r="G7" s="211" t="s">
        <v>64</v>
      </c>
      <c r="H7" s="211" t="s">
        <v>37</v>
      </c>
      <c r="I7" s="211">
        <v>86</v>
      </c>
      <c r="J7" s="59" t="s">
        <v>38</v>
      </c>
      <c r="K7" s="59">
        <v>6</v>
      </c>
      <c r="L7" s="59">
        <v>9</v>
      </c>
      <c r="M7" s="59">
        <v>7</v>
      </c>
      <c r="N7" s="64">
        <v>8</v>
      </c>
      <c r="O7" s="67">
        <v>30</v>
      </c>
      <c r="P7" s="211">
        <v>1</v>
      </c>
      <c r="Q7" s="162">
        <f>+P7*F7</f>
        <v>0.05</v>
      </c>
      <c r="R7" s="129"/>
      <c r="S7" s="79" t="s">
        <v>231</v>
      </c>
      <c r="T7" s="79" t="s">
        <v>232</v>
      </c>
      <c r="U7" s="79" t="s">
        <v>233</v>
      </c>
      <c r="V7" s="79" t="s">
        <v>234</v>
      </c>
      <c r="W7" s="79" t="s">
        <v>140</v>
      </c>
    </row>
    <row r="8" spans="1:23" s="4" customFormat="1" ht="16.2" customHeight="1" x14ac:dyDescent="0.3">
      <c r="A8" s="78"/>
      <c r="B8" s="78"/>
      <c r="C8" s="232"/>
      <c r="D8" s="212"/>
      <c r="E8" s="212"/>
      <c r="F8" s="212"/>
      <c r="G8" s="212"/>
      <c r="H8" s="212"/>
      <c r="I8" s="212"/>
      <c r="J8" s="60" t="s">
        <v>43</v>
      </c>
      <c r="K8" s="60">
        <v>10</v>
      </c>
      <c r="L8" s="60">
        <v>10</v>
      </c>
      <c r="M8" s="60">
        <v>12</v>
      </c>
      <c r="N8" s="62">
        <v>10</v>
      </c>
      <c r="O8" s="67" t="s">
        <v>233</v>
      </c>
      <c r="P8" s="212"/>
      <c r="Q8" s="163"/>
      <c r="R8" s="129"/>
      <c r="S8" s="80"/>
      <c r="T8" s="80"/>
      <c r="U8" s="80"/>
      <c r="V8" s="80"/>
      <c r="W8" s="80"/>
    </row>
    <row r="9" spans="1:23" s="4" customFormat="1" ht="16.2" customHeight="1" x14ac:dyDescent="0.3">
      <c r="A9" s="78"/>
      <c r="B9" s="78"/>
      <c r="C9" s="233" t="s">
        <v>70</v>
      </c>
      <c r="D9" s="215" t="s">
        <v>34</v>
      </c>
      <c r="E9" s="215" t="s">
        <v>57</v>
      </c>
      <c r="F9" s="214">
        <v>0.08</v>
      </c>
      <c r="G9" s="215" t="s">
        <v>58</v>
      </c>
      <c r="H9" s="215" t="s">
        <v>37</v>
      </c>
      <c r="I9" s="214">
        <v>0.64</v>
      </c>
      <c r="J9" s="60" t="s">
        <v>38</v>
      </c>
      <c r="K9" s="61">
        <f>3/6</f>
        <v>0.5</v>
      </c>
      <c r="L9" s="63">
        <f>4/9</f>
        <v>0.44444444444444442</v>
      </c>
      <c r="M9" s="61">
        <v>0.62</v>
      </c>
      <c r="N9" s="65">
        <v>0.5</v>
      </c>
      <c r="O9" s="68">
        <v>0.48</v>
      </c>
      <c r="P9" s="215">
        <v>2</v>
      </c>
      <c r="Q9" s="162">
        <f t="shared" ref="Q9" si="0">+P9*F9</f>
        <v>0.16</v>
      </c>
      <c r="R9" s="129"/>
      <c r="S9" s="130" t="s">
        <v>204</v>
      </c>
      <c r="T9" s="130" t="s">
        <v>205</v>
      </c>
      <c r="U9" s="130" t="s">
        <v>206</v>
      </c>
      <c r="V9" s="130" t="s">
        <v>235</v>
      </c>
      <c r="W9" s="130" t="s">
        <v>236</v>
      </c>
    </row>
    <row r="10" spans="1:23" s="4" customFormat="1" ht="16.2" customHeight="1" x14ac:dyDescent="0.3">
      <c r="A10" s="78"/>
      <c r="B10" s="78"/>
      <c r="C10" s="232"/>
      <c r="D10" s="212"/>
      <c r="E10" s="212"/>
      <c r="F10" s="212"/>
      <c r="G10" s="212"/>
      <c r="H10" s="212"/>
      <c r="I10" s="212"/>
      <c r="J10" s="62" t="s">
        <v>43</v>
      </c>
      <c r="K10" s="55" t="s">
        <v>205</v>
      </c>
      <c r="L10" s="56" t="s">
        <v>205</v>
      </c>
      <c r="M10" s="56" t="s">
        <v>205</v>
      </c>
      <c r="N10" s="66" t="s">
        <v>205</v>
      </c>
      <c r="O10" s="69" t="s">
        <v>205</v>
      </c>
      <c r="P10" s="212"/>
      <c r="Q10" s="163"/>
      <c r="R10" s="129"/>
      <c r="S10" s="131"/>
      <c r="T10" s="131"/>
      <c r="U10" s="131"/>
      <c r="V10" s="131"/>
      <c r="W10" s="131"/>
    </row>
    <row r="11" spans="1:23" s="4" customFormat="1" ht="16.2" customHeight="1" x14ac:dyDescent="0.3">
      <c r="A11" s="78"/>
      <c r="B11" s="78"/>
      <c r="C11" s="233" t="s">
        <v>237</v>
      </c>
      <c r="D11" s="215" t="s">
        <v>34</v>
      </c>
      <c r="E11" s="215" t="s">
        <v>79</v>
      </c>
      <c r="F11" s="214">
        <v>0.11</v>
      </c>
      <c r="G11" s="215" t="s">
        <v>58</v>
      </c>
      <c r="H11" s="215" t="s">
        <v>106</v>
      </c>
      <c r="I11" s="214">
        <v>0.2</v>
      </c>
      <c r="J11" s="60" t="s">
        <v>38</v>
      </c>
      <c r="K11" s="234">
        <v>0.18</v>
      </c>
      <c r="L11" s="235"/>
      <c r="M11" s="234">
        <v>0.28000000000000003</v>
      </c>
      <c r="N11" s="235"/>
      <c r="O11" s="68">
        <v>0.23</v>
      </c>
      <c r="P11" s="215">
        <v>4</v>
      </c>
      <c r="Q11" s="162">
        <f t="shared" ref="Q11" si="1">+P11*F11</f>
        <v>0.44</v>
      </c>
      <c r="R11" s="52"/>
      <c r="S11" s="83" t="s">
        <v>193</v>
      </c>
      <c r="T11" s="132" t="s">
        <v>194</v>
      </c>
      <c r="U11" s="132" t="s">
        <v>195</v>
      </c>
      <c r="V11" s="132" t="s">
        <v>196</v>
      </c>
      <c r="W11" s="132" t="s">
        <v>197</v>
      </c>
    </row>
    <row r="12" spans="1:23" s="4" customFormat="1" ht="16.2" customHeight="1" x14ac:dyDescent="0.3">
      <c r="A12" s="78"/>
      <c r="B12" s="127"/>
      <c r="C12" s="232"/>
      <c r="D12" s="212"/>
      <c r="E12" s="212"/>
      <c r="F12" s="212"/>
      <c r="G12" s="212"/>
      <c r="H12" s="212"/>
      <c r="I12" s="212"/>
      <c r="J12" s="62" t="s">
        <v>43</v>
      </c>
      <c r="K12" s="234">
        <v>0.2</v>
      </c>
      <c r="L12" s="235"/>
      <c r="M12" s="234">
        <v>0.2</v>
      </c>
      <c r="N12" s="235"/>
      <c r="O12" s="70">
        <v>0.2</v>
      </c>
      <c r="P12" s="212"/>
      <c r="Q12" s="163"/>
      <c r="R12" s="52"/>
      <c r="S12" s="83"/>
      <c r="T12" s="132"/>
      <c r="U12" s="132"/>
      <c r="V12" s="132"/>
      <c r="W12" s="132"/>
    </row>
    <row r="13" spans="1:23" s="4" customFormat="1" ht="16.2" customHeight="1" x14ac:dyDescent="0.3">
      <c r="A13" s="78"/>
      <c r="B13" s="77" t="s">
        <v>55</v>
      </c>
      <c r="C13" s="229" t="s">
        <v>238</v>
      </c>
      <c r="D13" s="83" t="s">
        <v>34</v>
      </c>
      <c r="E13" s="81" t="s">
        <v>35</v>
      </c>
      <c r="F13" s="83">
        <v>0.11</v>
      </c>
      <c r="G13" s="81" t="s">
        <v>36</v>
      </c>
      <c r="H13" s="81" t="s">
        <v>37</v>
      </c>
      <c r="I13" s="81">
        <v>0.95</v>
      </c>
      <c r="J13" s="23" t="s">
        <v>38</v>
      </c>
      <c r="K13" s="25">
        <v>0.9</v>
      </c>
      <c r="L13" s="25">
        <v>0.9</v>
      </c>
      <c r="M13" s="25">
        <v>0.98</v>
      </c>
      <c r="N13" s="58">
        <v>0.98</v>
      </c>
      <c r="O13" s="25">
        <v>0.94</v>
      </c>
      <c r="P13" s="81">
        <v>3</v>
      </c>
      <c r="Q13" s="162">
        <f t="shared" ref="Q13" si="2">+P13*F13</f>
        <v>0.33</v>
      </c>
      <c r="R13" s="85"/>
      <c r="S13" s="83" t="s">
        <v>135</v>
      </c>
      <c r="T13" s="132" t="s">
        <v>60</v>
      </c>
      <c r="U13" s="132" t="s">
        <v>61</v>
      </c>
      <c r="V13" s="132" t="s">
        <v>62</v>
      </c>
      <c r="W13" s="132" t="s">
        <v>62</v>
      </c>
    </row>
    <row r="14" spans="1:23" s="4" customFormat="1" ht="16.2" customHeight="1" x14ac:dyDescent="0.3">
      <c r="A14" s="78"/>
      <c r="B14" s="78"/>
      <c r="C14" s="230"/>
      <c r="D14" s="83"/>
      <c r="E14" s="81"/>
      <c r="F14" s="83"/>
      <c r="G14" s="81"/>
      <c r="H14" s="81"/>
      <c r="I14" s="81"/>
      <c r="J14" s="23" t="s">
        <v>43</v>
      </c>
      <c r="K14" s="25">
        <v>0.95</v>
      </c>
      <c r="L14" s="25">
        <v>0.95</v>
      </c>
      <c r="M14" s="25">
        <v>0.95</v>
      </c>
      <c r="N14" s="58">
        <v>0.95</v>
      </c>
      <c r="O14" s="25" t="s">
        <v>61</v>
      </c>
      <c r="P14" s="81"/>
      <c r="Q14" s="163"/>
      <c r="R14" s="85"/>
      <c r="S14" s="83"/>
      <c r="T14" s="132"/>
      <c r="U14" s="132"/>
      <c r="V14" s="132"/>
      <c r="W14" s="132"/>
    </row>
    <row r="15" spans="1:23" s="4" customFormat="1" ht="16.2" hidden="1" customHeight="1" x14ac:dyDescent="0.3">
      <c r="A15" s="78"/>
      <c r="B15" s="78"/>
      <c r="C15" s="236" t="s">
        <v>131</v>
      </c>
      <c r="D15" s="83" t="s">
        <v>34</v>
      </c>
      <c r="E15" s="81" t="s">
        <v>35</v>
      </c>
      <c r="F15" s="83"/>
      <c r="G15" s="81" t="s">
        <v>36</v>
      </c>
      <c r="H15" s="81" t="s">
        <v>37</v>
      </c>
      <c r="I15" s="81">
        <v>0.95</v>
      </c>
      <c r="J15" s="23" t="s">
        <v>38</v>
      </c>
      <c r="K15" s="25">
        <v>0.9</v>
      </c>
      <c r="L15" s="25">
        <v>0.9</v>
      </c>
      <c r="M15" s="25">
        <v>0.98</v>
      </c>
      <c r="N15" s="58">
        <v>0.98</v>
      </c>
      <c r="O15" s="25">
        <v>0.95</v>
      </c>
      <c r="P15" s="81"/>
      <c r="Q15" s="162">
        <f t="shared" ref="Q15" si="3">+P15*F15</f>
        <v>0</v>
      </c>
      <c r="R15" s="85"/>
      <c r="S15" s="83" t="s">
        <v>135</v>
      </c>
      <c r="T15" s="132" t="s">
        <v>60</v>
      </c>
      <c r="U15" s="132" t="s">
        <v>61</v>
      </c>
      <c r="V15" s="132" t="s">
        <v>62</v>
      </c>
      <c r="W15" s="132" t="s">
        <v>62</v>
      </c>
    </row>
    <row r="16" spans="1:23" s="4" customFormat="1" ht="16.2" hidden="1" customHeight="1" x14ac:dyDescent="0.3">
      <c r="A16" s="78"/>
      <c r="B16" s="78"/>
      <c r="C16" s="236"/>
      <c r="D16" s="83"/>
      <c r="E16" s="81"/>
      <c r="F16" s="83"/>
      <c r="G16" s="81"/>
      <c r="H16" s="81"/>
      <c r="I16" s="81"/>
      <c r="J16" s="23" t="s">
        <v>43</v>
      </c>
      <c r="K16" s="25">
        <v>0.95</v>
      </c>
      <c r="L16" s="25">
        <v>0.95</v>
      </c>
      <c r="M16" s="25">
        <v>0.95</v>
      </c>
      <c r="N16" s="58">
        <v>0.95</v>
      </c>
      <c r="O16" s="25" t="s">
        <v>61</v>
      </c>
      <c r="P16" s="81"/>
      <c r="Q16" s="163"/>
      <c r="R16" s="85"/>
      <c r="S16" s="83"/>
      <c r="T16" s="132"/>
      <c r="U16" s="132"/>
      <c r="V16" s="132"/>
      <c r="W16" s="132"/>
    </row>
    <row r="17" spans="1:23" s="4" customFormat="1" ht="16.2" hidden="1" customHeight="1" x14ac:dyDescent="0.3">
      <c r="A17" s="78"/>
      <c r="B17" s="78"/>
      <c r="C17" s="236" t="s">
        <v>132</v>
      </c>
      <c r="D17" s="83" t="s">
        <v>34</v>
      </c>
      <c r="E17" s="81" t="s">
        <v>35</v>
      </c>
      <c r="F17" s="83"/>
      <c r="G17" s="81" t="s">
        <v>36</v>
      </c>
      <c r="H17" s="81" t="s">
        <v>37</v>
      </c>
      <c r="I17" s="81">
        <v>0.95</v>
      </c>
      <c r="J17" s="23" t="s">
        <v>38</v>
      </c>
      <c r="K17" s="25">
        <v>0.9</v>
      </c>
      <c r="L17" s="25">
        <v>0.9</v>
      </c>
      <c r="M17" s="25">
        <v>0.98</v>
      </c>
      <c r="N17" s="58">
        <v>0.98</v>
      </c>
      <c r="O17" s="25">
        <v>0.95</v>
      </c>
      <c r="P17" s="81"/>
      <c r="Q17" s="162">
        <f t="shared" ref="Q17" si="4">+P17*F17</f>
        <v>0</v>
      </c>
      <c r="R17" s="85"/>
      <c r="S17" s="83" t="s">
        <v>135</v>
      </c>
      <c r="T17" s="132" t="s">
        <v>60</v>
      </c>
      <c r="U17" s="132" t="s">
        <v>61</v>
      </c>
      <c r="V17" s="132" t="s">
        <v>62</v>
      </c>
      <c r="W17" s="132" t="s">
        <v>62</v>
      </c>
    </row>
    <row r="18" spans="1:23" s="4" customFormat="1" ht="16.2" hidden="1" customHeight="1" x14ac:dyDescent="0.3">
      <c r="A18" s="78"/>
      <c r="B18" s="78"/>
      <c r="C18" s="236"/>
      <c r="D18" s="83"/>
      <c r="E18" s="81"/>
      <c r="F18" s="83"/>
      <c r="G18" s="81"/>
      <c r="H18" s="81"/>
      <c r="I18" s="81"/>
      <c r="J18" s="23" t="s">
        <v>43</v>
      </c>
      <c r="K18" s="25">
        <v>0.95</v>
      </c>
      <c r="L18" s="25">
        <v>0.95</v>
      </c>
      <c r="M18" s="25">
        <v>0.95</v>
      </c>
      <c r="N18" s="58">
        <v>0.95</v>
      </c>
      <c r="O18" s="25" t="s">
        <v>61</v>
      </c>
      <c r="P18" s="81"/>
      <c r="Q18" s="163"/>
      <c r="R18" s="85"/>
      <c r="S18" s="83"/>
      <c r="T18" s="132"/>
      <c r="U18" s="132"/>
      <c r="V18" s="132"/>
      <c r="W18" s="132"/>
    </row>
    <row r="19" spans="1:23" s="4" customFormat="1" ht="16.2" hidden="1" customHeight="1" x14ac:dyDescent="0.3">
      <c r="A19" s="78"/>
      <c r="B19" s="78"/>
      <c r="C19" s="236" t="s">
        <v>133</v>
      </c>
      <c r="D19" s="83" t="s">
        <v>34</v>
      </c>
      <c r="E19" s="81" t="s">
        <v>35</v>
      </c>
      <c r="F19" s="83"/>
      <c r="G19" s="81" t="s">
        <v>36</v>
      </c>
      <c r="H19" s="81" t="s">
        <v>50</v>
      </c>
      <c r="I19" s="81"/>
      <c r="J19" s="23" t="s">
        <v>38</v>
      </c>
      <c r="K19" s="226">
        <v>0.9</v>
      </c>
      <c r="L19" s="227"/>
      <c r="M19" s="227"/>
      <c r="N19" s="227"/>
      <c r="O19" s="25">
        <v>0.95</v>
      </c>
      <c r="P19" s="81"/>
      <c r="Q19" s="162">
        <f t="shared" ref="Q19" si="5">+P19*F19</f>
        <v>0</v>
      </c>
      <c r="R19" s="85"/>
      <c r="S19" s="83" t="s">
        <v>135</v>
      </c>
      <c r="T19" s="132" t="s">
        <v>60</v>
      </c>
      <c r="U19" s="132" t="s">
        <v>61</v>
      </c>
      <c r="V19" s="132" t="s">
        <v>62</v>
      </c>
      <c r="W19" s="132" t="s">
        <v>62</v>
      </c>
    </row>
    <row r="20" spans="1:23" s="4" customFormat="1" ht="16.2" hidden="1" customHeight="1" x14ac:dyDescent="0.3">
      <c r="A20" s="78"/>
      <c r="B20" s="78"/>
      <c r="C20" s="236"/>
      <c r="D20" s="83"/>
      <c r="E20" s="81"/>
      <c r="F20" s="83"/>
      <c r="G20" s="81"/>
      <c r="H20" s="81"/>
      <c r="I20" s="81"/>
      <c r="J20" s="23" t="s">
        <v>43</v>
      </c>
      <c r="K20" s="226">
        <v>0.95</v>
      </c>
      <c r="L20" s="227"/>
      <c r="M20" s="227"/>
      <c r="N20" s="227"/>
      <c r="O20" s="25" t="s">
        <v>61</v>
      </c>
      <c r="P20" s="81"/>
      <c r="Q20" s="163"/>
      <c r="R20" s="85"/>
      <c r="S20" s="83"/>
      <c r="T20" s="132"/>
      <c r="U20" s="132"/>
      <c r="V20" s="132"/>
      <c r="W20" s="132"/>
    </row>
    <row r="21" spans="1:23" s="4" customFormat="1" ht="16.2" customHeight="1" x14ac:dyDescent="0.3">
      <c r="A21" s="78"/>
      <c r="B21" s="78"/>
      <c r="C21" s="229" t="s">
        <v>239</v>
      </c>
      <c r="D21" s="83" t="s">
        <v>34</v>
      </c>
      <c r="E21" s="81" t="s">
        <v>35</v>
      </c>
      <c r="F21" s="83">
        <v>0.11</v>
      </c>
      <c r="G21" s="81" t="s">
        <v>36</v>
      </c>
      <c r="H21" s="81" t="s">
        <v>37</v>
      </c>
      <c r="I21" s="81">
        <v>0.95</v>
      </c>
      <c r="J21" s="23" t="s">
        <v>38</v>
      </c>
      <c r="K21" s="25">
        <v>0.9</v>
      </c>
      <c r="L21" s="25">
        <v>0.9</v>
      </c>
      <c r="M21" s="25">
        <v>0.98</v>
      </c>
      <c r="N21" s="58">
        <v>0.98</v>
      </c>
      <c r="O21" s="25">
        <v>0.95</v>
      </c>
      <c r="P21" s="81">
        <v>3</v>
      </c>
      <c r="Q21" s="162">
        <f t="shared" ref="Q21" si="6">+P21*F21</f>
        <v>0.33</v>
      </c>
      <c r="R21" s="85"/>
      <c r="S21" s="83" t="s">
        <v>135</v>
      </c>
      <c r="T21" s="132" t="s">
        <v>60</v>
      </c>
      <c r="U21" s="132" t="s">
        <v>61</v>
      </c>
      <c r="V21" s="132" t="s">
        <v>62</v>
      </c>
      <c r="W21" s="132" t="s">
        <v>62</v>
      </c>
    </row>
    <row r="22" spans="1:23" s="4" customFormat="1" ht="16.2" customHeight="1" x14ac:dyDescent="0.3">
      <c r="A22" s="78"/>
      <c r="B22" s="78"/>
      <c r="C22" s="230"/>
      <c r="D22" s="83"/>
      <c r="E22" s="81"/>
      <c r="F22" s="83"/>
      <c r="G22" s="81"/>
      <c r="H22" s="81"/>
      <c r="I22" s="81"/>
      <c r="J22" s="23" t="s">
        <v>43</v>
      </c>
      <c r="K22" s="25">
        <v>0.95</v>
      </c>
      <c r="L22" s="25">
        <v>0.95</v>
      </c>
      <c r="M22" s="25">
        <v>0.95</v>
      </c>
      <c r="N22" s="58">
        <v>0.95</v>
      </c>
      <c r="O22" s="25" t="s">
        <v>61</v>
      </c>
      <c r="P22" s="81"/>
      <c r="Q22" s="163"/>
      <c r="R22" s="85"/>
      <c r="S22" s="83"/>
      <c r="T22" s="132"/>
      <c r="U22" s="132"/>
      <c r="V22" s="132"/>
      <c r="W22" s="132"/>
    </row>
    <row r="23" spans="1:23" s="4" customFormat="1" ht="16.2" hidden="1" customHeight="1" x14ac:dyDescent="0.3">
      <c r="A23" s="78"/>
      <c r="B23" s="78"/>
      <c r="C23" s="237" t="s">
        <v>131</v>
      </c>
      <c r="D23" s="83" t="s">
        <v>34</v>
      </c>
      <c r="E23" s="81" t="s">
        <v>35</v>
      </c>
      <c r="F23" s="83"/>
      <c r="G23" s="81" t="s">
        <v>36</v>
      </c>
      <c r="H23" s="81" t="s">
        <v>37</v>
      </c>
      <c r="I23" s="81">
        <v>0.95</v>
      </c>
      <c r="J23" s="23" t="s">
        <v>38</v>
      </c>
      <c r="K23" s="25">
        <v>0.9</v>
      </c>
      <c r="L23" s="25">
        <v>0.9</v>
      </c>
      <c r="M23" s="25">
        <v>0.98</v>
      </c>
      <c r="N23" s="25">
        <v>0.98</v>
      </c>
      <c r="O23" s="25">
        <v>0.95</v>
      </c>
      <c r="P23" s="81"/>
      <c r="Q23" s="162">
        <f>+P23*F23</f>
        <v>0</v>
      </c>
      <c r="R23" s="85"/>
      <c r="S23" s="83" t="s">
        <v>135</v>
      </c>
      <c r="T23" s="132" t="s">
        <v>60</v>
      </c>
      <c r="U23" s="132" t="s">
        <v>61</v>
      </c>
      <c r="V23" s="132" t="s">
        <v>62</v>
      </c>
      <c r="W23" s="132" t="s">
        <v>62</v>
      </c>
    </row>
    <row r="24" spans="1:23" s="4" customFormat="1" ht="16.2" hidden="1" customHeight="1" x14ac:dyDescent="0.3">
      <c r="A24" s="78"/>
      <c r="B24" s="78"/>
      <c r="C24" s="237"/>
      <c r="D24" s="83"/>
      <c r="E24" s="81"/>
      <c r="F24" s="83"/>
      <c r="G24" s="81"/>
      <c r="H24" s="81"/>
      <c r="I24" s="81"/>
      <c r="J24" s="23" t="s">
        <v>43</v>
      </c>
      <c r="K24" s="25">
        <v>0.95</v>
      </c>
      <c r="L24" s="25">
        <v>0.95</v>
      </c>
      <c r="M24" s="25">
        <v>0.95</v>
      </c>
      <c r="N24" s="25">
        <v>0.95</v>
      </c>
      <c r="O24" s="25" t="s">
        <v>61</v>
      </c>
      <c r="P24" s="81"/>
      <c r="Q24" s="163"/>
      <c r="R24" s="85"/>
      <c r="S24" s="83"/>
      <c r="T24" s="132"/>
      <c r="U24" s="132"/>
      <c r="V24" s="132"/>
      <c r="W24" s="132"/>
    </row>
    <row r="25" spans="1:23" s="3" customFormat="1" ht="16.2" hidden="1" customHeight="1" x14ac:dyDescent="0.3">
      <c r="A25" s="78"/>
      <c r="B25" s="78"/>
      <c r="C25" s="237" t="s">
        <v>132</v>
      </c>
      <c r="D25" s="83" t="s">
        <v>34</v>
      </c>
      <c r="E25" s="81" t="s">
        <v>35</v>
      </c>
      <c r="F25" s="83"/>
      <c r="G25" s="81" t="s">
        <v>36</v>
      </c>
      <c r="H25" s="81" t="s">
        <v>37</v>
      </c>
      <c r="I25" s="81">
        <v>0.95</v>
      </c>
      <c r="J25" s="23" t="s">
        <v>38</v>
      </c>
      <c r="K25" s="226">
        <v>0.9</v>
      </c>
      <c r="L25" s="227"/>
      <c r="M25" s="227"/>
      <c r="N25" s="228"/>
      <c r="O25" s="25">
        <v>0.95</v>
      </c>
      <c r="P25" s="81"/>
      <c r="Q25" s="162">
        <f>+P25*F25</f>
        <v>0</v>
      </c>
      <c r="R25" s="85"/>
      <c r="S25" s="83" t="s">
        <v>135</v>
      </c>
      <c r="T25" s="132" t="s">
        <v>60</v>
      </c>
      <c r="U25" s="132" t="s">
        <v>61</v>
      </c>
      <c r="V25" s="132" t="s">
        <v>62</v>
      </c>
      <c r="W25" s="132" t="s">
        <v>62</v>
      </c>
    </row>
    <row r="26" spans="1:23" s="3" customFormat="1" ht="16.2" hidden="1" customHeight="1" x14ac:dyDescent="0.3">
      <c r="A26" s="78"/>
      <c r="B26" s="78"/>
      <c r="C26" s="237"/>
      <c r="D26" s="83"/>
      <c r="E26" s="81"/>
      <c r="F26" s="83"/>
      <c r="G26" s="81"/>
      <c r="H26" s="81"/>
      <c r="I26" s="81"/>
      <c r="J26" s="23" t="s">
        <v>43</v>
      </c>
      <c r="K26" s="226">
        <v>0.95</v>
      </c>
      <c r="L26" s="227"/>
      <c r="M26" s="227"/>
      <c r="N26" s="228"/>
      <c r="O26" s="25" t="s">
        <v>61</v>
      </c>
      <c r="P26" s="81"/>
      <c r="Q26" s="163"/>
      <c r="R26" s="85"/>
      <c r="S26" s="83"/>
      <c r="T26" s="132"/>
      <c r="U26" s="132"/>
      <c r="V26" s="132"/>
      <c r="W26" s="132"/>
    </row>
    <row r="27" spans="1:23" s="3" customFormat="1" ht="16.2" hidden="1" customHeight="1" x14ac:dyDescent="0.3">
      <c r="A27" s="78"/>
      <c r="B27" s="78"/>
      <c r="C27" s="237" t="s">
        <v>133</v>
      </c>
      <c r="D27" s="83" t="s">
        <v>34</v>
      </c>
      <c r="E27" s="81" t="s">
        <v>35</v>
      </c>
      <c r="F27" s="83"/>
      <c r="G27" s="81" t="s">
        <v>36</v>
      </c>
      <c r="H27" s="81" t="s">
        <v>50</v>
      </c>
      <c r="I27" s="81"/>
      <c r="J27" s="23" t="s">
        <v>38</v>
      </c>
      <c r="K27" s="191" t="s">
        <v>62</v>
      </c>
      <c r="L27" s="192"/>
      <c r="M27" s="192"/>
      <c r="N27" s="193"/>
      <c r="O27" s="17" t="s">
        <v>62</v>
      </c>
      <c r="P27" s="81"/>
      <c r="Q27" s="162">
        <f>+P27*F27</f>
        <v>0</v>
      </c>
      <c r="R27" s="85"/>
      <c r="S27" s="83" t="s">
        <v>135</v>
      </c>
      <c r="T27" s="132" t="s">
        <v>60</v>
      </c>
      <c r="U27" s="132" t="s">
        <v>61</v>
      </c>
      <c r="V27" s="132" t="s">
        <v>62</v>
      </c>
      <c r="W27" s="132" t="s">
        <v>62</v>
      </c>
    </row>
    <row r="28" spans="1:23" s="3" customFormat="1" ht="16.2" hidden="1" customHeight="1" x14ac:dyDescent="0.3">
      <c r="A28" s="127"/>
      <c r="B28" s="127"/>
      <c r="C28" s="237"/>
      <c r="D28" s="83"/>
      <c r="E28" s="81"/>
      <c r="F28" s="83"/>
      <c r="G28" s="81"/>
      <c r="H28" s="81"/>
      <c r="I28" s="81"/>
      <c r="J28" s="23" t="s">
        <v>43</v>
      </c>
      <c r="K28" s="191" t="s">
        <v>62</v>
      </c>
      <c r="L28" s="192"/>
      <c r="M28" s="192"/>
      <c r="N28" s="193"/>
      <c r="O28" s="17" t="s">
        <v>62</v>
      </c>
      <c r="P28" s="81"/>
      <c r="Q28" s="163"/>
      <c r="R28" s="85"/>
      <c r="S28" s="83"/>
      <c r="T28" s="132"/>
      <c r="U28" s="132"/>
      <c r="V28" s="132"/>
      <c r="W28" s="132"/>
    </row>
    <row r="29" spans="1:23" s="3" customFormat="1" ht="16.2" customHeight="1" x14ac:dyDescent="0.3">
      <c r="A29" s="77" t="s">
        <v>76</v>
      </c>
      <c r="B29" s="77" t="s">
        <v>77</v>
      </c>
      <c r="C29" s="178" t="s">
        <v>78</v>
      </c>
      <c r="D29" s="118" t="s">
        <v>34</v>
      </c>
      <c r="E29" s="93" t="s">
        <v>79</v>
      </c>
      <c r="F29" s="118" t="s">
        <v>62</v>
      </c>
      <c r="G29" s="93" t="s">
        <v>58</v>
      </c>
      <c r="H29" s="93" t="s">
        <v>50</v>
      </c>
      <c r="I29" s="93"/>
      <c r="J29" s="27" t="s">
        <v>38</v>
      </c>
      <c r="K29" s="208"/>
      <c r="L29" s="209"/>
      <c r="M29" s="209"/>
      <c r="N29" s="210"/>
      <c r="O29" s="40"/>
      <c r="P29" s="88"/>
      <c r="Q29" s="162"/>
      <c r="R29" s="85"/>
      <c r="S29" s="83" t="s">
        <v>142</v>
      </c>
      <c r="T29" s="81" t="s">
        <v>80</v>
      </c>
      <c r="U29" s="79" t="s">
        <v>81</v>
      </c>
      <c r="V29" s="81" t="s">
        <v>82</v>
      </c>
      <c r="W29" s="81" t="s">
        <v>83</v>
      </c>
    </row>
    <row r="30" spans="1:23" s="3" customFormat="1" ht="26.25" customHeight="1" x14ac:dyDescent="0.3">
      <c r="A30" s="78"/>
      <c r="B30" s="78"/>
      <c r="C30" s="178"/>
      <c r="D30" s="93"/>
      <c r="E30" s="93"/>
      <c r="F30" s="118"/>
      <c r="G30" s="93"/>
      <c r="H30" s="93"/>
      <c r="I30" s="93"/>
      <c r="J30" s="27" t="s">
        <v>43</v>
      </c>
      <c r="K30" s="185"/>
      <c r="L30" s="186"/>
      <c r="M30" s="186"/>
      <c r="N30" s="187"/>
      <c r="O30" s="22"/>
      <c r="P30" s="88"/>
      <c r="Q30" s="163"/>
      <c r="R30" s="85"/>
      <c r="S30" s="81"/>
      <c r="T30" s="81"/>
      <c r="U30" s="80"/>
      <c r="V30" s="81"/>
      <c r="W30" s="81"/>
    </row>
    <row r="31" spans="1:23" s="3" customFormat="1" ht="16.2" customHeight="1" x14ac:dyDescent="0.3">
      <c r="A31" s="78"/>
      <c r="B31" s="78"/>
      <c r="C31" s="178" t="s">
        <v>84</v>
      </c>
      <c r="D31" s="118" t="s">
        <v>34</v>
      </c>
      <c r="E31" s="93" t="s">
        <v>79</v>
      </c>
      <c r="F31" s="118" t="s">
        <v>62</v>
      </c>
      <c r="G31" s="93" t="s">
        <v>58</v>
      </c>
      <c r="H31" s="93" t="s">
        <v>50</v>
      </c>
      <c r="I31" s="93"/>
      <c r="J31" s="27" t="s">
        <v>38</v>
      </c>
      <c r="K31" s="188"/>
      <c r="L31" s="189"/>
      <c r="M31" s="189"/>
      <c r="N31" s="190"/>
      <c r="O31" s="39"/>
      <c r="P31" s="93"/>
      <c r="Q31" s="162"/>
      <c r="R31" s="85"/>
      <c r="S31" s="83" t="s">
        <v>142</v>
      </c>
      <c r="T31" s="81" t="s">
        <v>80</v>
      </c>
      <c r="U31" s="79" t="s">
        <v>81</v>
      </c>
      <c r="V31" s="81" t="s">
        <v>82</v>
      </c>
      <c r="W31" s="81" t="s">
        <v>83</v>
      </c>
    </row>
    <row r="32" spans="1:23" s="3" customFormat="1" ht="27.75" customHeight="1" x14ac:dyDescent="0.3">
      <c r="A32" s="78"/>
      <c r="B32" s="78"/>
      <c r="C32" s="178"/>
      <c r="D32" s="93"/>
      <c r="E32" s="93"/>
      <c r="F32" s="118"/>
      <c r="G32" s="93"/>
      <c r="H32" s="93"/>
      <c r="I32" s="93"/>
      <c r="J32" s="27" t="s">
        <v>43</v>
      </c>
      <c r="K32" s="185"/>
      <c r="L32" s="186"/>
      <c r="M32" s="186"/>
      <c r="N32" s="187"/>
      <c r="O32" s="22"/>
      <c r="P32" s="93"/>
      <c r="Q32" s="163"/>
      <c r="R32" s="85"/>
      <c r="S32" s="81"/>
      <c r="T32" s="81"/>
      <c r="U32" s="80"/>
      <c r="V32" s="81"/>
      <c r="W32" s="81"/>
    </row>
    <row r="33" spans="1:23" s="3" customFormat="1" ht="16.2" customHeight="1" x14ac:dyDescent="0.3">
      <c r="A33" s="78"/>
      <c r="B33" s="78"/>
      <c r="C33" s="178" t="s">
        <v>240</v>
      </c>
      <c r="D33" s="118" t="s">
        <v>34</v>
      </c>
      <c r="E33" s="93" t="s">
        <v>79</v>
      </c>
      <c r="F33" s="118" t="s">
        <v>62</v>
      </c>
      <c r="G33" s="93" t="s">
        <v>58</v>
      </c>
      <c r="H33" s="93" t="s">
        <v>50</v>
      </c>
      <c r="I33" s="93"/>
      <c r="J33" s="27" t="s">
        <v>38</v>
      </c>
      <c r="K33" s="188"/>
      <c r="L33" s="189"/>
      <c r="M33" s="189"/>
      <c r="N33" s="190"/>
      <c r="O33" s="39"/>
      <c r="P33" s="93"/>
      <c r="Q33" s="162"/>
      <c r="R33" s="85"/>
      <c r="S33" s="83" t="s">
        <v>142</v>
      </c>
      <c r="T33" s="81" t="s">
        <v>80</v>
      </c>
      <c r="U33" s="79" t="s">
        <v>81</v>
      </c>
      <c r="V33" s="81" t="s">
        <v>82</v>
      </c>
      <c r="W33" s="81" t="s">
        <v>83</v>
      </c>
    </row>
    <row r="34" spans="1:23" s="3" customFormat="1" ht="30.75" customHeight="1" x14ac:dyDescent="0.3">
      <c r="A34" s="78"/>
      <c r="B34" s="78"/>
      <c r="C34" s="178"/>
      <c r="D34" s="93"/>
      <c r="E34" s="93"/>
      <c r="F34" s="118"/>
      <c r="G34" s="93"/>
      <c r="H34" s="93"/>
      <c r="I34" s="93"/>
      <c r="J34" s="27" t="s">
        <v>43</v>
      </c>
      <c r="K34" s="185"/>
      <c r="L34" s="186"/>
      <c r="M34" s="186"/>
      <c r="N34" s="187"/>
      <c r="O34" s="22"/>
      <c r="P34" s="93"/>
      <c r="Q34" s="163"/>
      <c r="R34" s="85"/>
      <c r="S34" s="81"/>
      <c r="T34" s="81"/>
      <c r="U34" s="80"/>
      <c r="V34" s="81"/>
      <c r="W34" s="81"/>
    </row>
    <row r="35" spans="1:23" s="3" customFormat="1" ht="16.2" customHeight="1" x14ac:dyDescent="0.3">
      <c r="A35" s="220"/>
      <c r="B35" s="106" t="s">
        <v>209</v>
      </c>
      <c r="C35" s="116" t="s">
        <v>93</v>
      </c>
      <c r="D35" s="83" t="s">
        <v>34</v>
      </c>
      <c r="E35" s="81" t="s">
        <v>35</v>
      </c>
      <c r="F35" s="83">
        <v>0.05</v>
      </c>
      <c r="G35" s="81" t="s">
        <v>64</v>
      </c>
      <c r="H35" s="81" t="s">
        <v>59</v>
      </c>
      <c r="I35" s="81">
        <v>18</v>
      </c>
      <c r="J35" s="23" t="s">
        <v>38</v>
      </c>
      <c r="K35" s="23">
        <v>1</v>
      </c>
      <c r="L35" s="23">
        <v>1</v>
      </c>
      <c r="M35" s="23">
        <v>2</v>
      </c>
      <c r="N35" s="23">
        <v>2</v>
      </c>
      <c r="O35" s="32">
        <v>6</v>
      </c>
      <c r="P35" s="81">
        <v>3</v>
      </c>
      <c r="Q35" s="162">
        <f t="shared" ref="Q35" si="7">+P35*F35</f>
        <v>0.15000000000000002</v>
      </c>
      <c r="R35" s="85"/>
      <c r="S35" s="97" t="s">
        <v>94</v>
      </c>
      <c r="T35" s="97" t="s">
        <v>95</v>
      </c>
      <c r="U35" s="97" t="s">
        <v>96</v>
      </c>
      <c r="V35" s="97" t="s">
        <v>97</v>
      </c>
      <c r="W35" s="90" t="s">
        <v>98</v>
      </c>
    </row>
    <row r="36" spans="1:23" s="3" customFormat="1" ht="16.2" customHeight="1" x14ac:dyDescent="0.3">
      <c r="A36" s="220"/>
      <c r="B36" s="106"/>
      <c r="C36" s="116"/>
      <c r="D36" s="81"/>
      <c r="E36" s="81"/>
      <c r="F36" s="83"/>
      <c r="G36" s="81"/>
      <c r="H36" s="81"/>
      <c r="I36" s="81"/>
      <c r="J36" s="23" t="s">
        <v>43</v>
      </c>
      <c r="K36" s="23">
        <v>2</v>
      </c>
      <c r="L36" s="23">
        <v>2</v>
      </c>
      <c r="M36" s="23">
        <v>2</v>
      </c>
      <c r="N36" s="23">
        <v>2</v>
      </c>
      <c r="O36" s="33" t="s">
        <v>96</v>
      </c>
      <c r="P36" s="81"/>
      <c r="Q36" s="163"/>
      <c r="R36" s="85"/>
      <c r="S36" s="98"/>
      <c r="T36" s="98"/>
      <c r="U36" s="98"/>
      <c r="V36" s="98"/>
      <c r="W36" s="97"/>
    </row>
    <row r="37" spans="1:23" s="3" customFormat="1" ht="16.2" customHeight="1" x14ac:dyDescent="0.3">
      <c r="A37" s="220"/>
      <c r="B37" s="106"/>
      <c r="C37" s="125" t="s">
        <v>99</v>
      </c>
      <c r="D37" s="96" t="s">
        <v>34</v>
      </c>
      <c r="E37" s="95" t="s">
        <v>35</v>
      </c>
      <c r="F37" s="96">
        <v>0.05</v>
      </c>
      <c r="G37" s="95" t="s">
        <v>64</v>
      </c>
      <c r="H37" s="95" t="s">
        <v>59</v>
      </c>
      <c r="I37" s="95">
        <v>732</v>
      </c>
      <c r="J37" s="28" t="s">
        <v>38</v>
      </c>
      <c r="K37" s="28">
        <v>300</v>
      </c>
      <c r="L37" s="28">
        <v>29</v>
      </c>
      <c r="M37" s="28">
        <v>86</v>
      </c>
      <c r="N37" s="28">
        <v>490</v>
      </c>
      <c r="O37" s="28">
        <f>SUM(K37:N37)</f>
        <v>905</v>
      </c>
      <c r="P37" s="95">
        <v>2</v>
      </c>
      <c r="Q37" s="162">
        <f t="shared" ref="Q37" si="8">+P37*F37</f>
        <v>0.1</v>
      </c>
      <c r="R37" s="91"/>
      <c r="S37" s="176" t="s">
        <v>241</v>
      </c>
      <c r="T37" s="176" t="s">
        <v>242</v>
      </c>
      <c r="U37" s="176" t="s">
        <v>243</v>
      </c>
      <c r="V37" s="173" t="s">
        <v>244</v>
      </c>
      <c r="W37" s="93" t="s">
        <v>245</v>
      </c>
    </row>
    <row r="38" spans="1:23" s="3" customFormat="1" ht="16.2" customHeight="1" x14ac:dyDescent="0.3">
      <c r="A38" s="220"/>
      <c r="B38" s="106"/>
      <c r="C38" s="125"/>
      <c r="D38" s="95"/>
      <c r="E38" s="95"/>
      <c r="F38" s="96"/>
      <c r="G38" s="95"/>
      <c r="H38" s="95"/>
      <c r="I38" s="95"/>
      <c r="J38" s="28" t="s">
        <v>43</v>
      </c>
      <c r="K38" s="28">
        <v>350</v>
      </c>
      <c r="L38" s="28">
        <v>150</v>
      </c>
      <c r="M38" s="28">
        <v>250</v>
      </c>
      <c r="N38" s="28">
        <v>350</v>
      </c>
      <c r="O38" s="28" t="s">
        <v>243</v>
      </c>
      <c r="P38" s="95"/>
      <c r="Q38" s="163"/>
      <c r="R38" s="91"/>
      <c r="S38" s="177"/>
      <c r="T38" s="177"/>
      <c r="U38" s="177"/>
      <c r="V38" s="173"/>
      <c r="W38" s="93"/>
    </row>
    <row r="39" spans="1:23" s="3" customFormat="1" ht="16.2" customHeight="1" x14ac:dyDescent="0.3">
      <c r="A39" s="220"/>
      <c r="B39" s="106" t="s">
        <v>210</v>
      </c>
      <c r="C39" s="115" t="s">
        <v>86</v>
      </c>
      <c r="D39" s="101" t="s">
        <v>34</v>
      </c>
      <c r="E39" s="80" t="s">
        <v>35</v>
      </c>
      <c r="F39" s="101">
        <v>0.04</v>
      </c>
      <c r="G39" s="80" t="s">
        <v>64</v>
      </c>
      <c r="H39" s="80" t="s">
        <v>211</v>
      </c>
      <c r="I39" s="80">
        <v>78</v>
      </c>
      <c r="J39" s="30" t="s">
        <v>38</v>
      </c>
      <c r="K39" s="30">
        <v>7</v>
      </c>
      <c r="L39" s="30">
        <v>10</v>
      </c>
      <c r="M39" s="30">
        <v>12</v>
      </c>
      <c r="N39" s="30">
        <v>10</v>
      </c>
      <c r="O39" s="28">
        <f>SUM(K39:N39)</f>
        <v>39</v>
      </c>
      <c r="P39" s="80">
        <v>2</v>
      </c>
      <c r="Q39" s="162">
        <f t="shared" ref="Q39" si="9">+P39*F39</f>
        <v>0.08</v>
      </c>
      <c r="R39" s="85"/>
      <c r="S39" s="81" t="s">
        <v>231</v>
      </c>
      <c r="T39" s="81" t="s">
        <v>232</v>
      </c>
      <c r="U39" s="81" t="s">
        <v>233</v>
      </c>
      <c r="V39" s="81" t="s">
        <v>234</v>
      </c>
      <c r="W39" s="81" t="s">
        <v>140</v>
      </c>
    </row>
    <row r="40" spans="1:23" ht="16.2" customHeight="1" x14ac:dyDescent="0.3">
      <c r="A40" s="220"/>
      <c r="B40" s="106"/>
      <c r="C40" s="116"/>
      <c r="D40" s="81"/>
      <c r="E40" s="81"/>
      <c r="F40" s="83"/>
      <c r="G40" s="81"/>
      <c r="H40" s="81"/>
      <c r="I40" s="81"/>
      <c r="J40" s="23" t="s">
        <v>43</v>
      </c>
      <c r="K40" s="23">
        <v>18</v>
      </c>
      <c r="L40" s="23">
        <v>18</v>
      </c>
      <c r="M40" s="23">
        <v>18</v>
      </c>
      <c r="N40" s="23">
        <v>18</v>
      </c>
      <c r="O40" s="23" t="s">
        <v>89</v>
      </c>
      <c r="P40" s="81"/>
      <c r="Q40" s="163"/>
      <c r="R40" s="85"/>
      <c r="S40" s="81"/>
      <c r="T40" s="81"/>
      <c r="U40" s="81"/>
      <c r="V40" s="81"/>
      <c r="W40" s="81"/>
    </row>
    <row r="41" spans="1:23" s="3" customFormat="1" ht="16.2" customHeight="1" x14ac:dyDescent="0.3">
      <c r="A41" s="220"/>
      <c r="B41" s="106"/>
      <c r="C41" s="116" t="s">
        <v>91</v>
      </c>
      <c r="D41" s="83" t="s">
        <v>34</v>
      </c>
      <c r="E41" s="81" t="s">
        <v>35</v>
      </c>
      <c r="F41" s="83">
        <v>0.04</v>
      </c>
      <c r="G41" s="81" t="s">
        <v>64</v>
      </c>
      <c r="H41" s="81" t="s">
        <v>59</v>
      </c>
      <c r="I41" s="81">
        <v>53</v>
      </c>
      <c r="J41" s="23" t="s">
        <v>38</v>
      </c>
      <c r="K41" s="23">
        <v>10</v>
      </c>
      <c r="L41" s="23">
        <v>14</v>
      </c>
      <c r="M41" s="23">
        <v>18</v>
      </c>
      <c r="N41" s="23">
        <v>22</v>
      </c>
      <c r="O41" s="28">
        <f>SUM(K41:N41)</f>
        <v>64</v>
      </c>
      <c r="P41" s="81">
        <v>4</v>
      </c>
      <c r="Q41" s="162">
        <f t="shared" ref="Q41" si="10">+P41*F41</f>
        <v>0.16</v>
      </c>
      <c r="R41" s="85"/>
      <c r="S41" s="81" t="s">
        <v>145</v>
      </c>
      <c r="T41" s="81" t="s">
        <v>87</v>
      </c>
      <c r="U41" s="81" t="s">
        <v>88</v>
      </c>
      <c r="V41" s="81" t="s">
        <v>89</v>
      </c>
      <c r="W41" s="81" t="s">
        <v>90</v>
      </c>
    </row>
    <row r="42" spans="1:23" s="3" customFormat="1" ht="16.2" customHeight="1" x14ac:dyDescent="0.3">
      <c r="A42" s="220"/>
      <c r="B42" s="106"/>
      <c r="C42" s="116"/>
      <c r="D42" s="81"/>
      <c r="E42" s="81"/>
      <c r="F42" s="83"/>
      <c r="G42" s="81"/>
      <c r="H42" s="81"/>
      <c r="I42" s="81"/>
      <c r="J42" s="23" t="s">
        <v>43</v>
      </c>
      <c r="K42" s="23">
        <v>14</v>
      </c>
      <c r="L42" s="23">
        <v>14</v>
      </c>
      <c r="M42" s="23">
        <v>14</v>
      </c>
      <c r="N42" s="23">
        <v>14</v>
      </c>
      <c r="O42" s="23" t="s">
        <v>88</v>
      </c>
      <c r="P42" s="81"/>
      <c r="Q42" s="163"/>
      <c r="R42" s="85"/>
      <c r="S42" s="81"/>
      <c r="T42" s="81"/>
      <c r="U42" s="81"/>
      <c r="V42" s="81"/>
      <c r="W42" s="81"/>
    </row>
    <row r="43" spans="1:23" s="3" customFormat="1" ht="16.2" customHeight="1" x14ac:dyDescent="0.3">
      <c r="A43" s="220"/>
      <c r="B43" s="106"/>
      <c r="C43" s="116" t="s">
        <v>109</v>
      </c>
      <c r="D43" s="83" t="s">
        <v>110</v>
      </c>
      <c r="E43" s="81" t="s">
        <v>62</v>
      </c>
      <c r="F43" s="83" t="s">
        <v>62</v>
      </c>
      <c r="G43" s="81" t="s">
        <v>64</v>
      </c>
      <c r="H43" s="81" t="s">
        <v>50</v>
      </c>
      <c r="I43" s="81">
        <v>750</v>
      </c>
      <c r="J43" s="23" t="s">
        <v>38</v>
      </c>
      <c r="K43" s="169"/>
      <c r="L43" s="170"/>
      <c r="M43" s="170"/>
      <c r="N43" s="171"/>
      <c r="O43" s="23"/>
      <c r="P43" s="81"/>
      <c r="Q43" s="162"/>
      <c r="R43" s="85"/>
      <c r="S43" s="90" t="s">
        <v>62</v>
      </c>
      <c r="T43" s="90" t="s">
        <v>62</v>
      </c>
      <c r="U43" s="90" t="s">
        <v>62</v>
      </c>
      <c r="V43" s="90" t="s">
        <v>62</v>
      </c>
      <c r="W43" s="90" t="s">
        <v>62</v>
      </c>
    </row>
    <row r="44" spans="1:23" ht="16.2" customHeight="1" x14ac:dyDescent="0.3">
      <c r="A44" s="220"/>
      <c r="B44" s="106"/>
      <c r="C44" s="116"/>
      <c r="D44" s="81"/>
      <c r="E44" s="81"/>
      <c r="F44" s="83"/>
      <c r="G44" s="81"/>
      <c r="H44" s="81"/>
      <c r="I44" s="81"/>
      <c r="J44" s="23" t="s">
        <v>43</v>
      </c>
      <c r="K44" s="169"/>
      <c r="L44" s="170"/>
      <c r="M44" s="170"/>
      <c r="N44" s="171"/>
      <c r="O44" s="23">
        <v>750</v>
      </c>
      <c r="P44" s="81"/>
      <c r="Q44" s="163"/>
      <c r="R44" s="85"/>
      <c r="S44" s="90"/>
      <c r="T44" s="90"/>
      <c r="U44" s="90"/>
      <c r="V44" s="90"/>
      <c r="W44" s="90"/>
    </row>
    <row r="45" spans="1:23" s="3" customFormat="1" ht="16.2" customHeight="1" x14ac:dyDescent="0.3">
      <c r="A45" s="220"/>
      <c r="B45" s="106"/>
      <c r="C45" s="116" t="s">
        <v>111</v>
      </c>
      <c r="D45" s="83" t="s">
        <v>110</v>
      </c>
      <c r="E45" s="81" t="s">
        <v>62</v>
      </c>
      <c r="F45" s="83" t="s">
        <v>62</v>
      </c>
      <c r="G45" s="81" t="s">
        <v>64</v>
      </c>
      <c r="H45" s="81" t="s">
        <v>148</v>
      </c>
      <c r="I45" s="81">
        <v>5</v>
      </c>
      <c r="J45" s="23" t="s">
        <v>38</v>
      </c>
      <c r="K45" s="169"/>
      <c r="L45" s="170"/>
      <c r="M45" s="170"/>
      <c r="N45" s="171"/>
      <c r="O45" s="23">
        <v>6</v>
      </c>
      <c r="P45" s="81"/>
      <c r="Q45" s="162"/>
      <c r="R45" s="85" t="s">
        <v>246</v>
      </c>
      <c r="S45" s="90" t="s">
        <v>62</v>
      </c>
      <c r="T45" s="90" t="s">
        <v>62</v>
      </c>
      <c r="U45" s="90" t="s">
        <v>62</v>
      </c>
      <c r="V45" s="90" t="s">
        <v>62</v>
      </c>
      <c r="W45" s="90" t="s">
        <v>62</v>
      </c>
    </row>
    <row r="46" spans="1:23" s="3" customFormat="1" ht="16.2" customHeight="1" x14ac:dyDescent="0.3">
      <c r="A46" s="220"/>
      <c r="B46" s="106"/>
      <c r="C46" s="116"/>
      <c r="D46" s="81"/>
      <c r="E46" s="81"/>
      <c r="F46" s="83"/>
      <c r="G46" s="81"/>
      <c r="H46" s="81"/>
      <c r="I46" s="81"/>
      <c r="J46" s="23" t="s">
        <v>43</v>
      </c>
      <c r="K46" s="169"/>
      <c r="L46" s="170"/>
      <c r="M46" s="170"/>
      <c r="N46" s="171"/>
      <c r="O46" s="23"/>
      <c r="P46" s="81"/>
      <c r="Q46" s="163"/>
      <c r="R46" s="85"/>
      <c r="S46" s="90"/>
      <c r="T46" s="90"/>
      <c r="U46" s="90"/>
      <c r="V46" s="90"/>
      <c r="W46" s="90"/>
    </row>
    <row r="47" spans="1:23" s="3" customFormat="1" ht="16.2" customHeight="1" x14ac:dyDescent="0.3">
      <c r="A47" s="220"/>
      <c r="B47" s="106"/>
      <c r="C47" s="116" t="s">
        <v>112</v>
      </c>
      <c r="D47" s="83" t="s">
        <v>34</v>
      </c>
      <c r="E47" s="81" t="s">
        <v>35</v>
      </c>
      <c r="F47" s="83">
        <v>0.04</v>
      </c>
      <c r="G47" s="81" t="s">
        <v>64</v>
      </c>
      <c r="H47" s="81" t="s">
        <v>106</v>
      </c>
      <c r="I47" s="81">
        <v>2</v>
      </c>
      <c r="J47" s="23" t="s">
        <v>38</v>
      </c>
      <c r="K47" s="23">
        <v>0</v>
      </c>
      <c r="L47" s="23">
        <v>1</v>
      </c>
      <c r="M47" s="23">
        <v>2</v>
      </c>
      <c r="N47" s="23">
        <v>3</v>
      </c>
      <c r="O47" s="23">
        <v>6</v>
      </c>
      <c r="P47" s="81">
        <v>4</v>
      </c>
      <c r="Q47" s="162">
        <f t="shared" ref="Q47" si="11">+P47*F47</f>
        <v>0.16</v>
      </c>
      <c r="R47" s="246"/>
      <c r="S47" s="90" t="s">
        <v>62</v>
      </c>
      <c r="T47" s="90" t="s">
        <v>113</v>
      </c>
      <c r="U47" s="90" t="s">
        <v>114</v>
      </c>
      <c r="V47" s="90" t="s">
        <v>115</v>
      </c>
      <c r="W47" s="90" t="s">
        <v>116</v>
      </c>
    </row>
    <row r="48" spans="1:23" s="3" customFormat="1" ht="16.2" customHeight="1" x14ac:dyDescent="0.3">
      <c r="A48" s="220"/>
      <c r="B48" s="106"/>
      <c r="C48" s="116"/>
      <c r="D48" s="81"/>
      <c r="E48" s="81"/>
      <c r="F48" s="83"/>
      <c r="G48" s="81"/>
      <c r="H48" s="81"/>
      <c r="I48" s="81"/>
      <c r="J48" s="23" t="s">
        <v>43</v>
      </c>
      <c r="K48" s="23" t="s">
        <v>62</v>
      </c>
      <c r="L48" s="23">
        <v>1</v>
      </c>
      <c r="M48" s="23">
        <v>1</v>
      </c>
      <c r="N48" s="23">
        <v>1</v>
      </c>
      <c r="O48" s="33" t="s">
        <v>114</v>
      </c>
      <c r="P48" s="81"/>
      <c r="Q48" s="163"/>
      <c r="R48" s="246"/>
      <c r="S48" s="90"/>
      <c r="T48" s="90"/>
      <c r="U48" s="90"/>
      <c r="V48" s="90"/>
      <c r="W48" s="90"/>
    </row>
    <row r="49" spans="1:23" s="3" customFormat="1" ht="16.2" customHeight="1" x14ac:dyDescent="0.3">
      <c r="A49" s="220"/>
      <c r="B49" s="106"/>
      <c r="C49" s="238" t="s">
        <v>175</v>
      </c>
      <c r="D49" s="83" t="s">
        <v>34</v>
      </c>
      <c r="E49" s="81" t="s">
        <v>35</v>
      </c>
      <c r="F49" s="83">
        <v>7.0000000000000007E-2</v>
      </c>
      <c r="G49" s="79" t="s">
        <v>176</v>
      </c>
      <c r="H49" s="81" t="s">
        <v>106</v>
      </c>
      <c r="I49" s="81">
        <v>37</v>
      </c>
      <c r="J49" s="23" t="s">
        <v>38</v>
      </c>
      <c r="K49" s="223">
        <v>16</v>
      </c>
      <c r="L49" s="224"/>
      <c r="M49" s="223">
        <v>15</v>
      </c>
      <c r="N49" s="224"/>
      <c r="O49" s="28">
        <f>SUM(K49:N49)</f>
        <v>31</v>
      </c>
      <c r="P49" s="81">
        <v>4</v>
      </c>
      <c r="Q49" s="162">
        <f t="shared" ref="Q49" si="12">+P49*F49</f>
        <v>0.28000000000000003</v>
      </c>
      <c r="R49" s="247" t="s">
        <v>247</v>
      </c>
      <c r="S49" s="90" t="s">
        <v>212</v>
      </c>
      <c r="T49" s="90" t="s">
        <v>213</v>
      </c>
      <c r="U49" s="90" t="s">
        <v>183</v>
      </c>
      <c r="V49" s="90" t="s">
        <v>214</v>
      </c>
      <c r="W49" s="90" t="s">
        <v>215</v>
      </c>
    </row>
    <row r="50" spans="1:23" s="3" customFormat="1" ht="16.2" customHeight="1" x14ac:dyDescent="0.3">
      <c r="A50" s="220"/>
      <c r="B50" s="106"/>
      <c r="C50" s="239"/>
      <c r="D50" s="81"/>
      <c r="E50" s="81"/>
      <c r="F50" s="81"/>
      <c r="G50" s="80"/>
      <c r="H50" s="81"/>
      <c r="I50" s="81"/>
      <c r="J50" s="23" t="s">
        <v>43</v>
      </c>
      <c r="K50" s="223">
        <v>12</v>
      </c>
      <c r="L50" s="224"/>
      <c r="M50" s="223">
        <v>12</v>
      </c>
      <c r="N50" s="224"/>
      <c r="O50" s="18" t="s">
        <v>183</v>
      </c>
      <c r="P50" s="81"/>
      <c r="Q50" s="163"/>
      <c r="R50" s="247"/>
      <c r="S50" s="90"/>
      <c r="T50" s="90"/>
      <c r="U50" s="90"/>
      <c r="V50" s="90"/>
      <c r="W50" s="90"/>
    </row>
    <row r="51" spans="1:23" s="3" customFormat="1" ht="20.399999999999999" customHeight="1" x14ac:dyDescent="0.3">
      <c r="A51" s="220"/>
      <c r="B51" s="106"/>
      <c r="C51" s="120" t="s">
        <v>220</v>
      </c>
      <c r="D51" s="83" t="s">
        <v>34</v>
      </c>
      <c r="E51" s="81" t="s">
        <v>35</v>
      </c>
      <c r="F51" s="83">
        <v>0.04</v>
      </c>
      <c r="G51" s="79" t="s">
        <v>176</v>
      </c>
      <c r="H51" s="81" t="s">
        <v>106</v>
      </c>
      <c r="I51" s="81">
        <v>0</v>
      </c>
      <c r="J51" s="23" t="s">
        <v>38</v>
      </c>
      <c r="K51" s="53">
        <v>0</v>
      </c>
      <c r="L51" s="53">
        <v>0</v>
      </c>
      <c r="M51" s="53">
        <v>1</v>
      </c>
      <c r="N51" s="53">
        <v>1</v>
      </c>
      <c r="O51" s="19">
        <v>2</v>
      </c>
      <c r="P51" s="81">
        <v>3</v>
      </c>
      <c r="Q51" s="162">
        <f t="shared" ref="Q51" si="13">+P51*F51</f>
        <v>0.12</v>
      </c>
      <c r="R51" s="240" t="s">
        <v>248</v>
      </c>
      <c r="S51" s="90" t="s">
        <v>62</v>
      </c>
      <c r="T51" s="90" t="s">
        <v>113</v>
      </c>
      <c r="U51" s="90" t="s">
        <v>114</v>
      </c>
      <c r="V51" s="90" t="s">
        <v>115</v>
      </c>
      <c r="W51" s="90" t="s">
        <v>116</v>
      </c>
    </row>
    <row r="52" spans="1:23" s="3" customFormat="1" ht="20.399999999999999" customHeight="1" x14ac:dyDescent="0.3">
      <c r="A52" s="220"/>
      <c r="B52" s="106"/>
      <c r="C52" s="121"/>
      <c r="D52" s="81"/>
      <c r="E52" s="81"/>
      <c r="F52" s="81"/>
      <c r="G52" s="80"/>
      <c r="H52" s="81"/>
      <c r="I52" s="81"/>
      <c r="J52" s="23" t="s">
        <v>43</v>
      </c>
      <c r="K52" s="223">
        <v>2</v>
      </c>
      <c r="L52" s="224"/>
      <c r="M52" s="223">
        <v>2</v>
      </c>
      <c r="N52" s="224"/>
      <c r="O52" s="19">
        <v>4</v>
      </c>
      <c r="P52" s="81"/>
      <c r="Q52" s="163"/>
      <c r="R52" s="240"/>
      <c r="S52" s="90"/>
      <c r="T52" s="90"/>
      <c r="U52" s="90"/>
      <c r="V52" s="90"/>
      <c r="W52" s="90"/>
    </row>
    <row r="53" spans="1:23" s="3" customFormat="1" ht="16.2" customHeight="1" x14ac:dyDescent="0.3">
      <c r="A53" s="78"/>
      <c r="B53" s="221" t="s">
        <v>221</v>
      </c>
      <c r="C53" s="241" t="s">
        <v>105</v>
      </c>
      <c r="D53" s="83" t="s">
        <v>34</v>
      </c>
      <c r="E53" s="81" t="s">
        <v>57</v>
      </c>
      <c r="F53" s="83">
        <v>0.11</v>
      </c>
      <c r="G53" s="81" t="s">
        <v>58</v>
      </c>
      <c r="H53" s="81" t="s">
        <v>106</v>
      </c>
      <c r="I53" s="81">
        <v>96</v>
      </c>
      <c r="J53" s="23" t="s">
        <v>38</v>
      </c>
      <c r="K53" s="29">
        <v>0.99</v>
      </c>
      <c r="L53" s="25">
        <v>0.98</v>
      </c>
      <c r="M53" s="25">
        <v>0.99</v>
      </c>
      <c r="N53" s="25">
        <v>0.97</v>
      </c>
      <c r="O53" s="25">
        <v>0.98</v>
      </c>
      <c r="P53" s="81">
        <v>3</v>
      </c>
      <c r="Q53" s="162">
        <f t="shared" ref="Q53" si="14">+P53*F53</f>
        <v>0.33</v>
      </c>
      <c r="R53" s="85"/>
      <c r="S53" s="83" t="s">
        <v>135</v>
      </c>
      <c r="T53" s="132" t="s">
        <v>60</v>
      </c>
      <c r="U53" s="132" t="s">
        <v>61</v>
      </c>
      <c r="V53" s="132" t="s">
        <v>62</v>
      </c>
      <c r="W53" s="172" t="s">
        <v>62</v>
      </c>
    </row>
    <row r="54" spans="1:23" s="3" customFormat="1" ht="16.2" customHeight="1" x14ac:dyDescent="0.3">
      <c r="A54" s="78"/>
      <c r="B54" s="179"/>
      <c r="C54" s="241"/>
      <c r="D54" s="81"/>
      <c r="E54" s="81"/>
      <c r="F54" s="83"/>
      <c r="G54" s="81"/>
      <c r="H54" s="81"/>
      <c r="I54" s="81"/>
      <c r="J54" s="23" t="s">
        <v>43</v>
      </c>
      <c r="K54" s="29" t="s">
        <v>61</v>
      </c>
      <c r="L54" s="35" t="s">
        <v>61</v>
      </c>
      <c r="M54" s="29" t="s">
        <v>61</v>
      </c>
      <c r="N54" s="35" t="s">
        <v>61</v>
      </c>
      <c r="O54" s="29" t="s">
        <v>61</v>
      </c>
      <c r="P54" s="81"/>
      <c r="Q54" s="163"/>
      <c r="R54" s="85"/>
      <c r="S54" s="83"/>
      <c r="T54" s="132"/>
      <c r="U54" s="132"/>
      <c r="V54" s="132"/>
      <c r="W54" s="132"/>
    </row>
    <row r="55" spans="1:23" s="3" customFormat="1" ht="16.2" customHeight="1" x14ac:dyDescent="0.3">
      <c r="A55" s="78"/>
      <c r="B55" s="128" t="s">
        <v>222</v>
      </c>
      <c r="C55" s="82" t="s">
        <v>119</v>
      </c>
      <c r="D55" s="83" t="s">
        <v>34</v>
      </c>
      <c r="E55" s="81" t="s">
        <v>35</v>
      </c>
      <c r="F55" s="83">
        <v>0.04</v>
      </c>
      <c r="G55" s="81" t="s">
        <v>58</v>
      </c>
      <c r="H55" s="81" t="s">
        <v>50</v>
      </c>
      <c r="I55" s="81">
        <v>89</v>
      </c>
      <c r="J55" s="23" t="s">
        <v>38</v>
      </c>
      <c r="K55" s="29">
        <v>0.95</v>
      </c>
      <c r="L55" s="29">
        <v>0.85</v>
      </c>
      <c r="M55" s="29">
        <v>0.75</v>
      </c>
      <c r="N55" s="29">
        <v>0.8</v>
      </c>
      <c r="O55" s="25">
        <v>0.85</v>
      </c>
      <c r="P55" s="81">
        <v>5</v>
      </c>
      <c r="Q55" s="162">
        <f t="shared" ref="Q55" si="15">+P55*F55</f>
        <v>0.2</v>
      </c>
      <c r="R55" s="85"/>
      <c r="S55" s="90" t="s">
        <v>71</v>
      </c>
      <c r="T55" s="90" t="s">
        <v>72</v>
      </c>
      <c r="U55" s="90" t="s">
        <v>73</v>
      </c>
      <c r="V55" s="90" t="s">
        <v>74</v>
      </c>
      <c r="W55" s="90" t="s">
        <v>75</v>
      </c>
    </row>
    <row r="56" spans="1:23" s="3" customFormat="1" ht="16.2" customHeight="1" x14ac:dyDescent="0.3">
      <c r="A56" s="78"/>
      <c r="B56" s="128"/>
      <c r="C56" s="82"/>
      <c r="D56" s="81"/>
      <c r="E56" s="81"/>
      <c r="F56" s="83"/>
      <c r="G56" s="81"/>
      <c r="H56" s="81"/>
      <c r="I56" s="81"/>
      <c r="J56" s="23" t="s">
        <v>43</v>
      </c>
      <c r="K56" s="29" t="s">
        <v>249</v>
      </c>
      <c r="L56" s="29" t="s">
        <v>249</v>
      </c>
      <c r="M56" s="29" t="s">
        <v>249</v>
      </c>
      <c r="N56" s="29" t="s">
        <v>249</v>
      </c>
      <c r="O56" s="29" t="s">
        <v>249</v>
      </c>
      <c r="P56" s="81"/>
      <c r="Q56" s="163"/>
      <c r="R56" s="85"/>
      <c r="S56" s="90"/>
      <c r="T56" s="90"/>
      <c r="U56" s="90"/>
      <c r="V56" s="90"/>
      <c r="W56" s="90"/>
    </row>
    <row r="57" spans="1:23" s="3" customFormat="1" ht="16.2" customHeight="1" x14ac:dyDescent="0.3">
      <c r="A57" s="128" t="s">
        <v>107</v>
      </c>
      <c r="B57" s="244" t="s">
        <v>250</v>
      </c>
      <c r="C57" s="120" t="s">
        <v>251</v>
      </c>
      <c r="D57" s="83" t="s">
        <v>34</v>
      </c>
      <c r="E57" s="79" t="s">
        <v>57</v>
      </c>
      <c r="F57" s="122">
        <v>0.06</v>
      </c>
      <c r="G57" s="79" t="s">
        <v>64</v>
      </c>
      <c r="H57" s="79" t="s">
        <v>252</v>
      </c>
      <c r="I57" s="79">
        <v>0</v>
      </c>
      <c r="J57" s="23" t="s">
        <v>38</v>
      </c>
      <c r="K57" s="223">
        <v>11</v>
      </c>
      <c r="L57" s="225"/>
      <c r="M57" s="225"/>
      <c r="N57" s="224"/>
      <c r="O57" s="19">
        <v>11</v>
      </c>
      <c r="P57" s="79">
        <v>3</v>
      </c>
      <c r="Q57" s="162">
        <f t="shared" ref="Q57" si="16">+P57*F57</f>
        <v>0.18</v>
      </c>
      <c r="R57" s="240"/>
      <c r="S57" s="97" t="s">
        <v>62</v>
      </c>
      <c r="T57" s="97" t="s">
        <v>253</v>
      </c>
      <c r="U57" s="242" t="s">
        <v>254</v>
      </c>
      <c r="V57" s="242" t="s">
        <v>255</v>
      </c>
      <c r="W57" s="242" t="s">
        <v>256</v>
      </c>
    </row>
    <row r="58" spans="1:23" s="3" customFormat="1" ht="16.2" customHeight="1" x14ac:dyDescent="0.3">
      <c r="A58" s="128"/>
      <c r="B58" s="245"/>
      <c r="C58" s="121"/>
      <c r="D58" s="81"/>
      <c r="E58" s="80"/>
      <c r="F58" s="101"/>
      <c r="G58" s="80"/>
      <c r="H58" s="80"/>
      <c r="I58" s="80"/>
      <c r="J58" s="23" t="s">
        <v>43</v>
      </c>
      <c r="K58" s="223">
        <v>10</v>
      </c>
      <c r="L58" s="225"/>
      <c r="M58" s="225"/>
      <c r="N58" s="224"/>
      <c r="O58" s="71" t="s">
        <v>254</v>
      </c>
      <c r="P58" s="80"/>
      <c r="Q58" s="163"/>
      <c r="R58" s="240"/>
      <c r="S58" s="98"/>
      <c r="T58" s="98"/>
      <c r="U58" s="243"/>
      <c r="V58" s="243"/>
      <c r="W58" s="243"/>
    </row>
    <row r="59" spans="1:23" ht="27.6" customHeight="1" x14ac:dyDescent="0.3">
      <c r="A59" s="12"/>
      <c r="B59" s="13"/>
      <c r="C59" s="13"/>
      <c r="D59" s="13"/>
      <c r="E59" s="13"/>
      <c r="F59" s="16">
        <f>SUM(F7:F58)</f>
        <v>1.0000000000000002</v>
      </c>
      <c r="G59" s="13"/>
      <c r="H59" s="13"/>
      <c r="I59" s="13"/>
      <c r="J59" s="13"/>
      <c r="K59" s="13"/>
      <c r="L59" s="13"/>
      <c r="M59" s="13"/>
      <c r="N59" s="13"/>
      <c r="O59" s="11" t="s">
        <v>123</v>
      </c>
      <c r="P59" s="87">
        <f>SUM(Q7:Q58)</f>
        <v>3.0700000000000007</v>
      </c>
      <c r="Q59" s="87"/>
    </row>
    <row r="62" spans="1:23" ht="27.6" x14ac:dyDescent="0.3">
      <c r="C62" s="24" t="s">
        <v>124</v>
      </c>
      <c r="D62" s="1" t="s">
        <v>125</v>
      </c>
    </row>
    <row r="63" spans="1:23" ht="27.6" x14ac:dyDescent="0.3">
      <c r="C63" s="24" t="s">
        <v>126</v>
      </c>
      <c r="D63" s="15" t="s">
        <v>127</v>
      </c>
    </row>
    <row r="69" spans="3:23" x14ac:dyDescent="0.3">
      <c r="C69" s="82" t="s">
        <v>128</v>
      </c>
      <c r="M69" s="2">
        <v>1</v>
      </c>
    </row>
    <row r="70" spans="3:23" x14ac:dyDescent="0.3">
      <c r="C70" s="82"/>
    </row>
    <row r="76" spans="3:23" x14ac:dyDescent="0.3">
      <c r="P76" s="2">
        <f>100*16/42</f>
        <v>38.095238095238095</v>
      </c>
    </row>
    <row r="80" spans="3:23" x14ac:dyDescent="0.3">
      <c r="C80" s="195" t="s">
        <v>149</v>
      </c>
      <c r="D80" s="156" t="s">
        <v>34</v>
      </c>
      <c r="E80" s="149" t="s">
        <v>57</v>
      </c>
      <c r="F80" s="156">
        <v>0.14000000000000001</v>
      </c>
      <c r="G80" s="149" t="s">
        <v>64</v>
      </c>
      <c r="H80" s="149" t="s">
        <v>59</v>
      </c>
      <c r="I80" s="149">
        <v>39</v>
      </c>
      <c r="J80" s="41" t="s">
        <v>38</v>
      </c>
      <c r="K80" s="44">
        <v>12</v>
      </c>
      <c r="L80" s="44">
        <v>10</v>
      </c>
      <c r="M80" s="44">
        <v>3</v>
      </c>
      <c r="N80" s="45"/>
      <c r="O80" s="46">
        <f>SUM(K80:N80)</f>
        <v>25</v>
      </c>
      <c r="P80" s="149">
        <v>4</v>
      </c>
      <c r="Q80" s="150">
        <f>+P80*F80</f>
        <v>0.56000000000000005</v>
      </c>
      <c r="R80" s="198"/>
      <c r="S80" s="199">
        <v>-19</v>
      </c>
      <c r="T80" s="200" t="s">
        <v>151</v>
      </c>
      <c r="U80" s="199" t="s">
        <v>67</v>
      </c>
      <c r="V80" s="200" t="s">
        <v>68</v>
      </c>
      <c r="W80" s="200" t="s">
        <v>69</v>
      </c>
    </row>
    <row r="81" spans="3:23" x14ac:dyDescent="0.3">
      <c r="C81" s="196"/>
      <c r="D81" s="149"/>
      <c r="E81" s="149"/>
      <c r="F81" s="149"/>
      <c r="G81" s="149"/>
      <c r="H81" s="149"/>
      <c r="I81" s="149"/>
      <c r="J81" s="41" t="s">
        <v>43</v>
      </c>
      <c r="K81" s="44">
        <v>8</v>
      </c>
      <c r="L81" s="44">
        <v>8</v>
      </c>
      <c r="M81" s="44">
        <v>8</v>
      </c>
      <c r="N81" s="45">
        <v>8</v>
      </c>
      <c r="O81" s="46" t="s">
        <v>152</v>
      </c>
      <c r="P81" s="149"/>
      <c r="Q81" s="150"/>
      <c r="R81" s="198"/>
      <c r="S81" s="199"/>
      <c r="T81" s="200"/>
      <c r="U81" s="199"/>
      <c r="V81" s="200"/>
      <c r="W81" s="200"/>
    </row>
    <row r="82" spans="3:23" x14ac:dyDescent="0.3">
      <c r="C82" s="196"/>
      <c r="D82" s="156" t="s">
        <v>34</v>
      </c>
      <c r="E82" s="149" t="s">
        <v>57</v>
      </c>
      <c r="F82" s="156">
        <v>0.11</v>
      </c>
      <c r="G82" s="149" t="s">
        <v>64</v>
      </c>
      <c r="H82" s="149" t="s">
        <v>59</v>
      </c>
      <c r="I82" s="160">
        <v>17</v>
      </c>
      <c r="J82" s="41" t="s">
        <v>38</v>
      </c>
      <c r="K82" s="47">
        <v>4</v>
      </c>
      <c r="L82" s="44">
        <v>3</v>
      </c>
      <c r="M82" s="44">
        <v>4</v>
      </c>
      <c r="N82" s="45"/>
      <c r="O82" s="46">
        <f>SUM(K82:N82)</f>
        <v>11</v>
      </c>
      <c r="P82" s="149">
        <v>5</v>
      </c>
      <c r="Q82" s="150">
        <f>+P82*F82</f>
        <v>0.55000000000000004</v>
      </c>
      <c r="R82" s="201"/>
      <c r="S82" s="199">
        <v>-10</v>
      </c>
      <c r="T82" s="202" t="s">
        <v>223</v>
      </c>
      <c r="U82" s="203" t="s">
        <v>224</v>
      </c>
      <c r="V82" s="202" t="s">
        <v>225</v>
      </c>
      <c r="W82" s="200" t="s">
        <v>226</v>
      </c>
    </row>
    <row r="83" spans="3:23" x14ac:dyDescent="0.3">
      <c r="C83" s="197"/>
      <c r="D83" s="149"/>
      <c r="E83" s="149"/>
      <c r="F83" s="149"/>
      <c r="G83" s="149"/>
      <c r="H83" s="149"/>
      <c r="I83" s="161"/>
      <c r="J83" s="41" t="s">
        <v>43</v>
      </c>
      <c r="K83" s="44">
        <v>2</v>
      </c>
      <c r="L83" s="44">
        <v>2</v>
      </c>
      <c r="M83" s="44">
        <v>2</v>
      </c>
      <c r="N83" s="45">
        <v>2</v>
      </c>
      <c r="O83" s="42" t="s">
        <v>224</v>
      </c>
      <c r="P83" s="149"/>
      <c r="Q83" s="150"/>
      <c r="R83" s="201"/>
      <c r="S83" s="199"/>
      <c r="T83" s="200"/>
      <c r="U83" s="199"/>
      <c r="V83" s="200"/>
      <c r="W83" s="200"/>
    </row>
    <row r="84" spans="3:23" x14ac:dyDescent="0.3">
      <c r="C84" s="165" t="s">
        <v>227</v>
      </c>
      <c r="D84" s="156" t="s">
        <v>34</v>
      </c>
      <c r="E84" s="149" t="s">
        <v>57</v>
      </c>
      <c r="F84" s="156">
        <v>0.14000000000000001</v>
      </c>
      <c r="G84" s="149" t="s">
        <v>154</v>
      </c>
      <c r="H84" s="149" t="s">
        <v>59</v>
      </c>
      <c r="I84" s="149">
        <v>396</v>
      </c>
      <c r="J84" s="41" t="s">
        <v>38</v>
      </c>
      <c r="K84" s="44">
        <v>101</v>
      </c>
      <c r="L84" s="44">
        <v>56</v>
      </c>
      <c r="M84" s="44">
        <v>143</v>
      </c>
      <c r="N84" s="45"/>
      <c r="O84" s="48">
        <f>SUM(K84:N84)</f>
        <v>300</v>
      </c>
      <c r="P84" s="149">
        <v>5</v>
      </c>
      <c r="Q84" s="150">
        <f>+P84*F84</f>
        <v>0.70000000000000007</v>
      </c>
      <c r="R84" s="198"/>
      <c r="S84" s="199">
        <v>-99</v>
      </c>
      <c r="T84" s="200" t="s">
        <v>155</v>
      </c>
      <c r="U84" s="200" t="s">
        <v>156</v>
      </c>
      <c r="V84" s="200" t="s">
        <v>157</v>
      </c>
      <c r="W84" s="200" t="s">
        <v>158</v>
      </c>
    </row>
    <row r="85" spans="3:23" ht="23.25" customHeight="1" x14ac:dyDescent="0.3">
      <c r="C85" s="165"/>
      <c r="D85" s="149"/>
      <c r="E85" s="149"/>
      <c r="F85" s="149"/>
      <c r="G85" s="149"/>
      <c r="H85" s="149"/>
      <c r="I85" s="149"/>
      <c r="J85" s="41" t="s">
        <v>43</v>
      </c>
      <c r="K85" s="44">
        <v>40</v>
      </c>
      <c r="L85" s="44">
        <v>40</v>
      </c>
      <c r="M85" s="44">
        <v>40</v>
      </c>
      <c r="N85" s="45">
        <v>40</v>
      </c>
      <c r="O85" s="46" t="s">
        <v>156</v>
      </c>
      <c r="P85" s="149"/>
      <c r="Q85" s="150"/>
      <c r="R85" s="198"/>
      <c r="S85" s="199"/>
      <c r="T85" s="200"/>
      <c r="U85" s="200"/>
      <c r="V85" s="200"/>
      <c r="W85" s="200"/>
    </row>
    <row r="86" spans="3:23" ht="24" customHeight="1" x14ac:dyDescent="0.3">
      <c r="C86" s="165" t="s">
        <v>228</v>
      </c>
      <c r="D86" s="156" t="s">
        <v>34</v>
      </c>
      <c r="E86" s="149" t="s">
        <v>57</v>
      </c>
      <c r="F86" s="156">
        <v>0.1</v>
      </c>
      <c r="G86" s="149" t="s">
        <v>154</v>
      </c>
      <c r="H86" s="149" t="s">
        <v>59</v>
      </c>
      <c r="I86" s="160">
        <v>262</v>
      </c>
      <c r="J86" s="41" t="s">
        <v>38</v>
      </c>
      <c r="K86" s="44">
        <v>47</v>
      </c>
      <c r="L86" s="44">
        <v>50</v>
      </c>
      <c r="M86" s="44">
        <v>42</v>
      </c>
      <c r="N86" s="45"/>
      <c r="O86" s="46">
        <f>SUM(K86:N86)</f>
        <v>139</v>
      </c>
      <c r="P86" s="149">
        <v>5</v>
      </c>
      <c r="Q86" s="150">
        <f>+P86*F86</f>
        <v>0.5</v>
      </c>
      <c r="R86" s="201"/>
      <c r="S86" s="199">
        <v>-29</v>
      </c>
      <c r="T86" s="200" t="s">
        <v>160</v>
      </c>
      <c r="U86" s="200" t="s">
        <v>161</v>
      </c>
      <c r="V86" s="200" t="s">
        <v>162</v>
      </c>
      <c r="W86" s="200" t="s">
        <v>163</v>
      </c>
    </row>
    <row r="87" spans="3:23" ht="21.75" customHeight="1" x14ac:dyDescent="0.3">
      <c r="C87" s="165"/>
      <c r="D87" s="149"/>
      <c r="E87" s="149"/>
      <c r="F87" s="149"/>
      <c r="G87" s="149"/>
      <c r="H87" s="149"/>
      <c r="I87" s="161"/>
      <c r="J87" s="41" t="s">
        <v>43</v>
      </c>
      <c r="K87" s="44">
        <v>30</v>
      </c>
      <c r="L87" s="44">
        <v>30</v>
      </c>
      <c r="M87" s="44">
        <v>30</v>
      </c>
      <c r="N87" s="45">
        <v>30</v>
      </c>
      <c r="O87" s="46" t="s">
        <v>161</v>
      </c>
      <c r="P87" s="149"/>
      <c r="Q87" s="150"/>
      <c r="R87" s="201"/>
      <c r="S87" s="199"/>
      <c r="T87" s="200"/>
      <c r="U87" s="200"/>
      <c r="V87" s="200"/>
      <c r="W87" s="200"/>
    </row>
    <row r="88" spans="3:23" ht="18" customHeight="1" x14ac:dyDescent="0.3">
      <c r="C88" s="165" t="s">
        <v>164</v>
      </c>
      <c r="D88" s="156" t="s">
        <v>34</v>
      </c>
      <c r="E88" s="149" t="s">
        <v>57</v>
      </c>
      <c r="F88" s="156">
        <v>0.14000000000000001</v>
      </c>
      <c r="G88" s="149" t="s">
        <v>165</v>
      </c>
      <c r="H88" s="149" t="s">
        <v>59</v>
      </c>
      <c r="I88" s="149"/>
      <c r="J88" s="41" t="s">
        <v>38</v>
      </c>
      <c r="K88" s="44">
        <v>99</v>
      </c>
      <c r="L88" s="44">
        <v>64.5</v>
      </c>
      <c r="M88" s="44">
        <v>35</v>
      </c>
      <c r="N88" s="45"/>
      <c r="O88" s="46">
        <f>SUM(K88:N88)</f>
        <v>198.5</v>
      </c>
      <c r="P88" s="149">
        <v>2</v>
      </c>
      <c r="Q88" s="150">
        <f>+P88*F88</f>
        <v>0.28000000000000003</v>
      </c>
      <c r="R88" s="198"/>
      <c r="S88" s="199">
        <v>-249</v>
      </c>
      <c r="T88" s="204" t="s">
        <v>166</v>
      </c>
      <c r="U88" s="204" t="s">
        <v>167</v>
      </c>
      <c r="V88" s="204" t="s">
        <v>168</v>
      </c>
      <c r="W88" s="204" t="s">
        <v>169</v>
      </c>
    </row>
    <row r="89" spans="3:23" ht="26.25" customHeight="1" x14ac:dyDescent="0.3">
      <c r="C89" s="165"/>
      <c r="D89" s="149"/>
      <c r="E89" s="149"/>
      <c r="F89" s="149"/>
      <c r="G89" s="149"/>
      <c r="H89" s="149"/>
      <c r="I89" s="149"/>
      <c r="J89" s="41" t="s">
        <v>43</v>
      </c>
      <c r="K89" s="44">
        <v>120</v>
      </c>
      <c r="L89" s="44">
        <v>120</v>
      </c>
      <c r="M89" s="44">
        <v>120</v>
      </c>
      <c r="N89" s="45">
        <v>120</v>
      </c>
      <c r="O89" s="46" t="s">
        <v>167</v>
      </c>
      <c r="P89" s="149"/>
      <c r="Q89" s="150"/>
      <c r="R89" s="198"/>
      <c r="S89" s="199"/>
      <c r="T89" s="204"/>
      <c r="U89" s="204"/>
      <c r="V89" s="204"/>
      <c r="W89" s="204"/>
    </row>
    <row r="90" spans="3:23" ht="24" customHeight="1" x14ac:dyDescent="0.3">
      <c r="C90" s="165" t="s">
        <v>170</v>
      </c>
      <c r="D90" s="156" t="s">
        <v>34</v>
      </c>
      <c r="E90" s="149" t="s">
        <v>57</v>
      </c>
      <c r="F90" s="156">
        <v>0.11</v>
      </c>
      <c r="G90" s="149" t="s">
        <v>165</v>
      </c>
      <c r="H90" s="149" t="s">
        <v>59</v>
      </c>
      <c r="I90" s="149"/>
      <c r="J90" s="41" t="s">
        <v>38</v>
      </c>
      <c r="K90" s="44">
        <v>6</v>
      </c>
      <c r="L90" s="44">
        <v>3</v>
      </c>
      <c r="M90" s="44">
        <v>16</v>
      </c>
      <c r="N90" s="45"/>
      <c r="O90" s="46">
        <f>SUM(K90:N90)</f>
        <v>25</v>
      </c>
      <c r="P90" s="149">
        <v>2</v>
      </c>
      <c r="Q90" s="150">
        <f>+P90*F90</f>
        <v>0.22</v>
      </c>
      <c r="R90" s="201"/>
      <c r="S90" s="199">
        <v>-39</v>
      </c>
      <c r="T90" s="204" t="s">
        <v>171</v>
      </c>
      <c r="U90" s="204" t="s">
        <v>172</v>
      </c>
      <c r="V90" s="204" t="s">
        <v>173</v>
      </c>
      <c r="W90" s="204" t="s">
        <v>174</v>
      </c>
    </row>
    <row r="91" spans="3:23" x14ac:dyDescent="0.3">
      <c r="C91" s="165"/>
      <c r="D91" s="149"/>
      <c r="E91" s="149"/>
      <c r="F91" s="149"/>
      <c r="G91" s="149"/>
      <c r="H91" s="149"/>
      <c r="I91" s="149"/>
      <c r="J91" s="41" t="s">
        <v>43</v>
      </c>
      <c r="K91" s="44">
        <v>24</v>
      </c>
      <c r="L91" s="44">
        <v>24</v>
      </c>
      <c r="M91" s="44">
        <v>24</v>
      </c>
      <c r="N91" s="45">
        <v>24</v>
      </c>
      <c r="O91" s="46" t="s">
        <v>172</v>
      </c>
      <c r="P91" s="149"/>
      <c r="Q91" s="150"/>
      <c r="R91" s="201"/>
      <c r="S91" s="199"/>
      <c r="T91" s="204"/>
      <c r="U91" s="204"/>
      <c r="V91" s="204"/>
      <c r="W91" s="204"/>
    </row>
  </sheetData>
  <autoFilter ref="A6:W59" xr:uid="{ED5CE903-8284-4D35-B2D2-824117A33005}"/>
  <mergeCells count="535">
    <mergeCell ref="I17:I18"/>
    <mergeCell ref="P17:P18"/>
    <mergeCell ref="I43:I44"/>
    <mergeCell ref="K43:N43"/>
    <mergeCell ref="P41:P42"/>
    <mergeCell ref="M49:N49"/>
    <mergeCell ref="P45:P46"/>
    <mergeCell ref="Q45:Q46"/>
    <mergeCell ref="R29:R30"/>
    <mergeCell ref="I23:I24"/>
    <mergeCell ref="P23:P24"/>
    <mergeCell ref="R47:R48"/>
    <mergeCell ref="Q27:Q28"/>
    <mergeCell ref="I25:I26"/>
    <mergeCell ref="P25:P26"/>
    <mergeCell ref="K46:N46"/>
    <mergeCell ref="R45:R46"/>
    <mergeCell ref="P47:P48"/>
    <mergeCell ref="Q47:Q48"/>
    <mergeCell ref="R49:R50"/>
    <mergeCell ref="C21:C22"/>
    <mergeCell ref="G19:G20"/>
    <mergeCell ref="G17:G18"/>
    <mergeCell ref="H17:H18"/>
    <mergeCell ref="C47:C48"/>
    <mergeCell ref="D47:D48"/>
    <mergeCell ref="E47:E48"/>
    <mergeCell ref="F47:F48"/>
    <mergeCell ref="G47:G48"/>
    <mergeCell ref="H47:H48"/>
    <mergeCell ref="E43:E44"/>
    <mergeCell ref="F43:F44"/>
    <mergeCell ref="G43:G44"/>
    <mergeCell ref="H43:H44"/>
    <mergeCell ref="G25:G26"/>
    <mergeCell ref="G23:G24"/>
    <mergeCell ref="H23:H24"/>
    <mergeCell ref="C23:C24"/>
    <mergeCell ref="D23:D24"/>
    <mergeCell ref="E23:E24"/>
    <mergeCell ref="F23:F24"/>
    <mergeCell ref="V21:V22"/>
    <mergeCell ref="W21:W22"/>
    <mergeCell ref="B7:B12"/>
    <mergeCell ref="C11:C12"/>
    <mergeCell ref="D11:D12"/>
    <mergeCell ref="E11:E12"/>
    <mergeCell ref="F11:F12"/>
    <mergeCell ref="G11:G12"/>
    <mergeCell ref="H11:H12"/>
    <mergeCell ref="I21:I22"/>
    <mergeCell ref="P21:P22"/>
    <mergeCell ref="Q21:Q22"/>
    <mergeCell ref="R21:R22"/>
    <mergeCell ref="S21:S22"/>
    <mergeCell ref="T21:T22"/>
    <mergeCell ref="S13:S14"/>
    <mergeCell ref="T13:T14"/>
    <mergeCell ref="U13:U14"/>
    <mergeCell ref="V13:V14"/>
    <mergeCell ref="W13:W14"/>
    <mergeCell ref="D21:D22"/>
    <mergeCell ref="E21:E22"/>
    <mergeCell ref="F21:F22"/>
    <mergeCell ref="G21:G22"/>
    <mergeCell ref="S27:S28"/>
    <mergeCell ref="T25:T26"/>
    <mergeCell ref="S23:S24"/>
    <mergeCell ref="T23:T24"/>
    <mergeCell ref="C19:C20"/>
    <mergeCell ref="D19:D20"/>
    <mergeCell ref="E19:E20"/>
    <mergeCell ref="F19:F20"/>
    <mergeCell ref="U21:U22"/>
    <mergeCell ref="H21:H22"/>
    <mergeCell ref="S19:S20"/>
    <mergeCell ref="T19:T20"/>
    <mergeCell ref="P27:P28"/>
    <mergeCell ref="C25:C26"/>
    <mergeCell ref="D25:D26"/>
    <mergeCell ref="E25:E26"/>
    <mergeCell ref="F25:F26"/>
    <mergeCell ref="U27:U28"/>
    <mergeCell ref="D27:D28"/>
    <mergeCell ref="E27:E28"/>
    <mergeCell ref="F27:F28"/>
    <mergeCell ref="G27:G28"/>
    <mergeCell ref="H27:H28"/>
    <mergeCell ref="H25:H26"/>
    <mergeCell ref="S17:S18"/>
    <mergeCell ref="T17:T18"/>
    <mergeCell ref="R15:R16"/>
    <mergeCell ref="S15:S16"/>
    <mergeCell ref="T15:T16"/>
    <mergeCell ref="T9:T10"/>
    <mergeCell ref="S7:S8"/>
    <mergeCell ref="T7:T8"/>
    <mergeCell ref="K19:N19"/>
    <mergeCell ref="P19:P20"/>
    <mergeCell ref="Q19:Q20"/>
    <mergeCell ref="R19:R20"/>
    <mergeCell ref="R13:R14"/>
    <mergeCell ref="A7:A28"/>
    <mergeCell ref="B13:B28"/>
    <mergeCell ref="D13:D14"/>
    <mergeCell ref="E13:E14"/>
    <mergeCell ref="F13:F14"/>
    <mergeCell ref="R27:R28"/>
    <mergeCell ref="G13:G14"/>
    <mergeCell ref="H13:H14"/>
    <mergeCell ref="C15:C16"/>
    <mergeCell ref="D15:D16"/>
    <mergeCell ref="I11:I12"/>
    <mergeCell ref="P11:P12"/>
    <mergeCell ref="Q11:Q12"/>
    <mergeCell ref="I13:I14"/>
    <mergeCell ref="P13:P14"/>
    <mergeCell ref="Q13:Q14"/>
    <mergeCell ref="M11:N11"/>
    <mergeCell ref="M12:N12"/>
    <mergeCell ref="H9:H10"/>
    <mergeCell ref="I9:I10"/>
    <mergeCell ref="P9:P10"/>
    <mergeCell ref="K28:N28"/>
    <mergeCell ref="I27:I28"/>
    <mergeCell ref="K27:N27"/>
    <mergeCell ref="A57:A58"/>
    <mergeCell ref="C57:C58"/>
    <mergeCell ref="B57:B58"/>
    <mergeCell ref="C55:C56"/>
    <mergeCell ref="D55:D56"/>
    <mergeCell ref="E55:E56"/>
    <mergeCell ref="F55:F56"/>
    <mergeCell ref="G55:G56"/>
    <mergeCell ref="A29:A56"/>
    <mergeCell ref="B29:B34"/>
    <mergeCell ref="C29:C30"/>
    <mergeCell ref="D29:D30"/>
    <mergeCell ref="E29:E30"/>
    <mergeCell ref="F29:F30"/>
    <mergeCell ref="E39:E40"/>
    <mergeCell ref="F39:F40"/>
    <mergeCell ref="G39:G40"/>
    <mergeCell ref="I57:I58"/>
    <mergeCell ref="H57:H58"/>
    <mergeCell ref="G57:G58"/>
    <mergeCell ref="P90:P91"/>
    <mergeCell ref="C90:C91"/>
    <mergeCell ref="D90:D91"/>
    <mergeCell ref="E90:E91"/>
    <mergeCell ref="F90:F91"/>
    <mergeCell ref="G90:G91"/>
    <mergeCell ref="C84:C85"/>
    <mergeCell ref="D84:D85"/>
    <mergeCell ref="C86:C87"/>
    <mergeCell ref="D86:D87"/>
    <mergeCell ref="E86:E87"/>
    <mergeCell ref="F86:F87"/>
    <mergeCell ref="F57:F58"/>
    <mergeCell ref="E57:E58"/>
    <mergeCell ref="D57:D58"/>
    <mergeCell ref="P57:P58"/>
    <mergeCell ref="G86:G87"/>
    <mergeCell ref="H86:H87"/>
    <mergeCell ref="I86:I87"/>
    <mergeCell ref="P86:P87"/>
    <mergeCell ref="E84:E85"/>
    <mergeCell ref="T88:T89"/>
    <mergeCell ref="C88:C89"/>
    <mergeCell ref="D88:D89"/>
    <mergeCell ref="E88:E89"/>
    <mergeCell ref="F88:F89"/>
    <mergeCell ref="G88:G89"/>
    <mergeCell ref="H88:H89"/>
    <mergeCell ref="V90:V91"/>
    <mergeCell ref="W90:W91"/>
    <mergeCell ref="Q90:Q91"/>
    <mergeCell ref="R90:R91"/>
    <mergeCell ref="S90:S91"/>
    <mergeCell ref="T90:T91"/>
    <mergeCell ref="U90:U91"/>
    <mergeCell ref="U88:U89"/>
    <mergeCell ref="V88:V89"/>
    <mergeCell ref="W88:W89"/>
    <mergeCell ref="H90:H91"/>
    <mergeCell ref="I90:I91"/>
    <mergeCell ref="I88:I89"/>
    <mergeCell ref="P88:P89"/>
    <mergeCell ref="Q88:Q89"/>
    <mergeCell ref="R88:R89"/>
    <mergeCell ref="S88:S89"/>
    <mergeCell ref="Q86:Q87"/>
    <mergeCell ref="T80:T81"/>
    <mergeCell ref="U80:U81"/>
    <mergeCell ref="R86:R87"/>
    <mergeCell ref="S86:S87"/>
    <mergeCell ref="T86:T87"/>
    <mergeCell ref="U86:U87"/>
    <mergeCell ref="V86:V87"/>
    <mergeCell ref="W86:W87"/>
    <mergeCell ref="W84:W85"/>
    <mergeCell ref="R84:R85"/>
    <mergeCell ref="S84:S85"/>
    <mergeCell ref="T84:T85"/>
    <mergeCell ref="U84:U85"/>
    <mergeCell ref="V84:V85"/>
    <mergeCell ref="R82:R83"/>
    <mergeCell ref="S82:S83"/>
    <mergeCell ref="T82:T83"/>
    <mergeCell ref="U82:U83"/>
    <mergeCell ref="V80:V81"/>
    <mergeCell ref="W80:W81"/>
    <mergeCell ref="R80:R81"/>
    <mergeCell ref="S80:S81"/>
    <mergeCell ref="V82:V83"/>
    <mergeCell ref="F84:F85"/>
    <mergeCell ref="G84:G85"/>
    <mergeCell ref="H84:H85"/>
    <mergeCell ref="I84:I85"/>
    <mergeCell ref="P84:P85"/>
    <mergeCell ref="P82:P83"/>
    <mergeCell ref="Q84:Q85"/>
    <mergeCell ref="P59:Q59"/>
    <mergeCell ref="C80:C83"/>
    <mergeCell ref="D80:D81"/>
    <mergeCell ref="E80:E81"/>
    <mergeCell ref="F80:F81"/>
    <mergeCell ref="G80:G81"/>
    <mergeCell ref="D82:D83"/>
    <mergeCell ref="E82:E83"/>
    <mergeCell ref="F82:F83"/>
    <mergeCell ref="G82:G83"/>
    <mergeCell ref="H82:H83"/>
    <mergeCell ref="I82:I83"/>
    <mergeCell ref="H80:H81"/>
    <mergeCell ref="I80:I81"/>
    <mergeCell ref="P80:P81"/>
    <mergeCell ref="Q80:Q81"/>
    <mergeCell ref="W82:W83"/>
    <mergeCell ref="Q82:Q83"/>
    <mergeCell ref="W55:W56"/>
    <mergeCell ref="Q55:Q56"/>
    <mergeCell ref="R55:R56"/>
    <mergeCell ref="S55:S56"/>
    <mergeCell ref="B53:B54"/>
    <mergeCell ref="C53:C54"/>
    <mergeCell ref="D53:D54"/>
    <mergeCell ref="E53:E54"/>
    <mergeCell ref="C69:C70"/>
    <mergeCell ref="H55:H56"/>
    <mergeCell ref="I55:I56"/>
    <mergeCell ref="P55:P56"/>
    <mergeCell ref="S57:S58"/>
    <mergeCell ref="T57:T58"/>
    <mergeCell ref="U57:U58"/>
    <mergeCell ref="V57:V58"/>
    <mergeCell ref="W57:W58"/>
    <mergeCell ref="Q57:Q58"/>
    <mergeCell ref="R57:R58"/>
    <mergeCell ref="U53:U54"/>
    <mergeCell ref="V53:V54"/>
    <mergeCell ref="B55:B56"/>
    <mergeCell ref="W51:W52"/>
    <mergeCell ref="Q51:Q52"/>
    <mergeCell ref="R51:R52"/>
    <mergeCell ref="S51:S52"/>
    <mergeCell ref="T51:T52"/>
    <mergeCell ref="F49:F50"/>
    <mergeCell ref="G49:G50"/>
    <mergeCell ref="T55:T56"/>
    <mergeCell ref="U55:U56"/>
    <mergeCell ref="V55:V56"/>
    <mergeCell ref="F53:F54"/>
    <mergeCell ref="G53:G54"/>
    <mergeCell ref="H53:H54"/>
    <mergeCell ref="I51:I52"/>
    <mergeCell ref="W53:W54"/>
    <mergeCell ref="I53:I54"/>
    <mergeCell ref="P53:P54"/>
    <mergeCell ref="Q53:Q54"/>
    <mergeCell ref="R53:R54"/>
    <mergeCell ref="S53:S54"/>
    <mergeCell ref="T53:T54"/>
    <mergeCell ref="M52:N52"/>
    <mergeCell ref="K52:L52"/>
    <mergeCell ref="V51:V52"/>
    <mergeCell ref="P51:P52"/>
    <mergeCell ref="H49:H50"/>
    <mergeCell ref="I49:I50"/>
    <mergeCell ref="K49:L49"/>
    <mergeCell ref="P49:P50"/>
    <mergeCell ref="C51:C52"/>
    <mergeCell ref="D51:D52"/>
    <mergeCell ref="E51:E52"/>
    <mergeCell ref="F51:F52"/>
    <mergeCell ref="G51:G52"/>
    <mergeCell ref="H51:H52"/>
    <mergeCell ref="C49:C50"/>
    <mergeCell ref="D49:D50"/>
    <mergeCell ref="E49:E50"/>
    <mergeCell ref="M50:N50"/>
    <mergeCell ref="W49:W50"/>
    <mergeCell ref="Q49:Q50"/>
    <mergeCell ref="S49:S50"/>
    <mergeCell ref="U47:U48"/>
    <mergeCell ref="V47:V48"/>
    <mergeCell ref="W47:W48"/>
    <mergeCell ref="W43:W44"/>
    <mergeCell ref="K44:N44"/>
    <mergeCell ref="C45:C46"/>
    <mergeCell ref="D45:D46"/>
    <mergeCell ref="E45:E46"/>
    <mergeCell ref="F45:F46"/>
    <mergeCell ref="G45:G46"/>
    <mergeCell ref="H45:H46"/>
    <mergeCell ref="I45:I46"/>
    <mergeCell ref="P43:P44"/>
    <mergeCell ref="Q43:Q44"/>
    <mergeCell ref="R43:R44"/>
    <mergeCell ref="S43:S44"/>
    <mergeCell ref="T43:T44"/>
    <mergeCell ref="U43:U44"/>
    <mergeCell ref="U45:U46"/>
    <mergeCell ref="V45:V46"/>
    <mergeCell ref="W45:W46"/>
    <mergeCell ref="S45:S46"/>
    <mergeCell ref="T45:T46"/>
    <mergeCell ref="K45:N45"/>
    <mergeCell ref="T37:T38"/>
    <mergeCell ref="B35:B38"/>
    <mergeCell ref="U39:U40"/>
    <mergeCell ref="V39:V40"/>
    <mergeCell ref="T35:T36"/>
    <mergeCell ref="U35:U36"/>
    <mergeCell ref="V35:V36"/>
    <mergeCell ref="T41:T42"/>
    <mergeCell ref="U41:U42"/>
    <mergeCell ref="B39:B52"/>
    <mergeCell ref="H39:H40"/>
    <mergeCell ref="I37:I38"/>
    <mergeCell ref="P37:P38"/>
    <mergeCell ref="C43:C44"/>
    <mergeCell ref="D43:D44"/>
    <mergeCell ref="T49:T50"/>
    <mergeCell ref="U49:U50"/>
    <mergeCell ref="V43:V44"/>
    <mergeCell ref="K50:L50"/>
    <mergeCell ref="U51:U52"/>
    <mergeCell ref="I47:I48"/>
    <mergeCell ref="S47:S48"/>
    <mergeCell ref="T47:T48"/>
    <mergeCell ref="V49:V50"/>
    <mergeCell ref="W39:W40"/>
    <mergeCell ref="C41:C42"/>
    <mergeCell ref="D41:D42"/>
    <mergeCell ref="E41:E42"/>
    <mergeCell ref="F41:F42"/>
    <mergeCell ref="G41:G42"/>
    <mergeCell ref="H41:H42"/>
    <mergeCell ref="I41:I42"/>
    <mergeCell ref="I39:I40"/>
    <mergeCell ref="P39:P40"/>
    <mergeCell ref="Q39:Q40"/>
    <mergeCell ref="R39:R40"/>
    <mergeCell ref="S39:S40"/>
    <mergeCell ref="T39:T40"/>
    <mergeCell ref="V41:V42"/>
    <mergeCell ref="W41:W42"/>
    <mergeCell ref="S41:S42"/>
    <mergeCell ref="Q41:Q42"/>
    <mergeCell ref="R41:R42"/>
    <mergeCell ref="C39:C40"/>
    <mergeCell ref="D39:D40"/>
    <mergeCell ref="W35:W36"/>
    <mergeCell ref="C37:C38"/>
    <mergeCell ref="D37:D38"/>
    <mergeCell ref="E37:E38"/>
    <mergeCell ref="F37:F38"/>
    <mergeCell ref="G37:G38"/>
    <mergeCell ref="H37:H38"/>
    <mergeCell ref="H35:H36"/>
    <mergeCell ref="I35:I36"/>
    <mergeCell ref="P35:P36"/>
    <mergeCell ref="Q35:Q36"/>
    <mergeCell ref="R35:R36"/>
    <mergeCell ref="S35:S36"/>
    <mergeCell ref="C35:C36"/>
    <mergeCell ref="D35:D36"/>
    <mergeCell ref="E35:E36"/>
    <mergeCell ref="F35:F36"/>
    <mergeCell ref="G35:G36"/>
    <mergeCell ref="U37:U38"/>
    <mergeCell ref="V37:V38"/>
    <mergeCell ref="W37:W38"/>
    <mergeCell ref="Q37:Q38"/>
    <mergeCell ref="R37:R38"/>
    <mergeCell ref="S37:S38"/>
    <mergeCell ref="U33:U34"/>
    <mergeCell ref="V33:V34"/>
    <mergeCell ref="W33:W34"/>
    <mergeCell ref="K34:N34"/>
    <mergeCell ref="H33:H34"/>
    <mergeCell ref="I33:I34"/>
    <mergeCell ref="K33:N33"/>
    <mergeCell ref="P33:P34"/>
    <mergeCell ref="Q33:Q34"/>
    <mergeCell ref="R33:R34"/>
    <mergeCell ref="T31:T32"/>
    <mergeCell ref="U31:U32"/>
    <mergeCell ref="V31:V32"/>
    <mergeCell ref="W31:W32"/>
    <mergeCell ref="K32:N32"/>
    <mergeCell ref="C33:C34"/>
    <mergeCell ref="D33:D34"/>
    <mergeCell ref="E33:E34"/>
    <mergeCell ref="F33:F34"/>
    <mergeCell ref="G33:G34"/>
    <mergeCell ref="I31:I32"/>
    <mergeCell ref="K31:N31"/>
    <mergeCell ref="P31:P32"/>
    <mergeCell ref="Q31:Q32"/>
    <mergeCell ref="R31:R32"/>
    <mergeCell ref="S31:S32"/>
    <mergeCell ref="C31:C32"/>
    <mergeCell ref="D31:D32"/>
    <mergeCell ref="E31:E32"/>
    <mergeCell ref="F31:F32"/>
    <mergeCell ref="G31:G32"/>
    <mergeCell ref="H31:H32"/>
    <mergeCell ref="S33:S34"/>
    <mergeCell ref="T33:T34"/>
    <mergeCell ref="S29:S30"/>
    <mergeCell ref="T29:T30"/>
    <mergeCell ref="U29:U30"/>
    <mergeCell ref="V29:V30"/>
    <mergeCell ref="W29:W30"/>
    <mergeCell ref="G29:G30"/>
    <mergeCell ref="H29:H30"/>
    <mergeCell ref="I29:I30"/>
    <mergeCell ref="K29:N29"/>
    <mergeCell ref="P29:P30"/>
    <mergeCell ref="Q29:Q30"/>
    <mergeCell ref="K30:N30"/>
    <mergeCell ref="D7:D8"/>
    <mergeCell ref="E7:E8"/>
    <mergeCell ref="F7:F8"/>
    <mergeCell ref="Q9:Q10"/>
    <mergeCell ref="R9:R10"/>
    <mergeCell ref="F9:F10"/>
    <mergeCell ref="G9:G10"/>
    <mergeCell ref="G7:G8"/>
    <mergeCell ref="H7:H8"/>
    <mergeCell ref="I7:I8"/>
    <mergeCell ref="P7:P8"/>
    <mergeCell ref="V27:V28"/>
    <mergeCell ref="W27:W28"/>
    <mergeCell ref="H15:H16"/>
    <mergeCell ref="I15:I16"/>
    <mergeCell ref="P15:P16"/>
    <mergeCell ref="Q15:Q16"/>
    <mergeCell ref="C9:C10"/>
    <mergeCell ref="D9:D10"/>
    <mergeCell ref="E9:E10"/>
    <mergeCell ref="K11:L11"/>
    <mergeCell ref="K12:L12"/>
    <mergeCell ref="E15:E16"/>
    <mergeCell ref="F15:F16"/>
    <mergeCell ref="G15:G16"/>
    <mergeCell ref="C17:C18"/>
    <mergeCell ref="D17:D18"/>
    <mergeCell ref="E17:E18"/>
    <mergeCell ref="F17:F18"/>
    <mergeCell ref="V19:V20"/>
    <mergeCell ref="W19:W20"/>
    <mergeCell ref="K20:N20"/>
    <mergeCell ref="H19:H20"/>
    <mergeCell ref="I19:I20"/>
    <mergeCell ref="C27:C28"/>
    <mergeCell ref="S4:W4"/>
    <mergeCell ref="A5:Q5"/>
    <mergeCell ref="S5:S6"/>
    <mergeCell ref="T5:T6"/>
    <mergeCell ref="U5:U6"/>
    <mergeCell ref="V5:V6"/>
    <mergeCell ref="W5:W6"/>
    <mergeCell ref="U23:U24"/>
    <mergeCell ref="V23:V24"/>
    <mergeCell ref="W23:W24"/>
    <mergeCell ref="Q23:Q24"/>
    <mergeCell ref="R23:R24"/>
    <mergeCell ref="U7:U8"/>
    <mergeCell ref="V7:V8"/>
    <mergeCell ref="W7:W8"/>
    <mergeCell ref="U9:U10"/>
    <mergeCell ref="V9:V10"/>
    <mergeCell ref="W9:W10"/>
    <mergeCell ref="S9:S10"/>
    <mergeCell ref="U15:U16"/>
    <mergeCell ref="C13:C14"/>
    <mergeCell ref="Q7:Q8"/>
    <mergeCell ref="R7:R8"/>
    <mergeCell ref="C7:C8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K58:N58"/>
    <mergeCell ref="K57:N57"/>
    <mergeCell ref="S11:S12"/>
    <mergeCell ref="T11:T12"/>
    <mergeCell ref="U11:U12"/>
    <mergeCell ref="V11:V12"/>
    <mergeCell ref="W11:W12"/>
    <mergeCell ref="K25:N25"/>
    <mergeCell ref="K26:N26"/>
    <mergeCell ref="V15:V16"/>
    <mergeCell ref="W15:W16"/>
    <mergeCell ref="U17:U18"/>
    <mergeCell ref="V17:V18"/>
    <mergeCell ref="W17:W18"/>
    <mergeCell ref="Q17:Q18"/>
    <mergeCell ref="R17:R18"/>
    <mergeCell ref="U19:U20"/>
    <mergeCell ref="U25:U26"/>
    <mergeCell ref="V25:V26"/>
    <mergeCell ref="W25:W26"/>
    <mergeCell ref="Q25:Q26"/>
    <mergeCell ref="R25:R26"/>
    <mergeCell ref="S25:S26"/>
    <mergeCell ref="T27:T28"/>
  </mergeCells>
  <phoneticPr fontId="14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B3C8-B046-4A16-8455-E059C7719167}">
  <dimension ref="A1:W78"/>
  <sheetViews>
    <sheetView tabSelected="1" zoomScale="110" zoomScaleNormal="11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64" sqref="D64"/>
    </sheetView>
  </sheetViews>
  <sheetFormatPr defaultColWidth="8.88671875" defaultRowHeight="13.8" x14ac:dyDescent="0.3"/>
  <cols>
    <col min="1" max="1" width="6.88671875" style="1" customWidth="1"/>
    <col min="2" max="2" width="7.33203125" style="1" customWidth="1"/>
    <col min="3" max="3" width="26.109375" style="1" customWidth="1"/>
    <col min="4" max="6" width="8.88671875" style="1" customWidth="1"/>
    <col min="7" max="7" width="5.6640625" style="1" customWidth="1"/>
    <col min="8" max="8" width="6" style="1" customWidth="1"/>
    <col min="9" max="9" width="6.88671875" style="1" customWidth="1"/>
    <col min="10" max="10" width="6.5546875" style="2" customWidth="1"/>
    <col min="11" max="14" width="8" style="2" customWidth="1"/>
    <col min="15" max="16" width="8.88671875" style="2" customWidth="1"/>
    <col min="17" max="17" width="8" style="2" customWidth="1"/>
    <col min="18" max="18" width="8.88671875" style="1"/>
    <col min="19" max="23" width="16.6640625" style="1" customWidth="1"/>
    <col min="24" max="16384" width="8.88671875" style="1"/>
  </cols>
  <sheetData>
    <row r="1" spans="1:23" ht="15.6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</row>
    <row r="2" spans="1:23" x14ac:dyDescent="0.3">
      <c r="A2" s="110" t="s">
        <v>1</v>
      </c>
      <c r="B2" s="110"/>
      <c r="C2" s="113">
        <v>45642</v>
      </c>
      <c r="D2" s="113"/>
      <c r="E2" s="5" t="s">
        <v>2</v>
      </c>
      <c r="F2" s="5"/>
      <c r="G2" s="113">
        <v>44652</v>
      </c>
      <c r="H2" s="113"/>
      <c r="I2" s="113"/>
      <c r="J2" s="113"/>
      <c r="K2" s="113"/>
      <c r="L2" s="113"/>
      <c r="M2" s="113"/>
      <c r="N2" s="113"/>
      <c r="O2" s="124" t="s">
        <v>3</v>
      </c>
      <c r="P2" s="124"/>
      <c r="Q2" s="124"/>
    </row>
    <row r="3" spans="1:23" x14ac:dyDescent="0.3">
      <c r="A3" s="110" t="s">
        <v>4</v>
      </c>
      <c r="B3" s="110"/>
      <c r="C3" s="112" t="s">
        <v>229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</row>
    <row r="4" spans="1:23" x14ac:dyDescent="0.3">
      <c r="A4" s="111" t="s">
        <v>6</v>
      </c>
      <c r="B4" s="111"/>
      <c r="C4" s="123" t="s">
        <v>257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S4" s="84" t="s">
        <v>230</v>
      </c>
      <c r="T4" s="84"/>
      <c r="U4" s="84"/>
      <c r="V4" s="84"/>
      <c r="W4" s="84"/>
    </row>
    <row r="5" spans="1:23" x14ac:dyDescent="0.3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S5" s="100" t="s">
        <v>9</v>
      </c>
      <c r="T5" s="100" t="s">
        <v>10</v>
      </c>
      <c r="U5" s="100" t="s">
        <v>11</v>
      </c>
      <c r="V5" s="100" t="s">
        <v>12</v>
      </c>
      <c r="W5" s="100" t="s">
        <v>13</v>
      </c>
    </row>
    <row r="6" spans="1:23" s="4" customFormat="1" ht="51" customHeight="1" x14ac:dyDescent="0.3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00"/>
      <c r="T6" s="100"/>
      <c r="U6" s="100"/>
      <c r="V6" s="100"/>
      <c r="W6" s="100"/>
    </row>
    <row r="7" spans="1:23" s="4" customFormat="1" ht="16.2" customHeight="1" x14ac:dyDescent="0.3">
      <c r="A7" s="77" t="s">
        <v>31</v>
      </c>
      <c r="B7" s="77" t="s">
        <v>32</v>
      </c>
      <c r="C7" s="250" t="s">
        <v>63</v>
      </c>
      <c r="D7" s="211" t="s">
        <v>34</v>
      </c>
      <c r="E7" s="211" t="s">
        <v>35</v>
      </c>
      <c r="F7" s="213">
        <v>0.05</v>
      </c>
      <c r="G7" s="211" t="s">
        <v>64</v>
      </c>
      <c r="H7" s="211" t="s">
        <v>37</v>
      </c>
      <c r="I7" s="211">
        <v>86</v>
      </c>
      <c r="J7" s="59" t="s">
        <v>38</v>
      </c>
      <c r="K7" s="59">
        <v>18</v>
      </c>
      <c r="L7" s="59">
        <v>22</v>
      </c>
      <c r="M7" s="59">
        <v>15</v>
      </c>
      <c r="N7" s="64">
        <v>17</v>
      </c>
      <c r="O7" s="67">
        <v>72</v>
      </c>
      <c r="P7" s="211">
        <v>5</v>
      </c>
      <c r="Q7" s="162">
        <f>+P7*F7</f>
        <v>0.25</v>
      </c>
      <c r="R7" s="129" t="s">
        <v>266</v>
      </c>
      <c r="S7" s="79" t="s">
        <v>231</v>
      </c>
      <c r="T7" s="79" t="s">
        <v>232</v>
      </c>
      <c r="U7" s="79" t="s">
        <v>233</v>
      </c>
      <c r="V7" s="79" t="s">
        <v>234</v>
      </c>
      <c r="W7" s="79" t="s">
        <v>140</v>
      </c>
    </row>
    <row r="8" spans="1:23" s="4" customFormat="1" ht="16.2" customHeight="1" x14ac:dyDescent="0.3">
      <c r="A8" s="78"/>
      <c r="B8" s="78"/>
      <c r="C8" s="249"/>
      <c r="D8" s="212"/>
      <c r="E8" s="212"/>
      <c r="F8" s="212"/>
      <c r="G8" s="212"/>
      <c r="H8" s="212"/>
      <c r="I8" s="212"/>
      <c r="J8" s="60" t="s">
        <v>43</v>
      </c>
      <c r="K8" s="60">
        <v>10</v>
      </c>
      <c r="L8" s="60">
        <v>10</v>
      </c>
      <c r="M8" s="60">
        <v>12</v>
      </c>
      <c r="N8" s="62">
        <v>10</v>
      </c>
      <c r="O8" s="67" t="s">
        <v>233</v>
      </c>
      <c r="P8" s="212"/>
      <c r="Q8" s="163"/>
      <c r="R8" s="129"/>
      <c r="S8" s="80"/>
      <c r="T8" s="80"/>
      <c r="U8" s="80"/>
      <c r="V8" s="80"/>
      <c r="W8" s="80"/>
    </row>
    <row r="9" spans="1:23" s="4" customFormat="1" ht="16.2" customHeight="1" x14ac:dyDescent="0.3">
      <c r="A9" s="78"/>
      <c r="B9" s="78"/>
      <c r="C9" s="248" t="s">
        <v>70</v>
      </c>
      <c r="D9" s="215" t="s">
        <v>34</v>
      </c>
      <c r="E9" s="215" t="s">
        <v>57</v>
      </c>
      <c r="F9" s="214">
        <v>0.08</v>
      </c>
      <c r="G9" s="215" t="s">
        <v>58</v>
      </c>
      <c r="H9" s="215" t="s">
        <v>37</v>
      </c>
      <c r="I9" s="214">
        <v>0.64</v>
      </c>
      <c r="J9" s="60" t="s">
        <v>38</v>
      </c>
      <c r="K9" s="61">
        <v>0.17</v>
      </c>
      <c r="L9" s="63">
        <v>0.19</v>
      </c>
      <c r="M9" s="61">
        <v>0.33</v>
      </c>
      <c r="N9" s="65">
        <v>0.24</v>
      </c>
      <c r="O9" s="68">
        <v>0.25</v>
      </c>
      <c r="P9" s="215">
        <v>0</v>
      </c>
      <c r="Q9" s="162">
        <f t="shared" ref="Q9" si="0">+P9*F9</f>
        <v>0</v>
      </c>
      <c r="R9" s="129" t="s">
        <v>267</v>
      </c>
      <c r="S9" s="130" t="s">
        <v>204</v>
      </c>
      <c r="T9" s="130" t="s">
        <v>205</v>
      </c>
      <c r="U9" s="130" t="s">
        <v>206</v>
      </c>
      <c r="V9" s="130" t="s">
        <v>235</v>
      </c>
      <c r="W9" s="130" t="s">
        <v>236</v>
      </c>
    </row>
    <row r="10" spans="1:23" s="4" customFormat="1" ht="16.2" customHeight="1" x14ac:dyDescent="0.3">
      <c r="A10" s="78"/>
      <c r="B10" s="78"/>
      <c r="C10" s="249"/>
      <c r="D10" s="212"/>
      <c r="E10" s="212"/>
      <c r="F10" s="212"/>
      <c r="G10" s="212"/>
      <c r="H10" s="212"/>
      <c r="I10" s="212"/>
      <c r="J10" s="62" t="s">
        <v>43</v>
      </c>
      <c r="K10" s="55" t="s">
        <v>205</v>
      </c>
      <c r="L10" s="56" t="s">
        <v>205</v>
      </c>
      <c r="M10" s="56" t="s">
        <v>205</v>
      </c>
      <c r="N10" s="66" t="s">
        <v>205</v>
      </c>
      <c r="O10" s="69" t="s">
        <v>205</v>
      </c>
      <c r="P10" s="212"/>
      <c r="Q10" s="163"/>
      <c r="R10" s="129"/>
      <c r="S10" s="131"/>
      <c r="T10" s="131"/>
      <c r="U10" s="131"/>
      <c r="V10" s="131"/>
      <c r="W10" s="131"/>
    </row>
    <row r="11" spans="1:23" s="4" customFormat="1" ht="16.2" customHeight="1" x14ac:dyDescent="0.3">
      <c r="A11" s="78"/>
      <c r="B11" s="78"/>
      <c r="C11" s="248" t="s">
        <v>237</v>
      </c>
      <c r="D11" s="215" t="s">
        <v>34</v>
      </c>
      <c r="E11" s="215" t="s">
        <v>79</v>
      </c>
      <c r="F11" s="214">
        <v>0.11</v>
      </c>
      <c r="G11" s="215" t="s">
        <v>58</v>
      </c>
      <c r="H11" s="215" t="s">
        <v>106</v>
      </c>
      <c r="I11" s="214">
        <v>0.2</v>
      </c>
      <c r="J11" s="60" t="s">
        <v>38</v>
      </c>
      <c r="K11" s="251">
        <v>0.03</v>
      </c>
      <c r="L11" s="252"/>
      <c r="M11" s="234"/>
      <c r="N11" s="235"/>
      <c r="O11" s="68"/>
      <c r="P11" s="215"/>
      <c r="Q11" s="162">
        <f t="shared" ref="Q11" si="1">+P11*F11</f>
        <v>0</v>
      </c>
      <c r="R11" s="52"/>
      <c r="S11" s="83" t="s">
        <v>193</v>
      </c>
      <c r="T11" s="132" t="s">
        <v>194</v>
      </c>
      <c r="U11" s="132" t="s">
        <v>195</v>
      </c>
      <c r="V11" s="132" t="s">
        <v>196</v>
      </c>
      <c r="W11" s="132" t="s">
        <v>197</v>
      </c>
    </row>
    <row r="12" spans="1:23" s="4" customFormat="1" ht="16.2" customHeight="1" x14ac:dyDescent="0.3">
      <c r="A12" s="78"/>
      <c r="B12" s="127"/>
      <c r="C12" s="249"/>
      <c r="D12" s="212"/>
      <c r="E12" s="212"/>
      <c r="F12" s="212"/>
      <c r="G12" s="212"/>
      <c r="H12" s="212"/>
      <c r="I12" s="212"/>
      <c r="J12" s="62" t="s">
        <v>43</v>
      </c>
      <c r="K12" s="234">
        <v>0.2</v>
      </c>
      <c r="L12" s="235"/>
      <c r="M12" s="234">
        <v>0.2</v>
      </c>
      <c r="N12" s="235"/>
      <c r="O12" s="70">
        <v>0.2</v>
      </c>
      <c r="P12" s="212"/>
      <c r="Q12" s="163"/>
      <c r="R12" s="52"/>
      <c r="S12" s="83"/>
      <c r="T12" s="132"/>
      <c r="U12" s="132"/>
      <c r="V12" s="132"/>
      <c r="W12" s="132"/>
    </row>
    <row r="13" spans="1:23" s="4" customFormat="1" ht="16.2" customHeight="1" x14ac:dyDescent="0.3">
      <c r="A13" s="78"/>
      <c r="B13" s="77" t="s">
        <v>55</v>
      </c>
      <c r="C13" s="253" t="s">
        <v>238</v>
      </c>
      <c r="D13" s="83" t="s">
        <v>34</v>
      </c>
      <c r="E13" s="81" t="s">
        <v>35</v>
      </c>
      <c r="F13" s="83">
        <v>0.11</v>
      </c>
      <c r="G13" s="81" t="s">
        <v>36</v>
      </c>
      <c r="H13" s="81" t="s">
        <v>37</v>
      </c>
      <c r="I13" s="81">
        <v>0.95</v>
      </c>
      <c r="J13" s="23" t="s">
        <v>38</v>
      </c>
      <c r="K13" s="75">
        <v>0.65</v>
      </c>
      <c r="L13" s="25">
        <v>0.65</v>
      </c>
      <c r="M13" s="25">
        <v>0.6</v>
      </c>
      <c r="N13" s="58">
        <v>0.6</v>
      </c>
      <c r="O13" s="25">
        <v>0.01</v>
      </c>
      <c r="P13" s="81">
        <v>1</v>
      </c>
      <c r="Q13" s="162">
        <f t="shared" ref="Q13" si="2">+P13*F13</f>
        <v>0.11</v>
      </c>
      <c r="R13" s="85"/>
      <c r="S13" s="83" t="s">
        <v>135</v>
      </c>
      <c r="T13" s="132" t="s">
        <v>60</v>
      </c>
      <c r="U13" s="132" t="s">
        <v>61</v>
      </c>
      <c r="V13" s="132" t="s">
        <v>62</v>
      </c>
      <c r="W13" s="132" t="s">
        <v>62</v>
      </c>
    </row>
    <row r="14" spans="1:23" s="4" customFormat="1" ht="16.2" customHeight="1" x14ac:dyDescent="0.3">
      <c r="A14" s="78"/>
      <c r="B14" s="78"/>
      <c r="C14" s="254"/>
      <c r="D14" s="83"/>
      <c r="E14" s="81"/>
      <c r="F14" s="83"/>
      <c r="G14" s="81"/>
      <c r="H14" s="81"/>
      <c r="I14" s="81"/>
      <c r="J14" s="23" t="s">
        <v>43</v>
      </c>
      <c r="K14" s="25">
        <v>0.95</v>
      </c>
      <c r="L14" s="25">
        <v>0.95</v>
      </c>
      <c r="M14" s="25">
        <v>0.95</v>
      </c>
      <c r="N14" s="58">
        <v>0.95</v>
      </c>
      <c r="O14" s="25" t="s">
        <v>61</v>
      </c>
      <c r="P14" s="81"/>
      <c r="Q14" s="163"/>
      <c r="R14" s="85"/>
      <c r="S14" s="83"/>
      <c r="T14" s="132"/>
      <c r="U14" s="132"/>
      <c r="V14" s="132"/>
      <c r="W14" s="132"/>
    </row>
    <row r="15" spans="1:23" s="4" customFormat="1" ht="16.2" hidden="1" customHeight="1" x14ac:dyDescent="0.3">
      <c r="A15" s="78"/>
      <c r="B15" s="78"/>
      <c r="C15" s="237" t="s">
        <v>131</v>
      </c>
      <c r="D15" s="83" t="s">
        <v>34</v>
      </c>
      <c r="E15" s="81" t="s">
        <v>35</v>
      </c>
      <c r="F15" s="83"/>
      <c r="G15" s="81" t="s">
        <v>36</v>
      </c>
      <c r="H15" s="81" t="s">
        <v>37</v>
      </c>
      <c r="I15" s="81">
        <v>0.95</v>
      </c>
      <c r="J15" s="23" t="s">
        <v>38</v>
      </c>
      <c r="K15" s="25"/>
      <c r="L15" s="25"/>
      <c r="M15" s="25"/>
      <c r="N15" s="58"/>
      <c r="O15" s="25"/>
      <c r="P15" s="81"/>
      <c r="Q15" s="162">
        <f t="shared" ref="Q15" si="3">+P15*F15</f>
        <v>0</v>
      </c>
      <c r="R15" s="85"/>
      <c r="S15" s="83" t="s">
        <v>135</v>
      </c>
      <c r="T15" s="132" t="s">
        <v>60</v>
      </c>
      <c r="U15" s="132" t="s">
        <v>61</v>
      </c>
      <c r="V15" s="132" t="s">
        <v>62</v>
      </c>
      <c r="W15" s="132" t="s">
        <v>62</v>
      </c>
    </row>
    <row r="16" spans="1:23" s="4" customFormat="1" ht="16.2" hidden="1" customHeight="1" x14ac:dyDescent="0.3">
      <c r="A16" s="78"/>
      <c r="B16" s="78"/>
      <c r="C16" s="237"/>
      <c r="D16" s="83"/>
      <c r="E16" s="81"/>
      <c r="F16" s="83"/>
      <c r="G16" s="81"/>
      <c r="H16" s="81"/>
      <c r="I16" s="81"/>
      <c r="J16" s="23" t="s">
        <v>43</v>
      </c>
      <c r="K16" s="25">
        <v>0.95</v>
      </c>
      <c r="L16" s="25">
        <v>0.95</v>
      </c>
      <c r="M16" s="25">
        <v>0.95</v>
      </c>
      <c r="N16" s="58">
        <v>0.95</v>
      </c>
      <c r="O16" s="25" t="s">
        <v>61</v>
      </c>
      <c r="P16" s="81"/>
      <c r="Q16" s="163"/>
      <c r="R16" s="85"/>
      <c r="S16" s="83"/>
      <c r="T16" s="132"/>
      <c r="U16" s="132"/>
      <c r="V16" s="132"/>
      <c r="W16" s="132"/>
    </row>
    <row r="17" spans="1:23" s="4" customFormat="1" ht="16.2" hidden="1" customHeight="1" x14ac:dyDescent="0.3">
      <c r="A17" s="78"/>
      <c r="B17" s="78"/>
      <c r="C17" s="237" t="s">
        <v>132</v>
      </c>
      <c r="D17" s="83" t="s">
        <v>34</v>
      </c>
      <c r="E17" s="81" t="s">
        <v>35</v>
      </c>
      <c r="F17" s="83"/>
      <c r="G17" s="81" t="s">
        <v>36</v>
      </c>
      <c r="H17" s="81" t="s">
        <v>37</v>
      </c>
      <c r="I17" s="81">
        <v>0.95</v>
      </c>
      <c r="J17" s="23" t="s">
        <v>38</v>
      </c>
      <c r="K17" s="25"/>
      <c r="L17" s="25"/>
      <c r="M17" s="25"/>
      <c r="N17" s="58"/>
      <c r="O17" s="25"/>
      <c r="P17" s="81"/>
      <c r="Q17" s="162">
        <f t="shared" ref="Q17" si="4">+P17*F17</f>
        <v>0</v>
      </c>
      <c r="R17" s="85"/>
      <c r="S17" s="83" t="s">
        <v>135</v>
      </c>
      <c r="T17" s="132" t="s">
        <v>60</v>
      </c>
      <c r="U17" s="132" t="s">
        <v>61</v>
      </c>
      <c r="V17" s="132" t="s">
        <v>62</v>
      </c>
      <c r="W17" s="132" t="s">
        <v>62</v>
      </c>
    </row>
    <row r="18" spans="1:23" s="4" customFormat="1" ht="16.2" hidden="1" customHeight="1" x14ac:dyDescent="0.3">
      <c r="A18" s="78"/>
      <c r="B18" s="78"/>
      <c r="C18" s="237"/>
      <c r="D18" s="83"/>
      <c r="E18" s="81"/>
      <c r="F18" s="83"/>
      <c r="G18" s="81"/>
      <c r="H18" s="81"/>
      <c r="I18" s="81"/>
      <c r="J18" s="23" t="s">
        <v>43</v>
      </c>
      <c r="K18" s="25">
        <v>0.95</v>
      </c>
      <c r="L18" s="25">
        <v>0.95</v>
      </c>
      <c r="M18" s="25">
        <v>0.95</v>
      </c>
      <c r="N18" s="58">
        <v>0.95</v>
      </c>
      <c r="O18" s="25" t="s">
        <v>61</v>
      </c>
      <c r="P18" s="81"/>
      <c r="Q18" s="163"/>
      <c r="R18" s="85"/>
      <c r="S18" s="83"/>
      <c r="T18" s="132"/>
      <c r="U18" s="132"/>
      <c r="V18" s="132"/>
      <c r="W18" s="132"/>
    </row>
    <row r="19" spans="1:23" s="4" customFormat="1" ht="16.2" hidden="1" customHeight="1" x14ac:dyDescent="0.3">
      <c r="A19" s="78"/>
      <c r="B19" s="78"/>
      <c r="C19" s="237" t="s">
        <v>133</v>
      </c>
      <c r="D19" s="83" t="s">
        <v>34</v>
      </c>
      <c r="E19" s="81" t="s">
        <v>35</v>
      </c>
      <c r="F19" s="83"/>
      <c r="G19" s="81" t="s">
        <v>36</v>
      </c>
      <c r="H19" s="81" t="s">
        <v>50</v>
      </c>
      <c r="I19" s="81"/>
      <c r="J19" s="23" t="s">
        <v>38</v>
      </c>
      <c r="K19" s="226"/>
      <c r="L19" s="227"/>
      <c r="M19" s="227"/>
      <c r="N19" s="227"/>
      <c r="O19" s="25"/>
      <c r="P19" s="81"/>
      <c r="Q19" s="162">
        <f t="shared" ref="Q19" si="5">+P19*F19</f>
        <v>0</v>
      </c>
      <c r="R19" s="85"/>
      <c r="S19" s="83" t="s">
        <v>135</v>
      </c>
      <c r="T19" s="132" t="s">
        <v>60</v>
      </c>
      <c r="U19" s="132" t="s">
        <v>61</v>
      </c>
      <c r="V19" s="132" t="s">
        <v>62</v>
      </c>
      <c r="W19" s="132" t="s">
        <v>62</v>
      </c>
    </row>
    <row r="20" spans="1:23" s="4" customFormat="1" ht="16.2" hidden="1" customHeight="1" x14ac:dyDescent="0.3">
      <c r="A20" s="78"/>
      <c r="B20" s="78"/>
      <c r="C20" s="237"/>
      <c r="D20" s="83"/>
      <c r="E20" s="81"/>
      <c r="F20" s="83"/>
      <c r="G20" s="81"/>
      <c r="H20" s="81"/>
      <c r="I20" s="81"/>
      <c r="J20" s="23" t="s">
        <v>43</v>
      </c>
      <c r="K20" s="226">
        <v>0.95</v>
      </c>
      <c r="L20" s="227"/>
      <c r="M20" s="227"/>
      <c r="N20" s="227"/>
      <c r="O20" s="25" t="s">
        <v>61</v>
      </c>
      <c r="P20" s="81"/>
      <c r="Q20" s="163"/>
      <c r="R20" s="85"/>
      <c r="S20" s="83"/>
      <c r="T20" s="132"/>
      <c r="U20" s="132"/>
      <c r="V20" s="132"/>
      <c r="W20" s="132"/>
    </row>
    <row r="21" spans="1:23" s="4" customFormat="1" ht="16.2" customHeight="1" x14ac:dyDescent="0.3">
      <c r="A21" s="78"/>
      <c r="B21" s="78"/>
      <c r="C21" s="253" t="s">
        <v>239</v>
      </c>
      <c r="D21" s="83" t="s">
        <v>34</v>
      </c>
      <c r="E21" s="81" t="s">
        <v>35</v>
      </c>
      <c r="F21" s="83">
        <v>0.11</v>
      </c>
      <c r="G21" s="81" t="s">
        <v>36</v>
      </c>
      <c r="H21" s="81" t="s">
        <v>37</v>
      </c>
      <c r="I21" s="81">
        <v>0.95</v>
      </c>
      <c r="J21" s="23" t="s">
        <v>38</v>
      </c>
      <c r="K21" s="75">
        <v>0.95</v>
      </c>
      <c r="L21" s="25">
        <v>0.95</v>
      </c>
      <c r="M21" s="25">
        <v>0.95</v>
      </c>
      <c r="N21" s="58">
        <v>0.95</v>
      </c>
      <c r="O21" s="25">
        <v>0.95</v>
      </c>
      <c r="P21" s="81">
        <v>3</v>
      </c>
      <c r="Q21" s="162">
        <f t="shared" ref="Q21" si="6">+P21*F21</f>
        <v>0.33</v>
      </c>
      <c r="R21" s="85"/>
      <c r="S21" s="83" t="s">
        <v>135</v>
      </c>
      <c r="T21" s="132" t="s">
        <v>60</v>
      </c>
      <c r="U21" s="132" t="s">
        <v>61</v>
      </c>
      <c r="V21" s="132" t="s">
        <v>62</v>
      </c>
      <c r="W21" s="132" t="s">
        <v>62</v>
      </c>
    </row>
    <row r="22" spans="1:23" s="4" customFormat="1" ht="16.2" customHeight="1" x14ac:dyDescent="0.3">
      <c r="A22" s="78"/>
      <c r="B22" s="78"/>
      <c r="C22" s="254"/>
      <c r="D22" s="83"/>
      <c r="E22" s="81"/>
      <c r="F22" s="83"/>
      <c r="G22" s="81"/>
      <c r="H22" s="81"/>
      <c r="I22" s="81"/>
      <c r="J22" s="23" t="s">
        <v>43</v>
      </c>
      <c r="K22" s="25">
        <v>0.95</v>
      </c>
      <c r="L22" s="25">
        <v>0.95</v>
      </c>
      <c r="M22" s="25">
        <v>0.95</v>
      </c>
      <c r="N22" s="58">
        <v>0.95</v>
      </c>
      <c r="O22" s="25" t="s">
        <v>61</v>
      </c>
      <c r="P22" s="81"/>
      <c r="Q22" s="163"/>
      <c r="R22" s="85"/>
      <c r="S22" s="83"/>
      <c r="T22" s="132"/>
      <c r="U22" s="132"/>
      <c r="V22" s="132"/>
      <c r="W22" s="132"/>
    </row>
    <row r="23" spans="1:23" s="4" customFormat="1" ht="16.2" hidden="1" customHeight="1" x14ac:dyDescent="0.3">
      <c r="A23" s="78"/>
      <c r="B23" s="78"/>
      <c r="C23" s="237" t="s">
        <v>131</v>
      </c>
      <c r="D23" s="83" t="s">
        <v>34</v>
      </c>
      <c r="E23" s="81" t="s">
        <v>35</v>
      </c>
      <c r="F23" s="83"/>
      <c r="G23" s="81" t="s">
        <v>36</v>
      </c>
      <c r="H23" s="81" t="s">
        <v>37</v>
      </c>
      <c r="I23" s="81">
        <v>0.95</v>
      </c>
      <c r="J23" s="23" t="s">
        <v>38</v>
      </c>
      <c r="K23" s="25"/>
      <c r="L23" s="25"/>
      <c r="M23" s="25"/>
      <c r="N23" s="25"/>
      <c r="O23" s="25"/>
      <c r="P23" s="81"/>
      <c r="Q23" s="162">
        <f>+P23*F23</f>
        <v>0</v>
      </c>
      <c r="R23" s="85"/>
      <c r="S23" s="83" t="s">
        <v>135</v>
      </c>
      <c r="T23" s="132" t="s">
        <v>60</v>
      </c>
      <c r="U23" s="132" t="s">
        <v>61</v>
      </c>
      <c r="V23" s="132" t="s">
        <v>62</v>
      </c>
      <c r="W23" s="132" t="s">
        <v>62</v>
      </c>
    </row>
    <row r="24" spans="1:23" s="4" customFormat="1" ht="16.2" hidden="1" customHeight="1" x14ac:dyDescent="0.3">
      <c r="A24" s="78"/>
      <c r="B24" s="78"/>
      <c r="C24" s="237"/>
      <c r="D24" s="83"/>
      <c r="E24" s="81"/>
      <c r="F24" s="83"/>
      <c r="G24" s="81"/>
      <c r="H24" s="81"/>
      <c r="I24" s="81"/>
      <c r="J24" s="23" t="s">
        <v>43</v>
      </c>
      <c r="K24" s="25">
        <v>0.95</v>
      </c>
      <c r="L24" s="25">
        <v>0.95</v>
      </c>
      <c r="M24" s="25">
        <v>0.95</v>
      </c>
      <c r="N24" s="25">
        <v>0.95</v>
      </c>
      <c r="O24" s="25" t="s">
        <v>61</v>
      </c>
      <c r="P24" s="81"/>
      <c r="Q24" s="163"/>
      <c r="R24" s="85"/>
      <c r="S24" s="83"/>
      <c r="T24" s="132"/>
      <c r="U24" s="132"/>
      <c r="V24" s="132"/>
      <c r="W24" s="132"/>
    </row>
    <row r="25" spans="1:23" s="3" customFormat="1" ht="16.2" hidden="1" customHeight="1" x14ac:dyDescent="0.3">
      <c r="A25" s="78"/>
      <c r="B25" s="78"/>
      <c r="C25" s="237" t="s">
        <v>132</v>
      </c>
      <c r="D25" s="83" t="s">
        <v>34</v>
      </c>
      <c r="E25" s="81" t="s">
        <v>35</v>
      </c>
      <c r="F25" s="83"/>
      <c r="G25" s="81" t="s">
        <v>36</v>
      </c>
      <c r="H25" s="81" t="s">
        <v>37</v>
      </c>
      <c r="I25" s="81">
        <v>0.95</v>
      </c>
      <c r="J25" s="23" t="s">
        <v>38</v>
      </c>
      <c r="K25" s="226"/>
      <c r="L25" s="227"/>
      <c r="M25" s="227"/>
      <c r="N25" s="228"/>
      <c r="O25" s="25"/>
      <c r="P25" s="81"/>
      <c r="Q25" s="162">
        <f>+P25*F25</f>
        <v>0</v>
      </c>
      <c r="R25" s="85"/>
      <c r="S25" s="83" t="s">
        <v>135</v>
      </c>
      <c r="T25" s="132" t="s">
        <v>60</v>
      </c>
      <c r="U25" s="132" t="s">
        <v>61</v>
      </c>
      <c r="V25" s="132" t="s">
        <v>62</v>
      </c>
      <c r="W25" s="132" t="s">
        <v>62</v>
      </c>
    </row>
    <row r="26" spans="1:23" s="3" customFormat="1" ht="16.2" hidden="1" customHeight="1" x14ac:dyDescent="0.3">
      <c r="A26" s="78"/>
      <c r="B26" s="78"/>
      <c r="C26" s="237"/>
      <c r="D26" s="83"/>
      <c r="E26" s="81"/>
      <c r="F26" s="83"/>
      <c r="G26" s="81"/>
      <c r="H26" s="81"/>
      <c r="I26" s="81"/>
      <c r="J26" s="23" t="s">
        <v>43</v>
      </c>
      <c r="K26" s="226">
        <v>0.95</v>
      </c>
      <c r="L26" s="227"/>
      <c r="M26" s="227"/>
      <c r="N26" s="228"/>
      <c r="O26" s="25" t="s">
        <v>61</v>
      </c>
      <c r="P26" s="81"/>
      <c r="Q26" s="163"/>
      <c r="R26" s="85"/>
      <c r="S26" s="83"/>
      <c r="T26" s="132"/>
      <c r="U26" s="132"/>
      <c r="V26" s="132"/>
      <c r="W26" s="132"/>
    </row>
    <row r="27" spans="1:23" s="3" customFormat="1" ht="16.2" hidden="1" customHeight="1" x14ac:dyDescent="0.3">
      <c r="A27" s="78"/>
      <c r="B27" s="78"/>
      <c r="C27" s="237" t="s">
        <v>133</v>
      </c>
      <c r="D27" s="83" t="s">
        <v>34</v>
      </c>
      <c r="E27" s="81" t="s">
        <v>35</v>
      </c>
      <c r="F27" s="83"/>
      <c r="G27" s="81" t="s">
        <v>36</v>
      </c>
      <c r="H27" s="81" t="s">
        <v>50</v>
      </c>
      <c r="I27" s="81"/>
      <c r="J27" s="23" t="s">
        <v>38</v>
      </c>
      <c r="K27" s="191"/>
      <c r="L27" s="192"/>
      <c r="M27" s="192"/>
      <c r="N27" s="193"/>
      <c r="O27" s="17"/>
      <c r="P27" s="81"/>
      <c r="Q27" s="162">
        <f>+P27*F27</f>
        <v>0</v>
      </c>
      <c r="R27" s="85"/>
      <c r="S27" s="83" t="s">
        <v>135</v>
      </c>
      <c r="T27" s="132" t="s">
        <v>60</v>
      </c>
      <c r="U27" s="132" t="s">
        <v>61</v>
      </c>
      <c r="V27" s="132" t="s">
        <v>62</v>
      </c>
      <c r="W27" s="132" t="s">
        <v>62</v>
      </c>
    </row>
    <row r="28" spans="1:23" s="3" customFormat="1" ht="16.2" hidden="1" customHeight="1" x14ac:dyDescent="0.3">
      <c r="A28" s="127"/>
      <c r="B28" s="127"/>
      <c r="C28" s="237"/>
      <c r="D28" s="83"/>
      <c r="E28" s="81"/>
      <c r="F28" s="83"/>
      <c r="G28" s="81"/>
      <c r="H28" s="81"/>
      <c r="I28" s="81"/>
      <c r="J28" s="23" t="s">
        <v>43</v>
      </c>
      <c r="K28" s="191" t="s">
        <v>62</v>
      </c>
      <c r="L28" s="192"/>
      <c r="M28" s="192"/>
      <c r="N28" s="193"/>
      <c r="O28" s="17" t="s">
        <v>62</v>
      </c>
      <c r="P28" s="81"/>
      <c r="Q28" s="163"/>
      <c r="R28" s="85"/>
      <c r="S28" s="83"/>
      <c r="T28" s="132"/>
      <c r="U28" s="132"/>
      <c r="V28" s="132"/>
      <c r="W28" s="132"/>
    </row>
    <row r="29" spans="1:23" s="3" customFormat="1" ht="16.2" customHeight="1" x14ac:dyDescent="0.3">
      <c r="A29" s="77" t="s">
        <v>76</v>
      </c>
      <c r="B29" s="77" t="s">
        <v>77</v>
      </c>
      <c r="C29" s="178" t="s">
        <v>78</v>
      </c>
      <c r="D29" s="118" t="s">
        <v>34</v>
      </c>
      <c r="E29" s="93" t="s">
        <v>79</v>
      </c>
      <c r="F29" s="118" t="s">
        <v>62</v>
      </c>
      <c r="G29" s="93" t="s">
        <v>58</v>
      </c>
      <c r="H29" s="93" t="s">
        <v>50</v>
      </c>
      <c r="I29" s="93"/>
      <c r="J29" s="27" t="s">
        <v>38</v>
      </c>
      <c r="K29" s="208"/>
      <c r="L29" s="209"/>
      <c r="M29" s="209"/>
      <c r="N29" s="210"/>
      <c r="O29" s="40"/>
      <c r="P29" s="88"/>
      <c r="Q29" s="162"/>
      <c r="R29" s="85"/>
      <c r="S29" s="83" t="s">
        <v>142</v>
      </c>
      <c r="T29" s="81" t="s">
        <v>80</v>
      </c>
      <c r="U29" s="79" t="s">
        <v>81</v>
      </c>
      <c r="V29" s="81" t="s">
        <v>82</v>
      </c>
      <c r="W29" s="81" t="s">
        <v>83</v>
      </c>
    </row>
    <row r="30" spans="1:23" s="3" customFormat="1" ht="22.5" customHeight="1" x14ac:dyDescent="0.3">
      <c r="A30" s="78"/>
      <c r="B30" s="78"/>
      <c r="C30" s="178"/>
      <c r="D30" s="93"/>
      <c r="E30" s="93"/>
      <c r="F30" s="118"/>
      <c r="G30" s="93"/>
      <c r="H30" s="93"/>
      <c r="I30" s="93"/>
      <c r="J30" s="27" t="s">
        <v>43</v>
      </c>
      <c r="K30" s="185"/>
      <c r="L30" s="186"/>
      <c r="M30" s="186"/>
      <c r="N30" s="187"/>
      <c r="O30" s="22"/>
      <c r="P30" s="88"/>
      <c r="Q30" s="163"/>
      <c r="R30" s="85"/>
      <c r="S30" s="81"/>
      <c r="T30" s="81"/>
      <c r="U30" s="80"/>
      <c r="V30" s="81"/>
      <c r="W30" s="81"/>
    </row>
    <row r="31" spans="1:23" s="3" customFormat="1" ht="16.2" customHeight="1" x14ac:dyDescent="0.3">
      <c r="A31" s="78"/>
      <c r="B31" s="78"/>
      <c r="C31" s="178" t="s">
        <v>84</v>
      </c>
      <c r="D31" s="118" t="s">
        <v>34</v>
      </c>
      <c r="E31" s="93" t="s">
        <v>79</v>
      </c>
      <c r="F31" s="118" t="s">
        <v>62</v>
      </c>
      <c r="G31" s="93" t="s">
        <v>58</v>
      </c>
      <c r="H31" s="93" t="s">
        <v>50</v>
      </c>
      <c r="I31" s="93"/>
      <c r="J31" s="27" t="s">
        <v>38</v>
      </c>
      <c r="K31" s="188"/>
      <c r="L31" s="189"/>
      <c r="M31" s="189"/>
      <c r="N31" s="190"/>
      <c r="O31" s="39"/>
      <c r="P31" s="93"/>
      <c r="Q31" s="162"/>
      <c r="R31" s="85"/>
      <c r="S31" s="83" t="s">
        <v>142</v>
      </c>
      <c r="T31" s="81" t="s">
        <v>80</v>
      </c>
      <c r="U31" s="79" t="s">
        <v>81</v>
      </c>
      <c r="V31" s="81" t="s">
        <v>82</v>
      </c>
      <c r="W31" s="81" t="s">
        <v>83</v>
      </c>
    </row>
    <row r="32" spans="1:23" s="3" customFormat="1" ht="24" customHeight="1" x14ac:dyDescent="0.3">
      <c r="A32" s="78"/>
      <c r="B32" s="78"/>
      <c r="C32" s="178"/>
      <c r="D32" s="93"/>
      <c r="E32" s="93"/>
      <c r="F32" s="118"/>
      <c r="G32" s="93"/>
      <c r="H32" s="93"/>
      <c r="I32" s="93"/>
      <c r="J32" s="27" t="s">
        <v>43</v>
      </c>
      <c r="K32" s="185"/>
      <c r="L32" s="186"/>
      <c r="M32" s="186"/>
      <c r="N32" s="187"/>
      <c r="O32" s="22"/>
      <c r="P32" s="93"/>
      <c r="Q32" s="163"/>
      <c r="R32" s="85"/>
      <c r="S32" s="81"/>
      <c r="T32" s="81"/>
      <c r="U32" s="80"/>
      <c r="V32" s="81"/>
      <c r="W32" s="81"/>
    </row>
    <row r="33" spans="1:23" s="3" customFormat="1" ht="16.2" customHeight="1" x14ac:dyDescent="0.3">
      <c r="A33" s="78"/>
      <c r="B33" s="78"/>
      <c r="C33" s="178" t="s">
        <v>240</v>
      </c>
      <c r="D33" s="118" t="s">
        <v>34</v>
      </c>
      <c r="E33" s="93" t="s">
        <v>79</v>
      </c>
      <c r="F33" s="118" t="s">
        <v>62</v>
      </c>
      <c r="G33" s="93" t="s">
        <v>58</v>
      </c>
      <c r="H33" s="93" t="s">
        <v>50</v>
      </c>
      <c r="I33" s="93"/>
      <c r="J33" s="27" t="s">
        <v>38</v>
      </c>
      <c r="K33" s="188"/>
      <c r="L33" s="189"/>
      <c r="M33" s="189"/>
      <c r="N33" s="190"/>
      <c r="O33" s="39"/>
      <c r="P33" s="93"/>
      <c r="Q33" s="162"/>
      <c r="R33" s="85"/>
      <c r="S33" s="83" t="s">
        <v>142</v>
      </c>
      <c r="T33" s="81" t="s">
        <v>80</v>
      </c>
      <c r="U33" s="79" t="s">
        <v>81</v>
      </c>
      <c r="V33" s="81" t="s">
        <v>82</v>
      </c>
      <c r="W33" s="81" t="s">
        <v>83</v>
      </c>
    </row>
    <row r="34" spans="1:23" s="3" customFormat="1" ht="21.6" customHeight="1" x14ac:dyDescent="0.3">
      <c r="A34" s="78"/>
      <c r="B34" s="78"/>
      <c r="C34" s="178"/>
      <c r="D34" s="93"/>
      <c r="E34" s="93"/>
      <c r="F34" s="118"/>
      <c r="G34" s="93"/>
      <c r="H34" s="93"/>
      <c r="I34" s="93"/>
      <c r="J34" s="27" t="s">
        <v>43</v>
      </c>
      <c r="K34" s="185"/>
      <c r="L34" s="186"/>
      <c r="M34" s="186"/>
      <c r="N34" s="187"/>
      <c r="O34" s="22"/>
      <c r="P34" s="93"/>
      <c r="Q34" s="163"/>
      <c r="R34" s="85"/>
      <c r="S34" s="81"/>
      <c r="T34" s="81"/>
      <c r="U34" s="80"/>
      <c r="V34" s="81"/>
      <c r="W34" s="81"/>
    </row>
    <row r="35" spans="1:23" s="3" customFormat="1" ht="16.2" customHeight="1" x14ac:dyDescent="0.3">
      <c r="A35" s="220"/>
      <c r="B35" s="106" t="s">
        <v>209</v>
      </c>
      <c r="C35" s="256" t="s">
        <v>93</v>
      </c>
      <c r="D35" s="83" t="s">
        <v>34</v>
      </c>
      <c r="E35" s="81" t="s">
        <v>35</v>
      </c>
      <c r="F35" s="83">
        <v>0.05</v>
      </c>
      <c r="G35" s="81" t="s">
        <v>64</v>
      </c>
      <c r="H35" s="81" t="s">
        <v>59</v>
      </c>
      <c r="I35" s="81">
        <v>18</v>
      </c>
      <c r="J35" s="23" t="s">
        <v>38</v>
      </c>
      <c r="K35" s="23">
        <v>5</v>
      </c>
      <c r="L35" s="23">
        <v>2</v>
      </c>
      <c r="M35" s="23">
        <v>1</v>
      </c>
      <c r="N35" s="23">
        <v>2</v>
      </c>
      <c r="O35" s="32">
        <v>10</v>
      </c>
      <c r="P35" s="81">
        <v>4</v>
      </c>
      <c r="Q35" s="162">
        <f t="shared" ref="Q35" si="7">+P35*F35</f>
        <v>0.2</v>
      </c>
      <c r="R35" s="240" t="s">
        <v>258</v>
      </c>
      <c r="S35" s="97" t="s">
        <v>94</v>
      </c>
      <c r="T35" s="97" t="s">
        <v>95</v>
      </c>
      <c r="U35" s="97" t="s">
        <v>96</v>
      </c>
      <c r="V35" s="97" t="s">
        <v>97</v>
      </c>
      <c r="W35" s="90" t="s">
        <v>98</v>
      </c>
    </row>
    <row r="36" spans="1:23" s="3" customFormat="1" ht="16.2" customHeight="1" x14ac:dyDescent="0.3">
      <c r="A36" s="220"/>
      <c r="B36" s="106"/>
      <c r="C36" s="256"/>
      <c r="D36" s="81"/>
      <c r="E36" s="81"/>
      <c r="F36" s="83"/>
      <c r="G36" s="81"/>
      <c r="H36" s="81"/>
      <c r="I36" s="81"/>
      <c r="J36" s="23" t="s">
        <v>43</v>
      </c>
      <c r="K36" s="23">
        <v>2</v>
      </c>
      <c r="L36" s="23">
        <v>2</v>
      </c>
      <c r="M36" s="23">
        <v>2</v>
      </c>
      <c r="N36" s="23">
        <v>2</v>
      </c>
      <c r="O36" s="33" t="s">
        <v>96</v>
      </c>
      <c r="P36" s="81"/>
      <c r="Q36" s="163"/>
      <c r="R36" s="240"/>
      <c r="S36" s="98"/>
      <c r="T36" s="98"/>
      <c r="U36" s="98"/>
      <c r="V36" s="98"/>
      <c r="W36" s="97"/>
    </row>
    <row r="37" spans="1:23" s="3" customFormat="1" ht="16.2" customHeight="1" x14ac:dyDescent="0.3">
      <c r="A37" s="220"/>
      <c r="B37" s="106"/>
      <c r="C37" s="125" t="s">
        <v>99</v>
      </c>
      <c r="D37" s="96" t="s">
        <v>34</v>
      </c>
      <c r="E37" s="95" t="s">
        <v>35</v>
      </c>
      <c r="F37" s="96">
        <v>0.05</v>
      </c>
      <c r="G37" s="95" t="s">
        <v>64</v>
      </c>
      <c r="H37" s="95" t="s">
        <v>59</v>
      </c>
      <c r="I37" s="95">
        <v>732</v>
      </c>
      <c r="J37" s="28" t="s">
        <v>38</v>
      </c>
      <c r="K37" s="28">
        <v>150</v>
      </c>
      <c r="L37" s="28">
        <v>150</v>
      </c>
      <c r="M37" s="28">
        <v>150</v>
      </c>
      <c r="N37" s="28">
        <v>400</v>
      </c>
      <c r="O37" s="28">
        <v>850</v>
      </c>
      <c r="P37" s="95">
        <v>2</v>
      </c>
      <c r="Q37" s="162">
        <f t="shared" ref="Q37" si="8">+P37*F37</f>
        <v>0.1</v>
      </c>
      <c r="R37" s="91"/>
      <c r="S37" s="176" t="s">
        <v>241</v>
      </c>
      <c r="T37" s="176" t="s">
        <v>242</v>
      </c>
      <c r="U37" s="176" t="s">
        <v>243</v>
      </c>
      <c r="V37" s="173" t="s">
        <v>244</v>
      </c>
      <c r="W37" s="93" t="s">
        <v>245</v>
      </c>
    </row>
    <row r="38" spans="1:23" s="3" customFormat="1" ht="16.2" customHeight="1" x14ac:dyDescent="0.3">
      <c r="A38" s="220"/>
      <c r="B38" s="106"/>
      <c r="C38" s="125"/>
      <c r="D38" s="95"/>
      <c r="E38" s="95"/>
      <c r="F38" s="96"/>
      <c r="G38" s="95"/>
      <c r="H38" s="95"/>
      <c r="I38" s="95"/>
      <c r="J38" s="28" t="s">
        <v>43</v>
      </c>
      <c r="K38" s="28">
        <v>350</v>
      </c>
      <c r="L38" s="28">
        <v>150</v>
      </c>
      <c r="M38" s="28">
        <v>250</v>
      </c>
      <c r="N38" s="28">
        <v>350</v>
      </c>
      <c r="O38" s="28" t="s">
        <v>243</v>
      </c>
      <c r="P38" s="95"/>
      <c r="Q38" s="163"/>
      <c r="R38" s="91"/>
      <c r="S38" s="177"/>
      <c r="T38" s="177"/>
      <c r="U38" s="177"/>
      <c r="V38" s="173"/>
      <c r="W38" s="93"/>
    </row>
    <row r="39" spans="1:23" s="3" customFormat="1" ht="16.2" customHeight="1" x14ac:dyDescent="0.3">
      <c r="A39" s="220"/>
      <c r="B39" s="106" t="s">
        <v>210</v>
      </c>
      <c r="C39" s="255" t="s">
        <v>86</v>
      </c>
      <c r="D39" s="101" t="s">
        <v>34</v>
      </c>
      <c r="E39" s="80" t="s">
        <v>35</v>
      </c>
      <c r="F39" s="101">
        <v>0.04</v>
      </c>
      <c r="G39" s="80" t="s">
        <v>64</v>
      </c>
      <c r="H39" s="80" t="s">
        <v>211</v>
      </c>
      <c r="I39" s="80">
        <v>78</v>
      </c>
      <c r="J39" s="30" t="s">
        <v>38</v>
      </c>
      <c r="K39" s="30">
        <v>45</v>
      </c>
      <c r="L39" s="30">
        <v>40</v>
      </c>
      <c r="M39" s="30">
        <v>10</v>
      </c>
      <c r="N39" s="30">
        <v>35</v>
      </c>
      <c r="O39" s="28">
        <v>130</v>
      </c>
      <c r="P39" s="80">
        <v>5</v>
      </c>
      <c r="Q39" s="162">
        <f t="shared" ref="Q39" si="9">+P39*F39</f>
        <v>0.2</v>
      </c>
      <c r="R39" s="257" t="s">
        <v>259</v>
      </c>
      <c r="S39" s="81" t="s">
        <v>231</v>
      </c>
      <c r="T39" s="81" t="s">
        <v>232</v>
      </c>
      <c r="U39" s="81" t="s">
        <v>233</v>
      </c>
      <c r="V39" s="81" t="s">
        <v>234</v>
      </c>
      <c r="W39" s="81" t="s">
        <v>140</v>
      </c>
    </row>
    <row r="40" spans="1:23" ht="16.2" customHeight="1" x14ac:dyDescent="0.3">
      <c r="A40" s="220"/>
      <c r="B40" s="106"/>
      <c r="C40" s="256"/>
      <c r="D40" s="81"/>
      <c r="E40" s="81"/>
      <c r="F40" s="83"/>
      <c r="G40" s="81"/>
      <c r="H40" s="81"/>
      <c r="I40" s="81"/>
      <c r="J40" s="23" t="s">
        <v>43</v>
      </c>
      <c r="K40" s="23">
        <v>18</v>
      </c>
      <c r="L40" s="23">
        <v>18</v>
      </c>
      <c r="M40" s="23">
        <v>18</v>
      </c>
      <c r="N40" s="23">
        <v>18</v>
      </c>
      <c r="O40" s="23" t="s">
        <v>89</v>
      </c>
      <c r="P40" s="81"/>
      <c r="Q40" s="163"/>
      <c r="R40" s="257"/>
      <c r="S40" s="81"/>
      <c r="T40" s="81"/>
      <c r="U40" s="81"/>
      <c r="V40" s="81"/>
      <c r="W40" s="81"/>
    </row>
    <row r="41" spans="1:23" s="3" customFormat="1" ht="16.2" customHeight="1" x14ac:dyDescent="0.3">
      <c r="A41" s="220"/>
      <c r="B41" s="106"/>
      <c r="C41" s="116" t="s">
        <v>91</v>
      </c>
      <c r="D41" s="83" t="s">
        <v>34</v>
      </c>
      <c r="E41" s="81" t="s">
        <v>35</v>
      </c>
      <c r="F41" s="83">
        <v>0.04</v>
      </c>
      <c r="G41" s="81" t="s">
        <v>64</v>
      </c>
      <c r="H41" s="81" t="s">
        <v>59</v>
      </c>
      <c r="I41" s="81">
        <v>53</v>
      </c>
      <c r="J41" s="23" t="s">
        <v>38</v>
      </c>
      <c r="K41" s="23">
        <v>10</v>
      </c>
      <c r="L41" s="23">
        <v>4</v>
      </c>
      <c r="M41" s="23">
        <v>12</v>
      </c>
      <c r="N41" s="23">
        <v>8</v>
      </c>
      <c r="O41" s="28"/>
      <c r="P41" s="81">
        <v>1</v>
      </c>
      <c r="Q41" s="162">
        <f t="shared" ref="Q41" si="10">+P41*F41</f>
        <v>0.04</v>
      </c>
      <c r="R41" s="85"/>
      <c r="S41" s="81" t="s">
        <v>145</v>
      </c>
      <c r="T41" s="81" t="s">
        <v>87</v>
      </c>
      <c r="U41" s="81" t="s">
        <v>88</v>
      </c>
      <c r="V41" s="81" t="s">
        <v>89</v>
      </c>
      <c r="W41" s="81" t="s">
        <v>90</v>
      </c>
    </row>
    <row r="42" spans="1:23" s="3" customFormat="1" ht="16.2" customHeight="1" x14ac:dyDescent="0.3">
      <c r="A42" s="220"/>
      <c r="B42" s="106"/>
      <c r="C42" s="116"/>
      <c r="D42" s="81"/>
      <c r="E42" s="81"/>
      <c r="F42" s="83"/>
      <c r="G42" s="81"/>
      <c r="H42" s="81"/>
      <c r="I42" s="81"/>
      <c r="J42" s="23" t="s">
        <v>43</v>
      </c>
      <c r="K42" s="23">
        <v>14</v>
      </c>
      <c r="L42" s="23">
        <v>14</v>
      </c>
      <c r="M42" s="23">
        <v>14</v>
      </c>
      <c r="N42" s="23">
        <v>14</v>
      </c>
      <c r="O42" s="23" t="s">
        <v>88</v>
      </c>
      <c r="P42" s="81"/>
      <c r="Q42" s="163"/>
      <c r="R42" s="85"/>
      <c r="S42" s="81"/>
      <c r="T42" s="81"/>
      <c r="U42" s="81"/>
      <c r="V42" s="81"/>
      <c r="W42" s="81"/>
    </row>
    <row r="43" spans="1:23" s="3" customFormat="1" ht="16.2" customHeight="1" x14ac:dyDescent="0.3">
      <c r="A43" s="220"/>
      <c r="B43" s="106"/>
      <c r="C43" s="116" t="s">
        <v>109</v>
      </c>
      <c r="D43" s="83" t="s">
        <v>110</v>
      </c>
      <c r="E43" s="81" t="s">
        <v>62</v>
      </c>
      <c r="F43" s="83" t="s">
        <v>62</v>
      </c>
      <c r="G43" s="81" t="s">
        <v>64</v>
      </c>
      <c r="H43" s="81" t="s">
        <v>50</v>
      </c>
      <c r="I43" s="81">
        <v>750</v>
      </c>
      <c r="J43" s="23" t="s">
        <v>38</v>
      </c>
      <c r="K43" s="169"/>
      <c r="L43" s="170"/>
      <c r="M43" s="170"/>
      <c r="N43" s="171"/>
      <c r="O43" s="23"/>
      <c r="P43" s="81"/>
      <c r="Q43" s="162"/>
      <c r="R43" s="85"/>
      <c r="S43" s="90" t="s">
        <v>62</v>
      </c>
      <c r="T43" s="90" t="s">
        <v>62</v>
      </c>
      <c r="U43" s="90" t="s">
        <v>62</v>
      </c>
      <c r="V43" s="90" t="s">
        <v>62</v>
      </c>
      <c r="W43" s="90" t="s">
        <v>62</v>
      </c>
    </row>
    <row r="44" spans="1:23" ht="16.2" customHeight="1" x14ac:dyDescent="0.3">
      <c r="A44" s="220"/>
      <c r="B44" s="106"/>
      <c r="C44" s="116"/>
      <c r="D44" s="81"/>
      <c r="E44" s="81"/>
      <c r="F44" s="83"/>
      <c r="G44" s="81"/>
      <c r="H44" s="81"/>
      <c r="I44" s="81"/>
      <c r="J44" s="23" t="s">
        <v>43</v>
      </c>
      <c r="K44" s="169"/>
      <c r="L44" s="170"/>
      <c r="M44" s="170"/>
      <c r="N44" s="171"/>
      <c r="O44" s="23">
        <v>750</v>
      </c>
      <c r="P44" s="81"/>
      <c r="Q44" s="163"/>
      <c r="R44" s="85"/>
      <c r="S44" s="90"/>
      <c r="T44" s="90"/>
      <c r="U44" s="90"/>
      <c r="V44" s="90"/>
      <c r="W44" s="90"/>
    </row>
    <row r="45" spans="1:23" s="3" customFormat="1" ht="16.2" customHeight="1" x14ac:dyDescent="0.3">
      <c r="A45" s="220"/>
      <c r="B45" s="106"/>
      <c r="C45" s="116" t="s">
        <v>111</v>
      </c>
      <c r="D45" s="83" t="s">
        <v>110</v>
      </c>
      <c r="E45" s="81" t="s">
        <v>62</v>
      </c>
      <c r="F45" s="83" t="s">
        <v>62</v>
      </c>
      <c r="G45" s="81" t="s">
        <v>64</v>
      </c>
      <c r="H45" s="81" t="s">
        <v>148</v>
      </c>
      <c r="I45" s="81">
        <v>5</v>
      </c>
      <c r="J45" s="23" t="s">
        <v>38</v>
      </c>
      <c r="K45" s="169"/>
      <c r="L45" s="170"/>
      <c r="M45" s="170"/>
      <c r="N45" s="171"/>
      <c r="O45" s="23"/>
      <c r="P45" s="81"/>
      <c r="Q45" s="162"/>
      <c r="R45" s="85" t="s">
        <v>260</v>
      </c>
      <c r="S45" s="90" t="s">
        <v>62</v>
      </c>
      <c r="T45" s="90" t="s">
        <v>62</v>
      </c>
      <c r="U45" s="90" t="s">
        <v>62</v>
      </c>
      <c r="V45" s="90" t="s">
        <v>62</v>
      </c>
      <c r="W45" s="90" t="s">
        <v>62</v>
      </c>
    </row>
    <row r="46" spans="1:23" s="3" customFormat="1" ht="16.2" customHeight="1" x14ac:dyDescent="0.3">
      <c r="A46" s="220"/>
      <c r="B46" s="106"/>
      <c r="C46" s="116"/>
      <c r="D46" s="81"/>
      <c r="E46" s="81"/>
      <c r="F46" s="83"/>
      <c r="G46" s="81"/>
      <c r="H46" s="81"/>
      <c r="I46" s="81"/>
      <c r="J46" s="23" t="s">
        <v>43</v>
      </c>
      <c r="K46" s="169"/>
      <c r="L46" s="170"/>
      <c r="M46" s="170"/>
      <c r="N46" s="171"/>
      <c r="O46" s="23"/>
      <c r="P46" s="81"/>
      <c r="Q46" s="163"/>
      <c r="R46" s="85"/>
      <c r="S46" s="90"/>
      <c r="T46" s="90"/>
      <c r="U46" s="90"/>
      <c r="V46" s="90"/>
      <c r="W46" s="90"/>
    </row>
    <row r="47" spans="1:23" s="3" customFormat="1" ht="16.2" customHeight="1" x14ac:dyDescent="0.3">
      <c r="A47" s="220"/>
      <c r="B47" s="106"/>
      <c r="C47" s="72"/>
      <c r="D47" s="23"/>
      <c r="E47" s="23"/>
      <c r="F47" s="25"/>
      <c r="G47" s="23"/>
      <c r="H47" s="23"/>
      <c r="I47" s="23"/>
      <c r="J47" s="23"/>
      <c r="K47" s="37"/>
      <c r="L47" s="73"/>
      <c r="M47" s="73"/>
      <c r="N47" s="74"/>
      <c r="O47" s="23"/>
      <c r="P47" s="23"/>
      <c r="Q47" s="76"/>
      <c r="R47" s="52" t="s">
        <v>268</v>
      </c>
      <c r="S47" s="33"/>
      <c r="T47" s="33"/>
      <c r="U47" s="33"/>
      <c r="V47" s="33"/>
      <c r="W47" s="33"/>
    </row>
    <row r="48" spans="1:23" s="3" customFormat="1" ht="16.2" customHeight="1" x14ac:dyDescent="0.3">
      <c r="A48" s="220"/>
      <c r="B48" s="106"/>
      <c r="C48" s="72"/>
      <c r="D48" s="23"/>
      <c r="E48" s="23"/>
      <c r="F48" s="25"/>
      <c r="G48" s="23"/>
      <c r="H48" s="23"/>
      <c r="I48" s="23"/>
      <c r="J48" s="23"/>
      <c r="K48" s="37"/>
      <c r="L48" s="73"/>
      <c r="M48" s="73"/>
      <c r="N48" s="74"/>
      <c r="O48" s="23"/>
      <c r="P48" s="23"/>
      <c r="Q48" s="76"/>
      <c r="R48" s="52"/>
      <c r="S48" s="33"/>
      <c r="T48" s="33"/>
      <c r="U48" s="33"/>
      <c r="V48" s="33"/>
      <c r="W48" s="33"/>
    </row>
    <row r="49" spans="1:23" s="3" customFormat="1" ht="16.2" customHeight="1" x14ac:dyDescent="0.3">
      <c r="A49" s="220"/>
      <c r="B49" s="106"/>
      <c r="C49" s="116" t="s">
        <v>112</v>
      </c>
      <c r="D49" s="83" t="s">
        <v>34</v>
      </c>
      <c r="E49" s="81" t="s">
        <v>35</v>
      </c>
      <c r="F49" s="83">
        <v>0.04</v>
      </c>
      <c r="G49" s="81" t="s">
        <v>64</v>
      </c>
      <c r="H49" s="81" t="s">
        <v>106</v>
      </c>
      <c r="I49" s="81">
        <v>2</v>
      </c>
      <c r="J49" s="23" t="s">
        <v>38</v>
      </c>
      <c r="K49" s="23">
        <v>3</v>
      </c>
      <c r="L49" s="23">
        <v>5</v>
      </c>
      <c r="M49" s="23">
        <v>4</v>
      </c>
      <c r="N49" s="23">
        <v>3</v>
      </c>
      <c r="O49" s="23">
        <v>15</v>
      </c>
      <c r="P49" s="81">
        <v>5</v>
      </c>
      <c r="Q49" s="162">
        <f t="shared" ref="Q49" si="11">+P49*F49</f>
        <v>0.2</v>
      </c>
      <c r="R49" s="246" t="s">
        <v>261</v>
      </c>
      <c r="S49" s="90" t="s">
        <v>62</v>
      </c>
      <c r="T49" s="90" t="s">
        <v>113</v>
      </c>
      <c r="U49" s="90" t="s">
        <v>114</v>
      </c>
      <c r="V49" s="90" t="s">
        <v>115</v>
      </c>
      <c r="W49" s="90" t="s">
        <v>116</v>
      </c>
    </row>
    <row r="50" spans="1:23" s="3" customFormat="1" ht="16.2" customHeight="1" x14ac:dyDescent="0.3">
      <c r="A50" s="220"/>
      <c r="B50" s="106"/>
      <c r="C50" s="116"/>
      <c r="D50" s="81"/>
      <c r="E50" s="81"/>
      <c r="F50" s="83"/>
      <c r="G50" s="81"/>
      <c r="H50" s="81"/>
      <c r="I50" s="81"/>
      <c r="J50" s="23" t="s">
        <v>43</v>
      </c>
      <c r="K50" s="23">
        <v>1</v>
      </c>
      <c r="L50" s="23">
        <v>1</v>
      </c>
      <c r="M50" s="23">
        <v>1</v>
      </c>
      <c r="N50" s="23">
        <v>1</v>
      </c>
      <c r="O50" s="33" t="s">
        <v>114</v>
      </c>
      <c r="P50" s="81"/>
      <c r="Q50" s="163"/>
      <c r="R50" s="246"/>
      <c r="S50" s="90"/>
      <c r="T50" s="90"/>
      <c r="U50" s="90"/>
      <c r="V50" s="90"/>
      <c r="W50" s="90"/>
    </row>
    <row r="51" spans="1:23" s="3" customFormat="1" ht="16.2" customHeight="1" x14ac:dyDescent="0.3">
      <c r="A51" s="220"/>
      <c r="B51" s="106"/>
      <c r="C51" s="260" t="s">
        <v>175</v>
      </c>
      <c r="D51" s="83" t="s">
        <v>34</v>
      </c>
      <c r="E51" s="81" t="s">
        <v>35</v>
      </c>
      <c r="F51" s="83">
        <v>7.0000000000000007E-2</v>
      </c>
      <c r="G51" s="79" t="s">
        <v>176</v>
      </c>
      <c r="H51" s="81" t="s">
        <v>106</v>
      </c>
      <c r="I51" s="81">
        <v>37</v>
      </c>
      <c r="J51" s="23" t="s">
        <v>38</v>
      </c>
      <c r="K51" s="223">
        <v>5</v>
      </c>
      <c r="L51" s="224"/>
      <c r="M51" s="223">
        <v>7</v>
      </c>
      <c r="N51" s="224"/>
      <c r="O51" s="28">
        <v>12</v>
      </c>
      <c r="P51" s="81">
        <v>1</v>
      </c>
      <c r="Q51" s="162">
        <f t="shared" ref="Q51" si="12">+P51*F51</f>
        <v>7.0000000000000007E-2</v>
      </c>
      <c r="R51" s="247" t="s">
        <v>247</v>
      </c>
      <c r="S51" s="90" t="s">
        <v>212</v>
      </c>
      <c r="T51" s="90" t="s">
        <v>213</v>
      </c>
      <c r="U51" s="90" t="s">
        <v>183</v>
      </c>
      <c r="V51" s="90" t="s">
        <v>214</v>
      </c>
      <c r="W51" s="90" t="s">
        <v>215</v>
      </c>
    </row>
    <row r="52" spans="1:23" s="3" customFormat="1" ht="16.2" customHeight="1" x14ac:dyDescent="0.3">
      <c r="A52" s="220"/>
      <c r="B52" s="106"/>
      <c r="C52" s="255"/>
      <c r="D52" s="81"/>
      <c r="E52" s="81"/>
      <c r="F52" s="81"/>
      <c r="G52" s="80"/>
      <c r="H52" s="81"/>
      <c r="I52" s="81"/>
      <c r="J52" s="23" t="s">
        <v>43</v>
      </c>
      <c r="K52" s="223">
        <v>12</v>
      </c>
      <c r="L52" s="224"/>
      <c r="M52" s="223">
        <v>12</v>
      </c>
      <c r="N52" s="224"/>
      <c r="O52" s="18" t="s">
        <v>183</v>
      </c>
      <c r="P52" s="81"/>
      <c r="Q52" s="163"/>
      <c r="R52" s="247"/>
      <c r="S52" s="90"/>
      <c r="T52" s="90"/>
      <c r="U52" s="90"/>
      <c r="V52" s="90"/>
      <c r="W52" s="90"/>
    </row>
    <row r="53" spans="1:23" s="3" customFormat="1" ht="20.399999999999999" customHeight="1" x14ac:dyDescent="0.3">
      <c r="A53" s="220"/>
      <c r="B53" s="106"/>
      <c r="C53" s="120" t="s">
        <v>220</v>
      </c>
      <c r="D53" s="83" t="s">
        <v>34</v>
      </c>
      <c r="E53" s="81" t="s">
        <v>35</v>
      </c>
      <c r="F53" s="83">
        <v>0.04</v>
      </c>
      <c r="G53" s="79" t="s">
        <v>176</v>
      </c>
      <c r="H53" s="81" t="s">
        <v>106</v>
      </c>
      <c r="I53" s="81">
        <v>0</v>
      </c>
      <c r="J53" s="23" t="s">
        <v>38</v>
      </c>
      <c r="K53" s="53">
        <v>1</v>
      </c>
      <c r="L53" s="53">
        <v>5</v>
      </c>
      <c r="M53" s="53">
        <v>10</v>
      </c>
      <c r="N53" s="53">
        <v>5</v>
      </c>
      <c r="O53" s="19">
        <v>21</v>
      </c>
      <c r="P53" s="81">
        <v>5</v>
      </c>
      <c r="Q53" s="162">
        <f t="shared" ref="Q53" si="13">+P53*F53</f>
        <v>0.2</v>
      </c>
      <c r="R53" s="240" t="s">
        <v>262</v>
      </c>
      <c r="S53" s="90" t="s">
        <v>62</v>
      </c>
      <c r="T53" s="90" t="s">
        <v>113</v>
      </c>
      <c r="U53" s="90" t="s">
        <v>114</v>
      </c>
      <c r="V53" s="90" t="s">
        <v>115</v>
      </c>
      <c r="W53" s="90" t="s">
        <v>116</v>
      </c>
    </row>
    <row r="54" spans="1:23" s="3" customFormat="1" ht="20.399999999999999" customHeight="1" x14ac:dyDescent="0.3">
      <c r="A54" s="220"/>
      <c r="B54" s="106"/>
      <c r="C54" s="121"/>
      <c r="D54" s="81"/>
      <c r="E54" s="81"/>
      <c r="F54" s="81"/>
      <c r="G54" s="80"/>
      <c r="H54" s="81"/>
      <c r="I54" s="81"/>
      <c r="J54" s="23" t="s">
        <v>43</v>
      </c>
      <c r="K54" s="223">
        <v>2</v>
      </c>
      <c r="L54" s="224"/>
      <c r="M54" s="223">
        <v>2</v>
      </c>
      <c r="N54" s="224"/>
      <c r="O54" s="19">
        <v>4</v>
      </c>
      <c r="P54" s="81"/>
      <c r="Q54" s="163"/>
      <c r="R54" s="240"/>
      <c r="S54" s="90"/>
      <c r="T54" s="90"/>
      <c r="U54" s="90"/>
      <c r="V54" s="90"/>
      <c r="W54" s="90"/>
    </row>
    <row r="55" spans="1:23" s="3" customFormat="1" ht="16.2" customHeight="1" x14ac:dyDescent="0.3">
      <c r="A55" s="78"/>
      <c r="B55" s="221" t="s">
        <v>221</v>
      </c>
      <c r="C55" s="256" t="s">
        <v>105</v>
      </c>
      <c r="D55" s="83" t="s">
        <v>34</v>
      </c>
      <c r="E55" s="81" t="s">
        <v>57</v>
      </c>
      <c r="F55" s="83">
        <v>0.11</v>
      </c>
      <c r="G55" s="81" t="s">
        <v>58</v>
      </c>
      <c r="H55" s="81" t="s">
        <v>106</v>
      </c>
      <c r="I55" s="81">
        <v>96</v>
      </c>
      <c r="J55" s="23" t="s">
        <v>38</v>
      </c>
      <c r="K55" s="29">
        <v>0.9</v>
      </c>
      <c r="L55" s="25">
        <v>0.92</v>
      </c>
      <c r="M55" s="25">
        <v>0.93</v>
      </c>
      <c r="N55" s="25">
        <v>0.92</v>
      </c>
      <c r="O55" s="25">
        <v>0.92</v>
      </c>
      <c r="P55" s="81">
        <v>4</v>
      </c>
      <c r="Q55" s="162">
        <f t="shared" ref="Q55" si="14">+P55*F55</f>
        <v>0.44</v>
      </c>
      <c r="R55" s="240" t="s">
        <v>263</v>
      </c>
      <c r="S55" s="83" t="s">
        <v>135</v>
      </c>
      <c r="T55" s="132" t="s">
        <v>60</v>
      </c>
      <c r="U55" s="132" t="s">
        <v>61</v>
      </c>
      <c r="V55" s="132" t="s">
        <v>62</v>
      </c>
      <c r="W55" s="172" t="s">
        <v>62</v>
      </c>
    </row>
    <row r="56" spans="1:23" s="3" customFormat="1" ht="16.2" customHeight="1" x14ac:dyDescent="0.3">
      <c r="A56" s="78"/>
      <c r="B56" s="179"/>
      <c r="C56" s="256"/>
      <c r="D56" s="81"/>
      <c r="E56" s="81"/>
      <c r="F56" s="83"/>
      <c r="G56" s="81"/>
      <c r="H56" s="81"/>
      <c r="I56" s="81"/>
      <c r="J56" s="23" t="s">
        <v>43</v>
      </c>
      <c r="K56" s="29" t="s">
        <v>61</v>
      </c>
      <c r="L56" s="35" t="s">
        <v>61</v>
      </c>
      <c r="M56" s="29" t="s">
        <v>61</v>
      </c>
      <c r="N56" s="35" t="s">
        <v>61</v>
      </c>
      <c r="O56" s="29" t="s">
        <v>61</v>
      </c>
      <c r="P56" s="81"/>
      <c r="Q56" s="163"/>
      <c r="R56" s="240"/>
      <c r="S56" s="83"/>
      <c r="T56" s="132"/>
      <c r="U56" s="132"/>
      <c r="V56" s="132"/>
      <c r="W56" s="132"/>
    </row>
    <row r="57" spans="1:23" s="3" customFormat="1" ht="16.2" customHeight="1" x14ac:dyDescent="0.3">
      <c r="A57" s="78"/>
      <c r="B57" s="128" t="s">
        <v>222</v>
      </c>
      <c r="C57" s="82" t="s">
        <v>119</v>
      </c>
      <c r="D57" s="83" t="s">
        <v>34</v>
      </c>
      <c r="E57" s="81" t="s">
        <v>35</v>
      </c>
      <c r="F57" s="83">
        <v>0.04</v>
      </c>
      <c r="G57" s="81" t="s">
        <v>58</v>
      </c>
      <c r="H57" s="81" t="s">
        <v>50</v>
      </c>
      <c r="I57" s="81">
        <v>89</v>
      </c>
      <c r="J57" s="23" t="s">
        <v>38</v>
      </c>
      <c r="K57" s="29">
        <v>0.25</v>
      </c>
      <c r="L57" s="29">
        <v>0.5</v>
      </c>
      <c r="M57" s="29">
        <v>0.6</v>
      </c>
      <c r="N57" s="29">
        <v>0</v>
      </c>
      <c r="O57" s="25">
        <v>0.34</v>
      </c>
      <c r="P57" s="81">
        <v>0</v>
      </c>
      <c r="Q57" s="162">
        <f t="shared" ref="Q57" si="15">+P57*F57</f>
        <v>0</v>
      </c>
      <c r="R57" s="240" t="s">
        <v>264</v>
      </c>
      <c r="S57" s="90" t="s">
        <v>71</v>
      </c>
      <c r="T57" s="90" t="s">
        <v>72</v>
      </c>
      <c r="U57" s="90" t="s">
        <v>73</v>
      </c>
      <c r="V57" s="90" t="s">
        <v>74</v>
      </c>
      <c r="W57" s="90" t="s">
        <v>75</v>
      </c>
    </row>
    <row r="58" spans="1:23" s="3" customFormat="1" ht="16.2" customHeight="1" x14ac:dyDescent="0.3">
      <c r="A58" s="78"/>
      <c r="B58" s="128"/>
      <c r="C58" s="82"/>
      <c r="D58" s="81"/>
      <c r="E58" s="81"/>
      <c r="F58" s="83"/>
      <c r="G58" s="81"/>
      <c r="H58" s="81"/>
      <c r="I58" s="81"/>
      <c r="J58" s="23" t="s">
        <v>43</v>
      </c>
      <c r="K58" s="29" t="s">
        <v>249</v>
      </c>
      <c r="L58" s="29" t="s">
        <v>249</v>
      </c>
      <c r="M58" s="29" t="s">
        <v>249</v>
      </c>
      <c r="N58" s="29" t="s">
        <v>249</v>
      </c>
      <c r="O58" s="29" t="s">
        <v>249</v>
      </c>
      <c r="P58" s="81"/>
      <c r="Q58" s="163"/>
      <c r="R58" s="240"/>
      <c r="S58" s="90"/>
      <c r="T58" s="90"/>
      <c r="U58" s="90"/>
      <c r="V58" s="90"/>
      <c r="W58" s="90"/>
    </row>
    <row r="59" spans="1:23" s="3" customFormat="1" ht="16.2" customHeight="1" x14ac:dyDescent="0.3">
      <c r="A59" s="128" t="s">
        <v>107</v>
      </c>
      <c r="B59" s="244" t="s">
        <v>250</v>
      </c>
      <c r="C59" s="258" t="s">
        <v>251</v>
      </c>
      <c r="D59" s="83" t="s">
        <v>34</v>
      </c>
      <c r="E59" s="79" t="s">
        <v>57</v>
      </c>
      <c r="F59" s="122">
        <v>0.06</v>
      </c>
      <c r="G59" s="79" t="s">
        <v>64</v>
      </c>
      <c r="H59" s="79" t="s">
        <v>252</v>
      </c>
      <c r="I59" s="79">
        <v>0</v>
      </c>
      <c r="J59" s="23" t="s">
        <v>38</v>
      </c>
      <c r="K59" s="223">
        <v>8</v>
      </c>
      <c r="L59" s="225"/>
      <c r="M59" s="225"/>
      <c r="N59" s="224"/>
      <c r="O59" s="19">
        <v>8</v>
      </c>
      <c r="P59" s="79">
        <v>3</v>
      </c>
      <c r="Q59" s="162">
        <f t="shared" ref="Q59" si="16">+P59*F59</f>
        <v>0.18</v>
      </c>
      <c r="R59" s="240" t="s">
        <v>265</v>
      </c>
      <c r="S59" s="97" t="s">
        <v>62</v>
      </c>
      <c r="T59" s="97" t="s">
        <v>253</v>
      </c>
      <c r="U59" s="242" t="s">
        <v>254</v>
      </c>
      <c r="V59" s="242" t="s">
        <v>255</v>
      </c>
      <c r="W59" s="242" t="s">
        <v>256</v>
      </c>
    </row>
    <row r="60" spans="1:23" s="3" customFormat="1" ht="16.2" customHeight="1" x14ac:dyDescent="0.3">
      <c r="A60" s="128"/>
      <c r="B60" s="245"/>
      <c r="C60" s="259"/>
      <c r="D60" s="81"/>
      <c r="E60" s="80"/>
      <c r="F60" s="101"/>
      <c r="G60" s="80"/>
      <c r="H60" s="80"/>
      <c r="I60" s="80"/>
      <c r="J60" s="23" t="s">
        <v>43</v>
      </c>
      <c r="K60" s="223">
        <v>10</v>
      </c>
      <c r="L60" s="225"/>
      <c r="M60" s="225"/>
      <c r="N60" s="224"/>
      <c r="O60" s="71" t="s">
        <v>254</v>
      </c>
      <c r="P60" s="80"/>
      <c r="Q60" s="163"/>
      <c r="R60" s="240"/>
      <c r="S60" s="98"/>
      <c r="T60" s="98"/>
      <c r="U60" s="243"/>
      <c r="V60" s="243"/>
      <c r="W60" s="243"/>
    </row>
    <row r="61" spans="1:23" ht="27.6" customHeight="1" x14ac:dyDescent="0.3">
      <c r="A61" s="12"/>
      <c r="B61" s="13"/>
      <c r="C61" s="13"/>
      <c r="D61" s="13"/>
      <c r="E61" s="13"/>
      <c r="F61" s="16">
        <f>SUM(F7:F60)</f>
        <v>1.0000000000000002</v>
      </c>
      <c r="G61" s="13"/>
      <c r="H61" s="13"/>
      <c r="I61" s="13"/>
      <c r="J61" s="13"/>
      <c r="K61" s="13"/>
      <c r="L61" s="13"/>
      <c r="M61" s="13"/>
      <c r="N61" s="13"/>
      <c r="O61" s="11" t="s">
        <v>123</v>
      </c>
      <c r="P61" s="87">
        <f>SUM(Q7:Q60)</f>
        <v>2.3200000000000003</v>
      </c>
      <c r="Q61" s="87"/>
    </row>
    <row r="64" spans="1:23" ht="27.6" x14ac:dyDescent="0.3">
      <c r="C64" s="24" t="s">
        <v>124</v>
      </c>
      <c r="D64" s="1" t="s">
        <v>125</v>
      </c>
    </row>
    <row r="65" spans="3:16" ht="27.6" x14ac:dyDescent="0.3">
      <c r="C65" s="24" t="s">
        <v>126</v>
      </c>
      <c r="D65" s="15" t="s">
        <v>127</v>
      </c>
    </row>
    <row r="71" spans="3:16" x14ac:dyDescent="0.3">
      <c r="C71" s="82" t="s">
        <v>128</v>
      </c>
      <c r="M71" s="2">
        <v>1</v>
      </c>
    </row>
    <row r="72" spans="3:16" x14ac:dyDescent="0.3">
      <c r="C72" s="82"/>
    </row>
    <row r="78" spans="3:16" x14ac:dyDescent="0.3">
      <c r="P78" s="2">
        <f>100*16/42</f>
        <v>38.095238095238095</v>
      </c>
    </row>
  </sheetData>
  <autoFilter ref="A6:X61" xr:uid="{B9F9B3C8-B046-4A16-8455-E059C7719167}"/>
  <mergeCells count="446">
    <mergeCell ref="B55:B56"/>
    <mergeCell ref="B57:B58"/>
    <mergeCell ref="A59:A60"/>
    <mergeCell ref="K59:N59"/>
    <mergeCell ref="K60:N60"/>
    <mergeCell ref="P61:Q61"/>
    <mergeCell ref="C71:C72"/>
    <mergeCell ref="A29:A58"/>
    <mergeCell ref="B39:B54"/>
    <mergeCell ref="P51:P52"/>
    <mergeCell ref="Q51:Q52"/>
    <mergeCell ref="C51:C52"/>
    <mergeCell ref="D51:D52"/>
    <mergeCell ref="E51:E52"/>
    <mergeCell ref="F51:F52"/>
    <mergeCell ref="G51:G52"/>
    <mergeCell ref="H51:H52"/>
    <mergeCell ref="I51:I52"/>
    <mergeCell ref="B29:B34"/>
    <mergeCell ref="C29:C30"/>
    <mergeCell ref="D29:D30"/>
    <mergeCell ref="E29:E30"/>
    <mergeCell ref="F29:F30"/>
    <mergeCell ref="G29:G30"/>
    <mergeCell ref="C43:C44"/>
    <mergeCell ref="D43:D44"/>
    <mergeCell ref="E43:E44"/>
    <mergeCell ref="F43:F44"/>
    <mergeCell ref="G43:G44"/>
    <mergeCell ref="H43:H44"/>
    <mergeCell ref="I43:I44"/>
    <mergeCell ref="K43:N43"/>
    <mergeCell ref="E49:E50"/>
    <mergeCell ref="F49:F50"/>
    <mergeCell ref="G49:G50"/>
    <mergeCell ref="H49:H50"/>
    <mergeCell ref="K45:N45"/>
    <mergeCell ref="C55:C56"/>
    <mergeCell ref="D55:D56"/>
    <mergeCell ref="E55:E56"/>
    <mergeCell ref="F55:F56"/>
    <mergeCell ref="U59:U60"/>
    <mergeCell ref="V59:V60"/>
    <mergeCell ref="W59:W60"/>
    <mergeCell ref="G59:G60"/>
    <mergeCell ref="H59:H60"/>
    <mergeCell ref="I59:I60"/>
    <mergeCell ref="P59:P60"/>
    <mergeCell ref="Q59:Q60"/>
    <mergeCell ref="R59:R60"/>
    <mergeCell ref="U57:U58"/>
    <mergeCell ref="V57:V58"/>
    <mergeCell ref="W57:W58"/>
    <mergeCell ref="S57:S58"/>
    <mergeCell ref="T57:T58"/>
    <mergeCell ref="S59:S60"/>
    <mergeCell ref="T59:T60"/>
    <mergeCell ref="G55:G56"/>
    <mergeCell ref="H55:H56"/>
    <mergeCell ref="I55:I56"/>
    <mergeCell ref="S55:S56"/>
    <mergeCell ref="B59:B60"/>
    <mergeCell ref="C59:C60"/>
    <mergeCell ref="D59:D60"/>
    <mergeCell ref="E59:E60"/>
    <mergeCell ref="F59:F60"/>
    <mergeCell ref="I57:I58"/>
    <mergeCell ref="P57:P58"/>
    <mergeCell ref="Q57:Q58"/>
    <mergeCell ref="R57:R58"/>
    <mergeCell ref="C57:C58"/>
    <mergeCell ref="D57:D58"/>
    <mergeCell ref="E57:E58"/>
    <mergeCell ref="F57:F58"/>
    <mergeCell ref="G57:G58"/>
    <mergeCell ref="H57:H58"/>
    <mergeCell ref="T55:T56"/>
    <mergeCell ref="U55:U56"/>
    <mergeCell ref="V55:V56"/>
    <mergeCell ref="W55:W56"/>
    <mergeCell ref="P55:P56"/>
    <mergeCell ref="Q55:Q56"/>
    <mergeCell ref="R55:R56"/>
    <mergeCell ref="P53:P54"/>
    <mergeCell ref="Q53:Q54"/>
    <mergeCell ref="R53:R54"/>
    <mergeCell ref="S53:S54"/>
    <mergeCell ref="P45:P46"/>
    <mergeCell ref="Q45:Q46"/>
    <mergeCell ref="T53:T54"/>
    <mergeCell ref="U53:U54"/>
    <mergeCell ref="K51:L51"/>
    <mergeCell ref="M51:N51"/>
    <mergeCell ref="T45:T46"/>
    <mergeCell ref="U49:U50"/>
    <mergeCell ref="V49:V50"/>
    <mergeCell ref="R45:R46"/>
    <mergeCell ref="S45:S46"/>
    <mergeCell ref="V53:V54"/>
    <mergeCell ref="R51:R52"/>
    <mergeCell ref="S51:S52"/>
    <mergeCell ref="T51:T52"/>
    <mergeCell ref="U51:U52"/>
    <mergeCell ref="V51:V52"/>
    <mergeCell ref="K52:L52"/>
    <mergeCell ref="M52:N52"/>
    <mergeCell ref="W49:W50"/>
    <mergeCell ref="C53:C54"/>
    <mergeCell ref="D53:D54"/>
    <mergeCell ref="E53:E54"/>
    <mergeCell ref="F53:F54"/>
    <mergeCell ref="G53:G54"/>
    <mergeCell ref="H53:H54"/>
    <mergeCell ref="I53:I54"/>
    <mergeCell ref="I49:I50"/>
    <mergeCell ref="P49:P50"/>
    <mergeCell ref="Q49:Q50"/>
    <mergeCell ref="R49:R50"/>
    <mergeCell ref="S49:S50"/>
    <mergeCell ref="T49:T50"/>
    <mergeCell ref="W53:W54"/>
    <mergeCell ref="K54:L54"/>
    <mergeCell ref="M54:N54"/>
    <mergeCell ref="C49:C50"/>
    <mergeCell ref="D49:D50"/>
    <mergeCell ref="W51:W52"/>
    <mergeCell ref="R41:R42"/>
    <mergeCell ref="S41:S42"/>
    <mergeCell ref="T41:T42"/>
    <mergeCell ref="U41:U42"/>
    <mergeCell ref="V43:V44"/>
    <mergeCell ref="W43:W44"/>
    <mergeCell ref="K44:N44"/>
    <mergeCell ref="C45:C46"/>
    <mergeCell ref="D45:D46"/>
    <mergeCell ref="E45:E46"/>
    <mergeCell ref="F45:F46"/>
    <mergeCell ref="G45:G46"/>
    <mergeCell ref="H45:H46"/>
    <mergeCell ref="I45:I46"/>
    <mergeCell ref="P43:P44"/>
    <mergeCell ref="Q43:Q44"/>
    <mergeCell ref="R43:R44"/>
    <mergeCell ref="S43:S44"/>
    <mergeCell ref="T43:T44"/>
    <mergeCell ref="U43:U44"/>
    <mergeCell ref="U45:U46"/>
    <mergeCell ref="V45:V46"/>
    <mergeCell ref="W45:W46"/>
    <mergeCell ref="K46:N46"/>
    <mergeCell ref="P41:P42"/>
    <mergeCell ref="Q37:Q38"/>
    <mergeCell ref="R37:R38"/>
    <mergeCell ref="S37:S38"/>
    <mergeCell ref="T37:T38"/>
    <mergeCell ref="B35:B38"/>
    <mergeCell ref="U39:U40"/>
    <mergeCell ref="V39:V40"/>
    <mergeCell ref="W39:W40"/>
    <mergeCell ref="C41:C42"/>
    <mergeCell ref="D41:D42"/>
    <mergeCell ref="E41:E42"/>
    <mergeCell ref="F41:F42"/>
    <mergeCell ref="G41:G42"/>
    <mergeCell ref="H41:H42"/>
    <mergeCell ref="I41:I42"/>
    <mergeCell ref="I39:I40"/>
    <mergeCell ref="P39:P40"/>
    <mergeCell ref="Q39:Q40"/>
    <mergeCell ref="R39:R40"/>
    <mergeCell ref="S39:S40"/>
    <mergeCell ref="T39:T40"/>
    <mergeCell ref="V41:V42"/>
    <mergeCell ref="W41:W42"/>
    <mergeCell ref="Q41:Q42"/>
    <mergeCell ref="T35:T36"/>
    <mergeCell ref="U35:U36"/>
    <mergeCell ref="V35:V36"/>
    <mergeCell ref="W35:W36"/>
    <mergeCell ref="C37:C38"/>
    <mergeCell ref="D37:D38"/>
    <mergeCell ref="E37:E38"/>
    <mergeCell ref="F37:F38"/>
    <mergeCell ref="G37:G38"/>
    <mergeCell ref="H37:H38"/>
    <mergeCell ref="H35:H36"/>
    <mergeCell ref="I35:I36"/>
    <mergeCell ref="P35:P36"/>
    <mergeCell ref="Q35:Q36"/>
    <mergeCell ref="R35:R36"/>
    <mergeCell ref="S35:S36"/>
    <mergeCell ref="C35:C36"/>
    <mergeCell ref="D35:D36"/>
    <mergeCell ref="E35:E36"/>
    <mergeCell ref="F35:F36"/>
    <mergeCell ref="G35:G36"/>
    <mergeCell ref="U37:U38"/>
    <mergeCell ref="V37:V38"/>
    <mergeCell ref="W37:W38"/>
    <mergeCell ref="U33:U34"/>
    <mergeCell ref="V33:V34"/>
    <mergeCell ref="W33:W34"/>
    <mergeCell ref="K34:N34"/>
    <mergeCell ref="H33:H34"/>
    <mergeCell ref="I33:I34"/>
    <mergeCell ref="K33:N33"/>
    <mergeCell ref="P33:P34"/>
    <mergeCell ref="Q33:Q34"/>
    <mergeCell ref="R33:R34"/>
    <mergeCell ref="T31:T32"/>
    <mergeCell ref="U31:U32"/>
    <mergeCell ref="V31:V32"/>
    <mergeCell ref="W31:W32"/>
    <mergeCell ref="K32:N32"/>
    <mergeCell ref="C33:C34"/>
    <mergeCell ref="D33:D34"/>
    <mergeCell ref="E33:E34"/>
    <mergeCell ref="F33:F34"/>
    <mergeCell ref="G33:G34"/>
    <mergeCell ref="I31:I32"/>
    <mergeCell ref="K31:N31"/>
    <mergeCell ref="P31:P32"/>
    <mergeCell ref="Q31:Q32"/>
    <mergeCell ref="R31:R32"/>
    <mergeCell ref="S31:S32"/>
    <mergeCell ref="C31:C32"/>
    <mergeCell ref="D31:D32"/>
    <mergeCell ref="E31:E32"/>
    <mergeCell ref="F31:F32"/>
    <mergeCell ref="G31:G32"/>
    <mergeCell ref="H31:H32"/>
    <mergeCell ref="S33:S34"/>
    <mergeCell ref="T33:T34"/>
    <mergeCell ref="S29:S30"/>
    <mergeCell ref="T29:T30"/>
    <mergeCell ref="U29:U30"/>
    <mergeCell ref="V29:V30"/>
    <mergeCell ref="W29:W30"/>
    <mergeCell ref="K30:N30"/>
    <mergeCell ref="H29:H30"/>
    <mergeCell ref="I29:I30"/>
    <mergeCell ref="K29:N29"/>
    <mergeCell ref="P29:P30"/>
    <mergeCell ref="Q29:Q30"/>
    <mergeCell ref="R29:R30"/>
    <mergeCell ref="P27:P28"/>
    <mergeCell ref="Q27:Q28"/>
    <mergeCell ref="A7:A28"/>
    <mergeCell ref="B7:B12"/>
    <mergeCell ref="B13:B28"/>
    <mergeCell ref="C13:C14"/>
    <mergeCell ref="D13:D14"/>
    <mergeCell ref="E13:E14"/>
    <mergeCell ref="C39:C40"/>
    <mergeCell ref="D39:D40"/>
    <mergeCell ref="E39:E40"/>
    <mergeCell ref="F39:F40"/>
    <mergeCell ref="G39:G40"/>
    <mergeCell ref="H39:H40"/>
    <mergeCell ref="I37:I38"/>
    <mergeCell ref="P37:P38"/>
    <mergeCell ref="D25:D26"/>
    <mergeCell ref="E25:E26"/>
    <mergeCell ref="F25:F26"/>
    <mergeCell ref="G25:G26"/>
    <mergeCell ref="H25:H26"/>
    <mergeCell ref="I25:I26"/>
    <mergeCell ref="K25:N25"/>
    <mergeCell ref="P25:P26"/>
    <mergeCell ref="W25:W26"/>
    <mergeCell ref="K26:N26"/>
    <mergeCell ref="C27:C28"/>
    <mergeCell ref="D27:D28"/>
    <mergeCell ref="E27:E28"/>
    <mergeCell ref="F27:F28"/>
    <mergeCell ref="G27:G28"/>
    <mergeCell ref="H27:H28"/>
    <mergeCell ref="I27:I28"/>
    <mergeCell ref="K27:N27"/>
    <mergeCell ref="Q25:Q26"/>
    <mergeCell ref="R25:R26"/>
    <mergeCell ref="S25:S26"/>
    <mergeCell ref="T25:T26"/>
    <mergeCell ref="U25:U26"/>
    <mergeCell ref="V25:V26"/>
    <mergeCell ref="V27:V28"/>
    <mergeCell ref="W27:W28"/>
    <mergeCell ref="K28:N28"/>
    <mergeCell ref="R27:R28"/>
    <mergeCell ref="S27:S28"/>
    <mergeCell ref="T27:T28"/>
    <mergeCell ref="U27:U28"/>
    <mergeCell ref="C25:C26"/>
    <mergeCell ref="W21:W22"/>
    <mergeCell ref="C23:C24"/>
    <mergeCell ref="D23:D24"/>
    <mergeCell ref="E23:E24"/>
    <mergeCell ref="F23:F24"/>
    <mergeCell ref="G23:G24"/>
    <mergeCell ref="H23:H24"/>
    <mergeCell ref="I23:I24"/>
    <mergeCell ref="P23:P24"/>
    <mergeCell ref="P21:P22"/>
    <mergeCell ref="Q21:Q22"/>
    <mergeCell ref="R21:R22"/>
    <mergeCell ref="S21:S22"/>
    <mergeCell ref="T21:T22"/>
    <mergeCell ref="U21:U22"/>
    <mergeCell ref="W23:W24"/>
    <mergeCell ref="Q23:Q24"/>
    <mergeCell ref="R23:R24"/>
    <mergeCell ref="S23:S24"/>
    <mergeCell ref="T23:T24"/>
    <mergeCell ref="U23:U24"/>
    <mergeCell ref="V23:V24"/>
    <mergeCell ref="C21:C22"/>
    <mergeCell ref="D21:D22"/>
    <mergeCell ref="E21:E22"/>
    <mergeCell ref="F21:F22"/>
    <mergeCell ref="G21:G22"/>
    <mergeCell ref="H21:H22"/>
    <mergeCell ref="I21:I22"/>
    <mergeCell ref="P19:P20"/>
    <mergeCell ref="Q19:Q20"/>
    <mergeCell ref="V17:V18"/>
    <mergeCell ref="E17:E18"/>
    <mergeCell ref="F17:F18"/>
    <mergeCell ref="G17:G18"/>
    <mergeCell ref="H17:H18"/>
    <mergeCell ref="I17:I18"/>
    <mergeCell ref="V21:V22"/>
    <mergeCell ref="W17:W18"/>
    <mergeCell ref="C19:C20"/>
    <mergeCell ref="D19:D20"/>
    <mergeCell ref="E19:E20"/>
    <mergeCell ref="F19:F20"/>
    <mergeCell ref="G19:G20"/>
    <mergeCell ref="H19:H20"/>
    <mergeCell ref="I19:I20"/>
    <mergeCell ref="K19:N19"/>
    <mergeCell ref="P17:P18"/>
    <mergeCell ref="Q17:Q18"/>
    <mergeCell ref="R17:R18"/>
    <mergeCell ref="S17:S18"/>
    <mergeCell ref="T17:T18"/>
    <mergeCell ref="U17:U18"/>
    <mergeCell ref="V19:V20"/>
    <mergeCell ref="W19:W20"/>
    <mergeCell ref="K20:N20"/>
    <mergeCell ref="R19:R20"/>
    <mergeCell ref="S19:S20"/>
    <mergeCell ref="T19:T20"/>
    <mergeCell ref="U19:U20"/>
    <mergeCell ref="C17:C18"/>
    <mergeCell ref="D17:D18"/>
    <mergeCell ref="I15:I16"/>
    <mergeCell ref="P15:P16"/>
    <mergeCell ref="C15:C16"/>
    <mergeCell ref="D15:D16"/>
    <mergeCell ref="E15:E16"/>
    <mergeCell ref="F15:F16"/>
    <mergeCell ref="G15:G16"/>
    <mergeCell ref="H15:H16"/>
    <mergeCell ref="W13:W14"/>
    <mergeCell ref="F13:F14"/>
    <mergeCell ref="G13:G14"/>
    <mergeCell ref="H13:H14"/>
    <mergeCell ref="I13:I14"/>
    <mergeCell ref="P13:P14"/>
    <mergeCell ref="Q13:Q14"/>
    <mergeCell ref="U15:U16"/>
    <mergeCell ref="V15:V16"/>
    <mergeCell ref="W15:W16"/>
    <mergeCell ref="Q15:Q16"/>
    <mergeCell ref="R15:R16"/>
    <mergeCell ref="S15:S16"/>
    <mergeCell ref="T15:T16"/>
    <mergeCell ref="M11:N11"/>
    <mergeCell ref="P11:P12"/>
    <mergeCell ref="Q11:Q12"/>
    <mergeCell ref="S11:S12"/>
    <mergeCell ref="R13:R14"/>
    <mergeCell ref="S13:S14"/>
    <mergeCell ref="T13:T14"/>
    <mergeCell ref="U13:U14"/>
    <mergeCell ref="V13:V14"/>
    <mergeCell ref="T9:T10"/>
    <mergeCell ref="U9:U10"/>
    <mergeCell ref="V9:V10"/>
    <mergeCell ref="W9:W10"/>
    <mergeCell ref="C11:C12"/>
    <mergeCell ref="D11:D12"/>
    <mergeCell ref="E11:E12"/>
    <mergeCell ref="F11:F12"/>
    <mergeCell ref="G11:G12"/>
    <mergeCell ref="H11:H12"/>
    <mergeCell ref="H9:H10"/>
    <mergeCell ref="I9:I10"/>
    <mergeCell ref="P9:P10"/>
    <mergeCell ref="Q9:Q10"/>
    <mergeCell ref="R9:R10"/>
    <mergeCell ref="S9:S10"/>
    <mergeCell ref="T11:T12"/>
    <mergeCell ref="U11:U12"/>
    <mergeCell ref="V11:V12"/>
    <mergeCell ref="W11:W12"/>
    <mergeCell ref="K12:L12"/>
    <mergeCell ref="M12:N12"/>
    <mergeCell ref="I11:I12"/>
    <mergeCell ref="K11:L11"/>
    <mergeCell ref="C9:C10"/>
    <mergeCell ref="D9:D10"/>
    <mergeCell ref="E9:E10"/>
    <mergeCell ref="F9:F10"/>
    <mergeCell ref="G9:G10"/>
    <mergeCell ref="G7:G8"/>
    <mergeCell ref="H7:H8"/>
    <mergeCell ref="I7:I8"/>
    <mergeCell ref="P7:P8"/>
    <mergeCell ref="C7:C8"/>
    <mergeCell ref="D7:D8"/>
    <mergeCell ref="E7:E8"/>
    <mergeCell ref="F7:F8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Q7:Q8"/>
    <mergeCell ref="R7:R8"/>
    <mergeCell ref="A1:Q1"/>
    <mergeCell ref="A2:B2"/>
    <mergeCell ref="C2:D2"/>
    <mergeCell ref="G2:N2"/>
    <mergeCell ref="O2:Q2"/>
    <mergeCell ref="A3:B3"/>
    <mergeCell ref="C3:Q3"/>
    <mergeCell ref="A4:B4"/>
    <mergeCell ref="C4:Q4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Veriler</vt:lpstr>
      <vt:lpstr>2021</vt:lpstr>
      <vt:lpstr>2022</vt:lpstr>
      <vt:lpstr>2023</vt:lpstr>
      <vt:lpstr>2024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Veli Can DEMİR</dc:creator>
  <cp:keywords/>
  <dc:description/>
  <cp:lastModifiedBy>tuğba sorkulu</cp:lastModifiedBy>
  <cp:revision/>
  <dcterms:created xsi:type="dcterms:W3CDTF">2015-06-05T18:17:20Z</dcterms:created>
  <dcterms:modified xsi:type="dcterms:W3CDTF">2025-12-12T11:53:13Z</dcterms:modified>
  <cp:category/>
  <cp:contentStatus/>
</cp:coreProperties>
</file>