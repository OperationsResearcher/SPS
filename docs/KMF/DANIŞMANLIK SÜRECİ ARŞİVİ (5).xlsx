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fileSharing readOnlyRecommended="1" userName="Tuğba Sorkulu" algorithmName="SHA-512" hashValue="f0hRhZpDnWXLH1T40+0SIcc90GYr1ESQVOo1zwv5zgVsQMOWDieMaC5TuO7s8+QQfJswiTNOKCLh4ijR60QCbg==" saltValue="xyQ7lq2QMSE2XDDNZd3CMA==" spinCount="10000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tuğbasorkulu\Downloads\"/>
    </mc:Choice>
  </mc:AlternateContent>
  <xr:revisionPtr revIDLastSave="0" documentId="13_ncr:10001_{4503C0A1-7329-437A-89E2-6BFA64B4764D}" xr6:coauthVersionLast="47" xr6:coauthVersionMax="47" xr10:uidLastSave="{00000000-0000-0000-0000-000000000000}"/>
  <bookViews>
    <workbookView xWindow="-108" yWindow="-108" windowWidth="23256" windowHeight="12456" tabRatio="839" xr2:uid="{00000000-000D-0000-FFFF-FFFF00000000}"/>
  </bookViews>
  <sheets>
    <sheet name="Ana Veri" sheetId="6" r:id="rId1"/>
    <sheet name="Özet Durum" sheetId="18" r:id="rId2"/>
  </sheets>
  <definedNames>
    <definedName name="_xlnm._FilterDatabase" localSheetId="0" hidden="1">'Ana Veri'!$A$1:$P$9</definedName>
    <definedName name="_xlnm._FilterDatabase" localSheetId="1" hidden="1">'Özet Durum'!$A$1:$AA$140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4" i="6" l="1"/>
  <c r="N24" i="6"/>
  <c r="P24" i="6" s="1"/>
  <c r="F24" i="6"/>
  <c r="E24" i="6"/>
  <c r="O23" i="6"/>
  <c r="N23" i="6"/>
  <c r="P23" i="6" s="1"/>
  <c r="F23" i="6"/>
  <c r="O22" i="6"/>
  <c r="N22" i="6"/>
  <c r="P22" i="6" s="1"/>
  <c r="F22" i="6"/>
  <c r="E22" i="6"/>
  <c r="E21" i="6"/>
  <c r="F21" i="6"/>
  <c r="N21" i="6"/>
  <c r="P21" i="6" s="1"/>
  <c r="O21" i="6"/>
  <c r="O20" i="6"/>
  <c r="N20" i="6"/>
  <c r="P20" i="6" s="1"/>
  <c r="F20" i="6"/>
  <c r="E20" i="6"/>
  <c r="O19" i="6"/>
  <c r="N19" i="6"/>
  <c r="P19" i="6" s="1"/>
  <c r="F19" i="6"/>
  <c r="E19" i="6"/>
  <c r="O18" i="6"/>
  <c r="N18" i="6"/>
  <c r="P18" i="6" s="1"/>
  <c r="F18" i="6"/>
  <c r="E18" i="6"/>
  <c r="O17" i="6"/>
  <c r="N17" i="6"/>
  <c r="P17" i="6" s="1"/>
  <c r="F17" i="6"/>
  <c r="E17" i="6"/>
  <c r="O16" i="6"/>
  <c r="N16" i="6"/>
  <c r="P16" i="6" s="1"/>
  <c r="F16" i="6"/>
  <c r="E16" i="6"/>
  <c r="O15" i="6"/>
  <c r="N15" i="6"/>
  <c r="P15" i="6" s="1"/>
  <c r="F15" i="6"/>
  <c r="E15" i="6"/>
  <c r="O14" i="6"/>
  <c r="N14" i="6"/>
  <c r="P14" i="6" s="1"/>
  <c r="F14" i="6"/>
  <c r="O13" i="6"/>
  <c r="N13" i="6"/>
  <c r="P13" i="6" s="1"/>
  <c r="F13" i="6"/>
  <c r="E13" i="6"/>
  <c r="O12" i="6"/>
  <c r="N12" i="6"/>
  <c r="P12" i="6" s="1"/>
  <c r="F12" i="6"/>
  <c r="E12" i="6"/>
  <c r="O11" i="6"/>
  <c r="N11" i="6"/>
  <c r="P11" i="6" s="1"/>
  <c r="F11" i="6"/>
  <c r="E11" i="6"/>
  <c r="O10" i="6"/>
  <c r="N10" i="6"/>
  <c r="P10" i="6" s="1"/>
  <c r="F10" i="6"/>
  <c r="O9" i="6"/>
  <c r="N9" i="6"/>
  <c r="P9" i="6" s="1"/>
  <c r="F9" i="6"/>
  <c r="T141" i="18"/>
  <c r="N141" i="18"/>
  <c r="K141" i="18"/>
  <c r="M141" i="18" s="1"/>
  <c r="O8" i="6"/>
  <c r="N8" i="6"/>
  <c r="P8" i="6" s="1"/>
  <c r="F8" i="6"/>
  <c r="E8" i="6"/>
  <c r="O7" i="6"/>
  <c r="N7" i="6"/>
  <c r="P7" i="6" s="1"/>
  <c r="F7" i="6"/>
  <c r="E7" i="6"/>
  <c r="O6" i="6"/>
  <c r="N6" i="6"/>
  <c r="P6" i="6" s="1"/>
  <c r="F6" i="6"/>
  <c r="E6" i="6"/>
  <c r="O5" i="6"/>
  <c r="N5" i="6"/>
  <c r="P5" i="6" s="1"/>
  <c r="F5" i="6"/>
  <c r="E5" i="6"/>
  <c r="O4" i="6"/>
  <c r="N4" i="6"/>
  <c r="P4" i="6" s="1"/>
  <c r="F4" i="6"/>
  <c r="E4" i="6"/>
  <c r="O3" i="6"/>
  <c r="N3" i="6"/>
  <c r="P3" i="6" s="1"/>
  <c r="F3" i="6"/>
  <c r="E3" i="6"/>
  <c r="N2" i="6"/>
  <c r="P2" i="6" s="1"/>
  <c r="O2" i="6"/>
  <c r="F2" i="6"/>
  <c r="E2" i="6"/>
  <c r="T140" i="18"/>
  <c r="X140" i="18" s="1"/>
  <c r="O140" i="18"/>
  <c r="M140" i="18" s="1"/>
  <c r="N140" i="18"/>
  <c r="Q140" i="18" s="1"/>
  <c r="T139" i="18"/>
  <c r="X139" i="18" s="1"/>
  <c r="O139" i="18"/>
  <c r="M139" i="18" s="1"/>
  <c r="N139" i="18"/>
  <c r="Q139" i="18" s="1"/>
  <c r="T138" i="18"/>
  <c r="V138" i="18" s="1"/>
  <c r="O138" i="18"/>
  <c r="M138" i="18" s="1"/>
  <c r="N138" i="18"/>
  <c r="Q138" i="18" s="1"/>
  <c r="Q141" i="18" l="1"/>
  <c r="P141" i="18"/>
  <c r="R141" i="18" s="1"/>
  <c r="X141" i="18"/>
  <c r="V141" i="18"/>
  <c r="U141" i="18"/>
  <c r="P140" i="18"/>
  <c r="R140" i="18" s="1"/>
  <c r="U140" i="18"/>
  <c r="V140" i="18"/>
  <c r="P139" i="18"/>
  <c r="R139" i="18" s="1"/>
  <c r="U139" i="18"/>
  <c r="V139" i="18"/>
  <c r="X138" i="18"/>
  <c r="U138" i="18"/>
  <c r="P138" i="18"/>
  <c r="R138" i="18" s="1"/>
  <c r="K137" i="18"/>
  <c r="N137" i="18"/>
  <c r="O137" i="18"/>
  <c r="T137" i="18"/>
  <c r="U137" i="18" s="1"/>
  <c r="K136" i="18"/>
  <c r="M136" i="18" s="1"/>
  <c r="N136" i="18"/>
  <c r="Q136" i="18" s="1"/>
  <c r="T136" i="18"/>
  <c r="U136" i="18" s="1"/>
  <c r="O136" i="18"/>
  <c r="T135" i="18"/>
  <c r="U135" i="18" s="1"/>
  <c r="T134" i="18"/>
  <c r="U134" i="18" s="1"/>
  <c r="T133" i="18"/>
  <c r="U133" i="18" s="1"/>
  <c r="O135" i="18"/>
  <c r="O134" i="18"/>
  <c r="O133" i="18"/>
  <c r="N135" i="18"/>
  <c r="Q135" i="18" s="1"/>
  <c r="N134" i="18"/>
  <c r="N133" i="18"/>
  <c r="K135" i="18"/>
  <c r="K134" i="18"/>
  <c r="K133" i="18"/>
  <c r="T132" i="18"/>
  <c r="U132" i="18" s="1"/>
  <c r="N132" i="18"/>
  <c r="Q132" i="18" s="1"/>
  <c r="K132" i="18"/>
  <c r="T131" i="18"/>
  <c r="V131" i="18" s="1"/>
  <c r="J131" i="18" s="1"/>
  <c r="T130" i="18"/>
  <c r="V130" i="18" s="1"/>
  <c r="J130" i="18" s="1"/>
  <c r="O131" i="18"/>
  <c r="N131" i="18"/>
  <c r="Q131" i="18" s="1"/>
  <c r="K131" i="18"/>
  <c r="O130" i="18"/>
  <c r="N130" i="18"/>
  <c r="Q130" i="18" s="1"/>
  <c r="K130" i="18"/>
  <c r="O126" i="18"/>
  <c r="O74" i="18"/>
  <c r="O75" i="18"/>
  <c r="O76" i="18"/>
  <c r="O77" i="18"/>
  <c r="O78" i="18"/>
  <c r="O79" i="18"/>
  <c r="O80" i="18"/>
  <c r="O81" i="18"/>
  <c r="O82" i="18"/>
  <c r="O83" i="18"/>
  <c r="O84" i="18"/>
  <c r="O85" i="18"/>
  <c r="O86" i="18"/>
  <c r="O87" i="18"/>
  <c r="O89" i="18"/>
  <c r="O90" i="18"/>
  <c r="O92" i="18"/>
  <c r="O93" i="18"/>
  <c r="O94" i="18"/>
  <c r="O95" i="18"/>
  <c r="O97" i="18"/>
  <c r="O98" i="18"/>
  <c r="O99" i="18"/>
  <c r="O100" i="18"/>
  <c r="O101" i="18"/>
  <c r="O102" i="18"/>
  <c r="O103" i="18"/>
  <c r="O105" i="18"/>
  <c r="O106" i="18"/>
  <c r="O107" i="18"/>
  <c r="O108" i="18"/>
  <c r="O109" i="18"/>
  <c r="O110" i="18"/>
  <c r="O113" i="18"/>
  <c r="O114" i="18"/>
  <c r="O115" i="18"/>
  <c r="O116" i="18"/>
  <c r="O117" i="18"/>
  <c r="O118" i="18"/>
  <c r="O120" i="18"/>
  <c r="O121" i="18"/>
  <c r="O122" i="18"/>
  <c r="O123" i="18"/>
  <c r="O125" i="18"/>
  <c r="O127" i="18"/>
  <c r="O128" i="18"/>
  <c r="O129" i="18"/>
  <c r="O73" i="18"/>
  <c r="T129" i="18"/>
  <c r="U129" i="18" s="1"/>
  <c r="K129" i="18"/>
  <c r="N129" i="18"/>
  <c r="T128" i="18"/>
  <c r="U128" i="18" s="1"/>
  <c r="N128" i="18"/>
  <c r="Q128" i="18" s="1"/>
  <c r="K128" i="18"/>
  <c r="T127" i="18"/>
  <c r="X127" i="18" s="1"/>
  <c r="N127" i="18"/>
  <c r="Q127" i="18" s="1"/>
  <c r="K127" i="18"/>
  <c r="K126" i="18"/>
  <c r="N126" i="18"/>
  <c r="Q126" i="18" s="1"/>
  <c r="T126" i="18"/>
  <c r="X126" i="18" s="1"/>
  <c r="K125" i="18"/>
  <c r="N125" i="18"/>
  <c r="Q125" i="18" s="1"/>
  <c r="T125" i="18"/>
  <c r="U125" i="18" s="1"/>
  <c r="K124" i="18"/>
  <c r="M124" i="18" s="1"/>
  <c r="N124" i="18"/>
  <c r="Q124" i="18" s="1"/>
  <c r="T124" i="18"/>
  <c r="U124" i="18" s="1"/>
  <c r="K123" i="18"/>
  <c r="N123" i="18"/>
  <c r="Q123" i="18" s="1"/>
  <c r="T123" i="18"/>
  <c r="V123" i="18" s="1"/>
  <c r="J123" i="18" s="1"/>
  <c r="K122" i="18"/>
  <c r="N122" i="18"/>
  <c r="Q122" i="18" s="1"/>
  <c r="T122" i="18"/>
  <c r="V122" i="18" s="1"/>
  <c r="J122" i="18" s="1"/>
  <c r="K121" i="18"/>
  <c r="N121" i="18"/>
  <c r="Q121" i="18" s="1"/>
  <c r="T121" i="18"/>
  <c r="U121" i="18" s="1"/>
  <c r="T120" i="18"/>
  <c r="U120" i="18" s="1"/>
  <c r="N120" i="18"/>
  <c r="Q120" i="18" s="1"/>
  <c r="K120" i="18"/>
  <c r="T119" i="18"/>
  <c r="U119" i="18" s="1"/>
  <c r="K119" i="18"/>
  <c r="M119" i="18" s="1"/>
  <c r="N119" i="18"/>
  <c r="Q119" i="18" s="1"/>
  <c r="Q117" i="18"/>
  <c r="N118" i="18"/>
  <c r="Q118" i="18" s="1"/>
  <c r="K117" i="18"/>
  <c r="K118" i="18"/>
  <c r="T118" i="18"/>
  <c r="V118" i="18" s="1"/>
  <c r="J118" i="18" s="1"/>
  <c r="T117" i="18"/>
  <c r="V117" i="18" s="1"/>
  <c r="J117" i="18" s="1"/>
  <c r="N114" i="18"/>
  <c r="Q114" i="18" s="1"/>
  <c r="N115" i="18"/>
  <c r="Q115" i="18" s="1"/>
  <c r="N116" i="18"/>
  <c r="Q116" i="18" s="1"/>
  <c r="T116" i="18"/>
  <c r="X116" i="18" s="1"/>
  <c r="K116" i="18"/>
  <c r="T115" i="18"/>
  <c r="X115" i="18" s="1"/>
  <c r="K115" i="18"/>
  <c r="T114" i="18"/>
  <c r="U114" i="18" s="1"/>
  <c r="K114" i="18"/>
  <c r="L114" i="18" s="1"/>
  <c r="T113" i="18"/>
  <c r="V113" i="18" s="1"/>
  <c r="J113" i="18" s="1"/>
  <c r="N113" i="18"/>
  <c r="Q113" i="18" s="1"/>
  <c r="K113" i="18"/>
  <c r="K112" i="18"/>
  <c r="L112" i="18" s="1"/>
  <c r="Q112" i="18"/>
  <c r="T112" i="18"/>
  <c r="V112" i="18" s="1"/>
  <c r="J112" i="18" s="1"/>
  <c r="K111" i="18"/>
  <c r="L111" i="18" s="1"/>
  <c r="Q111" i="18"/>
  <c r="T111" i="18"/>
  <c r="V111" i="18" s="1"/>
  <c r="J111" i="18" s="1"/>
  <c r="N101" i="18"/>
  <c r="Q101" i="18" s="1"/>
  <c r="K110" i="18"/>
  <c r="L110" i="18" s="1"/>
  <c r="N110" i="18"/>
  <c r="Q110" i="18" s="1"/>
  <c r="T110" i="18"/>
  <c r="X110" i="18" s="1"/>
  <c r="K109" i="18"/>
  <c r="L109" i="18" s="1"/>
  <c r="N109" i="18"/>
  <c r="Q109" i="18" s="1"/>
  <c r="T109" i="18"/>
  <c r="V109" i="18" s="1"/>
  <c r="J109" i="18" s="1"/>
  <c r="K108" i="18"/>
  <c r="L108" i="18" s="1"/>
  <c r="N108" i="18"/>
  <c r="Q108" i="18" s="1"/>
  <c r="T108" i="18"/>
  <c r="X108" i="18" s="1"/>
  <c r="T107" i="18"/>
  <c r="X107" i="18" s="1"/>
  <c r="K107" i="18"/>
  <c r="L107" i="18" s="1"/>
  <c r="N107" i="18"/>
  <c r="Q107" i="18" s="1"/>
  <c r="T106" i="18"/>
  <c r="X106" i="18" s="1"/>
  <c r="K106" i="18"/>
  <c r="L106" i="18" s="1"/>
  <c r="N106" i="18"/>
  <c r="Q106" i="18" s="1"/>
  <c r="K105" i="18"/>
  <c r="N105" i="18"/>
  <c r="Q105" i="18" s="1"/>
  <c r="T105" i="18"/>
  <c r="V105" i="18" s="1"/>
  <c r="J105" i="18" s="1"/>
  <c r="K104" i="18"/>
  <c r="L104" i="18" s="1"/>
  <c r="N104" i="18"/>
  <c r="T104" i="18"/>
  <c r="U104" i="18" s="1"/>
  <c r="T102" i="18"/>
  <c r="V102" i="18" s="1"/>
  <c r="J102" i="18" s="1"/>
  <c r="T101" i="18"/>
  <c r="X101" i="18" s="1"/>
  <c r="T100" i="18"/>
  <c r="U100" i="18" s="1"/>
  <c r="T99" i="18"/>
  <c r="X99" i="18" s="1"/>
  <c r="T98" i="18"/>
  <c r="X98" i="18" s="1"/>
  <c r="T97" i="18"/>
  <c r="U97" i="18" s="1"/>
  <c r="T96" i="18"/>
  <c r="U96" i="18" s="1"/>
  <c r="T95" i="18"/>
  <c r="X95" i="18" s="1"/>
  <c r="T94" i="18"/>
  <c r="X94" i="18" s="1"/>
  <c r="T93" i="18"/>
  <c r="U93" i="18" s="1"/>
  <c r="T92" i="18"/>
  <c r="U92" i="18" s="1"/>
  <c r="T91" i="18"/>
  <c r="U91" i="18" s="1"/>
  <c r="T90" i="18"/>
  <c r="X90" i="18" s="1"/>
  <c r="T89" i="18"/>
  <c r="X89" i="18" s="1"/>
  <c r="T88" i="18"/>
  <c r="V88" i="18" s="1"/>
  <c r="J88" i="18" s="1"/>
  <c r="T87" i="18"/>
  <c r="U87" i="18" s="1"/>
  <c r="T86" i="18"/>
  <c r="U86" i="18" s="1"/>
  <c r="T85" i="18"/>
  <c r="V85" i="18" s="1"/>
  <c r="J85" i="18" s="1"/>
  <c r="T84" i="18"/>
  <c r="U84" i="18" s="1"/>
  <c r="T83" i="18"/>
  <c r="X83" i="18" s="1"/>
  <c r="T82" i="18"/>
  <c r="X82" i="18" s="1"/>
  <c r="T81" i="18"/>
  <c r="V81" i="18" s="1"/>
  <c r="J81" i="18" s="1"/>
  <c r="T80" i="18"/>
  <c r="X80" i="18" s="1"/>
  <c r="T79" i="18"/>
  <c r="V79" i="18" s="1"/>
  <c r="J79" i="18" s="1"/>
  <c r="T78" i="18"/>
  <c r="V78" i="18" s="1"/>
  <c r="J78" i="18" s="1"/>
  <c r="T77" i="18"/>
  <c r="V77" i="18" s="1"/>
  <c r="J77" i="18" s="1"/>
  <c r="T76" i="18"/>
  <c r="U76" i="18" s="1"/>
  <c r="T75" i="18"/>
  <c r="X75" i="18" s="1"/>
  <c r="T74" i="18"/>
  <c r="V74" i="18" s="1"/>
  <c r="J74" i="18" s="1"/>
  <c r="T73" i="18"/>
  <c r="U73" i="18" s="1"/>
  <c r="T72" i="18"/>
  <c r="U72" i="18" s="1"/>
  <c r="T71" i="18"/>
  <c r="U71" i="18" s="1"/>
  <c r="T69" i="18"/>
  <c r="V69" i="18" s="1"/>
  <c r="J69" i="18" s="1"/>
  <c r="T68" i="18"/>
  <c r="X68" i="18" s="1"/>
  <c r="T67" i="18"/>
  <c r="X67" i="18" s="1"/>
  <c r="T66" i="18"/>
  <c r="V66" i="18" s="1"/>
  <c r="J66" i="18" s="1"/>
  <c r="T65" i="18"/>
  <c r="V65" i="18" s="1"/>
  <c r="J65" i="18" s="1"/>
  <c r="T64" i="18"/>
  <c r="U64" i="18" s="1"/>
  <c r="T63" i="18"/>
  <c r="V63" i="18" s="1"/>
  <c r="J63" i="18" s="1"/>
  <c r="T62" i="18"/>
  <c r="U62" i="18" s="1"/>
  <c r="T61" i="18"/>
  <c r="V61" i="18" s="1"/>
  <c r="J61" i="18" s="1"/>
  <c r="T60" i="18"/>
  <c r="X60" i="18" s="1"/>
  <c r="T59" i="18"/>
  <c r="X59" i="18" s="1"/>
  <c r="T58" i="18"/>
  <c r="X58" i="18" s="1"/>
  <c r="T57" i="18"/>
  <c r="V57" i="18" s="1"/>
  <c r="J57" i="18" s="1"/>
  <c r="T56" i="18"/>
  <c r="X56" i="18" s="1"/>
  <c r="T55" i="18"/>
  <c r="V55" i="18" s="1"/>
  <c r="J55" i="18" s="1"/>
  <c r="T54" i="18"/>
  <c r="X54" i="18" s="1"/>
  <c r="T53" i="18"/>
  <c r="V53" i="18" s="1"/>
  <c r="J53" i="18" s="1"/>
  <c r="T52" i="18"/>
  <c r="U52" i="18" s="1"/>
  <c r="T51" i="18"/>
  <c r="U51" i="18" s="1"/>
  <c r="T50" i="18"/>
  <c r="X50" i="18" s="1"/>
  <c r="T49" i="18"/>
  <c r="V49" i="18" s="1"/>
  <c r="J49" i="18" s="1"/>
  <c r="T48" i="18"/>
  <c r="X48" i="18" s="1"/>
  <c r="T47" i="18"/>
  <c r="X47" i="18" s="1"/>
  <c r="T46" i="18"/>
  <c r="U46" i="18" s="1"/>
  <c r="T45" i="18"/>
  <c r="V45" i="18" s="1"/>
  <c r="J45" i="18" s="1"/>
  <c r="T44" i="18"/>
  <c r="V44" i="18" s="1"/>
  <c r="J44" i="18" s="1"/>
  <c r="T43" i="18"/>
  <c r="U43" i="18" s="1"/>
  <c r="T42" i="18"/>
  <c r="U42" i="18" s="1"/>
  <c r="T41" i="18"/>
  <c r="X41" i="18" s="1"/>
  <c r="T40" i="18"/>
  <c r="U40" i="18" s="1"/>
  <c r="T39" i="18"/>
  <c r="V39" i="18" s="1"/>
  <c r="J39" i="18" s="1"/>
  <c r="T38" i="18"/>
  <c r="X38" i="18" s="1"/>
  <c r="T37" i="18"/>
  <c r="V37" i="18" s="1"/>
  <c r="J37" i="18" s="1"/>
  <c r="T36" i="18"/>
  <c r="U36" i="18" s="1"/>
  <c r="T35" i="18"/>
  <c r="U35" i="18" s="1"/>
  <c r="T34" i="18"/>
  <c r="V34" i="18" s="1"/>
  <c r="J34" i="18" s="1"/>
  <c r="T33" i="18"/>
  <c r="V33" i="18" s="1"/>
  <c r="J33" i="18" s="1"/>
  <c r="T32" i="18"/>
  <c r="V32" i="18" s="1"/>
  <c r="J32" i="18" s="1"/>
  <c r="T31" i="18"/>
  <c r="X31" i="18" s="1"/>
  <c r="T30" i="18"/>
  <c r="V30" i="18" s="1"/>
  <c r="J30" i="18" s="1"/>
  <c r="T29" i="18"/>
  <c r="U29" i="18" s="1"/>
  <c r="T28" i="18"/>
  <c r="U28" i="18" s="1"/>
  <c r="T27" i="18"/>
  <c r="U27" i="18" s="1"/>
  <c r="T25" i="18"/>
  <c r="V25" i="18" s="1"/>
  <c r="J25" i="18" s="1"/>
  <c r="T24" i="18"/>
  <c r="X24" i="18" s="1"/>
  <c r="T23" i="18"/>
  <c r="V23" i="18" s="1"/>
  <c r="J23" i="18" s="1"/>
  <c r="T22" i="18"/>
  <c r="U22" i="18" s="1"/>
  <c r="T21" i="18"/>
  <c r="V21" i="18" s="1"/>
  <c r="J21" i="18" s="1"/>
  <c r="T20" i="18"/>
  <c r="V20" i="18" s="1"/>
  <c r="J20" i="18" s="1"/>
  <c r="T19" i="18"/>
  <c r="U19" i="18" s="1"/>
  <c r="T18" i="18"/>
  <c r="V18" i="18" s="1"/>
  <c r="J18" i="18" s="1"/>
  <c r="T17" i="18"/>
  <c r="U17" i="18" s="1"/>
  <c r="T16" i="18"/>
  <c r="V16" i="18" s="1"/>
  <c r="J16" i="18" s="1"/>
  <c r="T15" i="18"/>
  <c r="U15" i="18" s="1"/>
  <c r="T14" i="18"/>
  <c r="X14" i="18" s="1"/>
  <c r="T13" i="18"/>
  <c r="X13" i="18" s="1"/>
  <c r="T12" i="18"/>
  <c r="X12" i="18" s="1"/>
  <c r="T11" i="18"/>
  <c r="U11" i="18" s="1"/>
  <c r="T10" i="18"/>
  <c r="X10" i="18" s="1"/>
  <c r="T9" i="18"/>
  <c r="V9" i="18" s="1"/>
  <c r="J9" i="18" s="1"/>
  <c r="T8" i="18"/>
  <c r="U8" i="18" s="1"/>
  <c r="T7" i="18"/>
  <c r="U7" i="18" s="1"/>
  <c r="T6" i="18"/>
  <c r="U6" i="18" s="1"/>
  <c r="T5" i="18"/>
  <c r="X5" i="18" s="1"/>
  <c r="T4" i="18"/>
  <c r="X4" i="18" s="1"/>
  <c r="T3" i="18"/>
  <c r="X3" i="18" s="1"/>
  <c r="T2" i="18"/>
  <c r="X2" i="18" s="1"/>
  <c r="T103" i="18"/>
  <c r="U103" i="18" s="1"/>
  <c r="N70" i="18"/>
  <c r="Q70" i="18" s="1"/>
  <c r="K70" i="18"/>
  <c r="L70" i="18" s="1"/>
  <c r="N103" i="18"/>
  <c r="Q103" i="18" s="1"/>
  <c r="K103" i="18"/>
  <c r="L103" i="18" s="1"/>
  <c r="Q102" i="18"/>
  <c r="K102" i="18"/>
  <c r="L102" i="18" s="1"/>
  <c r="W67" i="18"/>
  <c r="J62" i="18"/>
  <c r="N97" i="18"/>
  <c r="Q97" i="18" s="1"/>
  <c r="N98" i="18"/>
  <c r="N99" i="18"/>
  <c r="Q99" i="18" s="1"/>
  <c r="N100" i="18"/>
  <c r="Q100" i="18" s="1"/>
  <c r="K97" i="18"/>
  <c r="L97" i="18" s="1"/>
  <c r="K98" i="18"/>
  <c r="L98" i="18" s="1"/>
  <c r="K99" i="18"/>
  <c r="K100" i="18"/>
  <c r="K101" i="18"/>
  <c r="N96" i="18"/>
  <c r="Q96" i="18" s="1"/>
  <c r="K96" i="18"/>
  <c r="L96" i="18" s="1"/>
  <c r="K95" i="18"/>
  <c r="K94" i="18"/>
  <c r="M94" i="18" s="1"/>
  <c r="K93" i="18"/>
  <c r="L93" i="18" s="1"/>
  <c r="K92" i="18"/>
  <c r="L92" i="18" s="1"/>
  <c r="K91" i="18"/>
  <c r="L91" i="18" s="1"/>
  <c r="N95" i="18"/>
  <c r="Q95" i="18" s="1"/>
  <c r="N94" i="18"/>
  <c r="Q94" i="18" s="1"/>
  <c r="N93" i="18"/>
  <c r="Q93" i="18" s="1"/>
  <c r="N92" i="18"/>
  <c r="Q92" i="18" s="1"/>
  <c r="N90" i="18"/>
  <c r="Q90" i="18" s="1"/>
  <c r="N89" i="18"/>
  <c r="Q89" i="18" s="1"/>
  <c r="K90" i="18"/>
  <c r="K89" i="18"/>
  <c r="L89" i="18" s="1"/>
  <c r="Q88" i="18"/>
  <c r="K88" i="18"/>
  <c r="P88" i="18" s="1"/>
  <c r="R88" i="18" s="1"/>
  <c r="K77" i="18"/>
  <c r="M77" i="18" s="1"/>
  <c r="X70" i="18"/>
  <c r="V70" i="18"/>
  <c r="J70" i="18" s="1"/>
  <c r="U70" i="18"/>
  <c r="N87" i="18"/>
  <c r="Q87" i="18" s="1"/>
  <c r="K87" i="18"/>
  <c r="N86" i="18"/>
  <c r="Q86" i="18" s="1"/>
  <c r="K86" i="18"/>
  <c r="L86" i="18" s="1"/>
  <c r="N85" i="18"/>
  <c r="Q85" i="18" s="1"/>
  <c r="K85" i="18"/>
  <c r="N84" i="18"/>
  <c r="Q84" i="18" s="1"/>
  <c r="K84" i="18"/>
  <c r="L84" i="18" s="1"/>
  <c r="K83" i="18"/>
  <c r="L83" i="18" s="1"/>
  <c r="N83" i="18"/>
  <c r="K82" i="18"/>
  <c r="N82" i="18"/>
  <c r="Q82" i="18" s="1"/>
  <c r="K81" i="18"/>
  <c r="K80" i="18"/>
  <c r="L80" i="18" s="1"/>
  <c r="N80" i="18"/>
  <c r="N77" i="18"/>
  <c r="Q77" i="18" s="1"/>
  <c r="N78" i="18"/>
  <c r="Q78" i="18" s="1"/>
  <c r="N79" i="18"/>
  <c r="Q79" i="18" s="1"/>
  <c r="K78" i="18"/>
  <c r="K79" i="18"/>
  <c r="L79" i="18" s="1"/>
  <c r="N74" i="18"/>
  <c r="Q74" i="18" s="1"/>
  <c r="N75" i="18"/>
  <c r="Q75" i="18" s="1"/>
  <c r="N76" i="18"/>
  <c r="K74" i="18"/>
  <c r="K75" i="18"/>
  <c r="L75" i="18" s="1"/>
  <c r="K76" i="18"/>
  <c r="N73" i="18"/>
  <c r="N72" i="18"/>
  <c r="Q71" i="18"/>
  <c r="K73" i="18"/>
  <c r="K72" i="18"/>
  <c r="M72" i="18" s="1"/>
  <c r="K71" i="18"/>
  <c r="L71" i="18" s="1"/>
  <c r="K69" i="18"/>
  <c r="M69" i="18" s="1"/>
  <c r="Q81" i="18"/>
  <c r="W27" i="18"/>
  <c r="N65" i="18"/>
  <c r="Q65" i="18" s="1"/>
  <c r="N66" i="18"/>
  <c r="Q66" i="18" s="1"/>
  <c r="N67" i="18"/>
  <c r="Q67" i="18" s="1"/>
  <c r="N68" i="18"/>
  <c r="Q68" i="18" s="1"/>
  <c r="N69" i="18"/>
  <c r="Q69" i="18" s="1"/>
  <c r="K65" i="18"/>
  <c r="M65" i="18" s="1"/>
  <c r="K66" i="18"/>
  <c r="M66" i="18" s="1"/>
  <c r="K67" i="18"/>
  <c r="L67" i="18" s="1"/>
  <c r="K68" i="18"/>
  <c r="M68" i="18" s="1"/>
  <c r="N64" i="18"/>
  <c r="K64" i="18"/>
  <c r="L64" i="18" s="1"/>
  <c r="K63" i="18"/>
  <c r="M63" i="18" s="1"/>
  <c r="N63" i="18"/>
  <c r="Q63" i="18" s="1"/>
  <c r="R65" i="18"/>
  <c r="R63" i="18"/>
  <c r="V26" i="18"/>
  <c r="J26" i="18" s="1"/>
  <c r="N38" i="18"/>
  <c r="Q38" i="18" s="1"/>
  <c r="K2" i="18"/>
  <c r="M2" i="18" s="1"/>
  <c r="K3" i="18"/>
  <c r="M3" i="18" s="1"/>
  <c r="K4" i="18"/>
  <c r="L4" i="18" s="1"/>
  <c r="K5" i="18"/>
  <c r="M5" i="18" s="1"/>
  <c r="K6" i="18"/>
  <c r="M6" i="18" s="1"/>
  <c r="K7" i="18"/>
  <c r="K15" i="18"/>
  <c r="L15" i="18" s="1"/>
  <c r="K28" i="18"/>
  <c r="L28" i="18" s="1"/>
  <c r="K35" i="18"/>
  <c r="L35" i="18" s="1"/>
  <c r="K40" i="18"/>
  <c r="L40" i="18" s="1"/>
  <c r="K31" i="18"/>
  <c r="L31" i="18" s="1"/>
  <c r="K42" i="18"/>
  <c r="L42" i="18" s="1"/>
  <c r="K29" i="18"/>
  <c r="L29" i="18" s="1"/>
  <c r="K30" i="18"/>
  <c r="M30" i="18" s="1"/>
  <c r="K32" i="18"/>
  <c r="L32" i="18" s="1"/>
  <c r="K8" i="18"/>
  <c r="M8" i="18" s="1"/>
  <c r="K9" i="18"/>
  <c r="L9" i="18" s="1"/>
  <c r="K10" i="18"/>
  <c r="M10" i="18" s="1"/>
  <c r="K11" i="18"/>
  <c r="M11" i="18" s="1"/>
  <c r="K12" i="18"/>
  <c r="M12" i="18" s="1"/>
  <c r="K13" i="18"/>
  <c r="M13" i="18" s="1"/>
  <c r="K14" i="18"/>
  <c r="M14" i="18" s="1"/>
  <c r="K21" i="18"/>
  <c r="L21" i="18" s="1"/>
  <c r="K22" i="18"/>
  <c r="L22" i="18" s="1"/>
  <c r="K23" i="18"/>
  <c r="M23" i="18" s="1"/>
  <c r="K39" i="18"/>
  <c r="L39" i="18" s="1"/>
  <c r="K34" i="18"/>
  <c r="M34" i="18" s="1"/>
  <c r="K27" i="18"/>
  <c r="K41" i="18"/>
  <c r="L41" i="18" s="1"/>
  <c r="K33" i="18"/>
  <c r="M33" i="18" s="1"/>
  <c r="K51" i="18"/>
  <c r="M51" i="18" s="1"/>
  <c r="K38" i="18"/>
  <c r="M38" i="18" s="1"/>
  <c r="K18" i="18"/>
  <c r="L18" i="18" s="1"/>
  <c r="K47" i="18"/>
  <c r="L47" i="18" s="1"/>
  <c r="K20" i="18"/>
  <c r="M20" i="18" s="1"/>
  <c r="K46" i="18"/>
  <c r="L46" i="18" s="1"/>
  <c r="K45" i="18"/>
  <c r="L45" i="18" s="1"/>
  <c r="K54" i="18"/>
  <c r="L54" i="18" s="1"/>
  <c r="K55" i="18"/>
  <c r="L55" i="18" s="1"/>
  <c r="K44" i="18"/>
  <c r="L44" i="18" s="1"/>
  <c r="K25" i="18"/>
  <c r="M25" i="18" s="1"/>
  <c r="K43" i="18"/>
  <c r="M43" i="18" s="1"/>
  <c r="K57" i="18"/>
  <c r="M57" i="18" s="1"/>
  <c r="K17" i="18"/>
  <c r="L17" i="18" s="1"/>
  <c r="K58" i="18"/>
  <c r="L58" i="18" s="1"/>
  <c r="K26" i="18"/>
  <c r="M26" i="18" s="1"/>
  <c r="K48" i="18"/>
  <c r="K59" i="18"/>
  <c r="M59" i="18" s="1"/>
  <c r="K60" i="18"/>
  <c r="M60" i="18" s="1"/>
  <c r="K37" i="18"/>
  <c r="M37" i="18" s="1"/>
  <c r="K53" i="18"/>
  <c r="M53" i="18" s="1"/>
  <c r="K56" i="18"/>
  <c r="L56" i="18" s="1"/>
  <c r="K24" i="18"/>
  <c r="M24" i="18" s="1"/>
  <c r="K49" i="18"/>
  <c r="L49" i="18" s="1"/>
  <c r="K52" i="18"/>
  <c r="M52" i="18" s="1"/>
  <c r="K19" i="18"/>
  <c r="L19" i="18" s="1"/>
  <c r="K16" i="18"/>
  <c r="L16" i="18" s="1"/>
  <c r="K61" i="18"/>
  <c r="M61" i="18" s="1"/>
  <c r="K36" i="18"/>
  <c r="M36" i="18" s="1"/>
  <c r="K62" i="18"/>
  <c r="N62" i="18"/>
  <c r="Q62" i="18" s="1"/>
  <c r="N52" i="18"/>
  <c r="Q52" i="18" s="1"/>
  <c r="N49" i="18"/>
  <c r="N56" i="18"/>
  <c r="Q56" i="18" s="1"/>
  <c r="N53" i="18"/>
  <c r="Q53" i="18" s="1"/>
  <c r="N37" i="18"/>
  <c r="N55" i="18"/>
  <c r="N54" i="18"/>
  <c r="Q54" i="18" s="1"/>
  <c r="N2" i="18"/>
  <c r="Q2" i="18" s="1"/>
  <c r="N3" i="18"/>
  <c r="Q3" i="18" s="1"/>
  <c r="N4" i="18"/>
  <c r="Q4" i="18" s="1"/>
  <c r="N5" i="18"/>
  <c r="Q5" i="18" s="1"/>
  <c r="N6" i="18"/>
  <c r="N7" i="18"/>
  <c r="Q7" i="18" s="1"/>
  <c r="N15" i="18"/>
  <c r="Q15" i="18" s="1"/>
  <c r="N28" i="18"/>
  <c r="Q28" i="18" s="1"/>
  <c r="N35" i="18"/>
  <c r="Q35" i="18" s="1"/>
  <c r="N40" i="18"/>
  <c r="N31" i="18"/>
  <c r="N42" i="18"/>
  <c r="Q42" i="18" s="1"/>
  <c r="N29" i="18"/>
  <c r="N30" i="18"/>
  <c r="Q30" i="18" s="1"/>
  <c r="N32" i="18"/>
  <c r="Q32" i="18" s="1"/>
  <c r="N8" i="18"/>
  <c r="N9" i="18"/>
  <c r="Q9" i="18" s="1"/>
  <c r="N10" i="18"/>
  <c r="Q10" i="18" s="1"/>
  <c r="N11" i="18"/>
  <c r="Q11" i="18" s="1"/>
  <c r="N12" i="18"/>
  <c r="N13" i="18"/>
  <c r="Q13" i="18" s="1"/>
  <c r="N14" i="18"/>
  <c r="Q14" i="18" s="1"/>
  <c r="N21" i="18"/>
  <c r="N22" i="18"/>
  <c r="Q22" i="18" s="1"/>
  <c r="N23" i="18"/>
  <c r="N39" i="18"/>
  <c r="Q39" i="18" s="1"/>
  <c r="N34" i="18"/>
  <c r="Q34" i="18" s="1"/>
  <c r="N27" i="18"/>
  <c r="Q27" i="18" s="1"/>
  <c r="N41" i="18"/>
  <c r="Q41" i="18" s="1"/>
  <c r="N33" i="18"/>
  <c r="Q33" i="18" s="1"/>
  <c r="N51" i="18"/>
  <c r="Q51" i="18" s="1"/>
  <c r="N18" i="18"/>
  <c r="N47" i="18"/>
  <c r="Q47" i="18" s="1"/>
  <c r="N20" i="18"/>
  <c r="Q20" i="18" s="1"/>
  <c r="N46" i="18"/>
  <c r="N45" i="18"/>
  <c r="Q45" i="18" s="1"/>
  <c r="N44" i="18"/>
  <c r="N25" i="18"/>
  <c r="Q25" i="18" s="1"/>
  <c r="N43" i="18"/>
  <c r="Q43" i="18" s="1"/>
  <c r="N57" i="18"/>
  <c r="Q57" i="18" s="1"/>
  <c r="N17" i="18"/>
  <c r="N58" i="18"/>
  <c r="Q58" i="18" s="1"/>
  <c r="N26" i="18"/>
  <c r="N48" i="18"/>
  <c r="Q48" i="18" s="1"/>
  <c r="N59" i="18"/>
  <c r="N60" i="18"/>
  <c r="Q60" i="18" s="1"/>
  <c r="N24" i="18"/>
  <c r="Q24" i="18" s="1"/>
  <c r="N19" i="18"/>
  <c r="N16" i="18"/>
  <c r="Q16" i="18" s="1"/>
  <c r="N61" i="18"/>
  <c r="Q61" i="18" s="1"/>
  <c r="N36" i="18"/>
  <c r="K50" i="18"/>
  <c r="M50" i="18" s="1"/>
  <c r="N50" i="18"/>
  <c r="Q50" i="18" s="1"/>
  <c r="W19" i="18"/>
  <c r="X26" i="18"/>
  <c r="U26" i="18"/>
  <c r="P128" i="18"/>
  <c r="M74" i="18" l="1"/>
  <c r="M101" i="18"/>
  <c r="M115" i="18"/>
  <c r="M137" i="18"/>
  <c r="P137" i="18"/>
  <c r="R137" i="18" s="1"/>
  <c r="X137" i="18"/>
  <c r="V137" i="18"/>
  <c r="Q137" i="18"/>
  <c r="P136" i="18"/>
  <c r="R136" i="18" s="1"/>
  <c r="X136" i="18"/>
  <c r="V136" i="18"/>
  <c r="M121" i="18"/>
  <c r="P134" i="18"/>
  <c r="R134" i="18" s="1"/>
  <c r="P133" i="18"/>
  <c r="R133" i="18" s="1"/>
  <c r="P135" i="18"/>
  <c r="R135" i="18" s="1"/>
  <c r="Q133" i="18"/>
  <c r="Q134" i="18"/>
  <c r="M133" i="18"/>
  <c r="M135" i="18"/>
  <c r="X135" i="18"/>
  <c r="X134" i="18"/>
  <c r="X133" i="18"/>
  <c r="V135" i="18"/>
  <c r="V134" i="18"/>
  <c r="V133" i="18"/>
  <c r="M134" i="18"/>
  <c r="M73" i="18"/>
  <c r="M100" i="18"/>
  <c r="M126" i="18"/>
  <c r="M123" i="18"/>
  <c r="M95" i="18"/>
  <c r="M132" i="18"/>
  <c r="P132" i="18"/>
  <c r="R132" i="18" s="1"/>
  <c r="X132" i="18"/>
  <c r="V132" i="18"/>
  <c r="M81" i="18"/>
  <c r="M76" i="18"/>
  <c r="M105" i="18"/>
  <c r="M118" i="18"/>
  <c r="M109" i="18"/>
  <c r="P130" i="18"/>
  <c r="R130" i="18" s="1"/>
  <c r="X131" i="18"/>
  <c r="X130" i="18"/>
  <c r="X129" i="18"/>
  <c r="U131" i="18"/>
  <c r="U130" i="18"/>
  <c r="M131" i="18"/>
  <c r="M130" i="18"/>
  <c r="P131" i="18"/>
  <c r="R131" i="18" s="1"/>
  <c r="M128" i="18"/>
  <c r="R128" i="18"/>
  <c r="M78" i="18"/>
  <c r="M125" i="18"/>
  <c r="M122" i="18"/>
  <c r="M117" i="18"/>
  <c r="M116" i="18"/>
  <c r="M87" i="18"/>
  <c r="P123" i="18"/>
  <c r="R123" i="18" s="1"/>
  <c r="P126" i="18"/>
  <c r="R126" i="18" s="1"/>
  <c r="M99" i="18"/>
  <c r="M127" i="18"/>
  <c r="M98" i="18"/>
  <c r="M113" i="18"/>
  <c r="M129" i="18"/>
  <c r="M120" i="18"/>
  <c r="P111" i="18"/>
  <c r="R111" i="18" s="1"/>
  <c r="P108" i="18"/>
  <c r="R108" i="18" s="1"/>
  <c r="M104" i="18"/>
  <c r="M108" i="18"/>
  <c r="M111" i="18"/>
  <c r="L116" i="18"/>
  <c r="M110" i="18"/>
  <c r="P109" i="18"/>
  <c r="R109" i="18" s="1"/>
  <c r="P120" i="18"/>
  <c r="R120" i="18" s="1"/>
  <c r="P114" i="18"/>
  <c r="R114" i="18" s="1"/>
  <c r="M83" i="18"/>
  <c r="M88" i="18"/>
  <c r="L88" i="18"/>
  <c r="P113" i="18"/>
  <c r="R113" i="18" s="1"/>
  <c r="L105" i="18"/>
  <c r="L66" i="18"/>
  <c r="P110" i="18"/>
  <c r="R110" i="18" s="1"/>
  <c r="M54" i="18"/>
  <c r="M89" i="18"/>
  <c r="L77" i="18"/>
  <c r="P129" i="18"/>
  <c r="R129" i="18" s="1"/>
  <c r="M86" i="18"/>
  <c r="Q129" i="18"/>
  <c r="V129" i="18"/>
  <c r="J129" i="18" s="1"/>
  <c r="X100" i="18"/>
  <c r="V100" i="18"/>
  <c r="J100" i="18" s="1"/>
  <c r="X88" i="18"/>
  <c r="X119" i="18"/>
  <c r="V119" i="18"/>
  <c r="J119" i="18" s="1"/>
  <c r="V84" i="18"/>
  <c r="J84" i="18" s="1"/>
  <c r="U111" i="18"/>
  <c r="V54" i="18"/>
  <c r="J54" i="18" s="1"/>
  <c r="V127" i="18"/>
  <c r="J127" i="18" s="1"/>
  <c r="U47" i="18"/>
  <c r="X72" i="18"/>
  <c r="X84" i="18"/>
  <c r="V47" i="18"/>
  <c r="J47" i="18" s="1"/>
  <c r="V72" i="18"/>
  <c r="J72" i="18" s="1"/>
  <c r="X105" i="18"/>
  <c r="U110" i="18"/>
  <c r="V76" i="18"/>
  <c r="J76" i="18" s="1"/>
  <c r="X76" i="18"/>
  <c r="U88" i="18"/>
  <c r="L50" i="18"/>
  <c r="U99" i="18"/>
  <c r="V97" i="18"/>
  <c r="J97" i="18" s="1"/>
  <c r="V116" i="18"/>
  <c r="J116" i="18" s="1"/>
  <c r="U116" i="18"/>
  <c r="V99" i="18"/>
  <c r="J99" i="18" s="1"/>
  <c r="X112" i="18"/>
  <c r="U112" i="18"/>
  <c r="U75" i="18"/>
  <c r="V75" i="18"/>
  <c r="J75" i="18" s="1"/>
  <c r="X39" i="18"/>
  <c r="U39" i="18"/>
  <c r="V51" i="18"/>
  <c r="J51" i="18" s="1"/>
  <c r="X74" i="18"/>
  <c r="U49" i="18"/>
  <c r="X121" i="18"/>
  <c r="X125" i="18"/>
  <c r="V121" i="18"/>
  <c r="J121" i="18" s="1"/>
  <c r="U118" i="18"/>
  <c r="X118" i="18"/>
  <c r="U78" i="18"/>
  <c r="V29" i="18"/>
  <c r="J29" i="18" s="1"/>
  <c r="X65" i="18"/>
  <c r="U65" i="18"/>
  <c r="V120" i="18"/>
  <c r="J120" i="18" s="1"/>
  <c r="U53" i="18"/>
  <c r="X53" i="18"/>
  <c r="X92" i="18"/>
  <c r="V43" i="18"/>
  <c r="J43" i="18" s="1"/>
  <c r="X113" i="18"/>
  <c r="U67" i="18"/>
  <c r="V92" i="18"/>
  <c r="J92" i="18" s="1"/>
  <c r="V125" i="18"/>
  <c r="J125" i="18" s="1"/>
  <c r="X25" i="18"/>
  <c r="V38" i="18"/>
  <c r="J38" i="18" s="1"/>
  <c r="U113" i="18"/>
  <c r="U41" i="18"/>
  <c r="L12" i="18"/>
  <c r="M46" i="18"/>
  <c r="M22" i="18"/>
  <c r="X62" i="18"/>
  <c r="V87" i="18"/>
  <c r="J87" i="18" s="1"/>
  <c r="M42" i="18"/>
  <c r="X87" i="18"/>
  <c r="M102" i="18"/>
  <c r="M79" i="18"/>
  <c r="M29" i="18"/>
  <c r="M84" i="18"/>
  <c r="P96" i="18"/>
  <c r="R96" i="18" s="1"/>
  <c r="M97" i="18"/>
  <c r="P101" i="18"/>
  <c r="R101" i="18" s="1"/>
  <c r="P103" i="18"/>
  <c r="R103" i="18" s="1"/>
  <c r="U122" i="18"/>
  <c r="X122" i="18"/>
  <c r="P116" i="18"/>
  <c r="R116" i="18" s="1"/>
  <c r="L14" i="18"/>
  <c r="L101" i="18"/>
  <c r="P17" i="18"/>
  <c r="R17" i="18" s="1"/>
  <c r="M112" i="18"/>
  <c r="P112" i="18"/>
  <c r="R112" i="18" s="1"/>
  <c r="M19" i="18"/>
  <c r="P104" i="18"/>
  <c r="R104" i="18" s="1"/>
  <c r="L94" i="18"/>
  <c r="V110" i="18"/>
  <c r="J110" i="18" s="1"/>
  <c r="V89" i="18"/>
  <c r="J89" i="18" s="1"/>
  <c r="V15" i="18"/>
  <c r="J15" i="18" s="1"/>
  <c r="P94" i="18"/>
  <c r="R94" i="18" s="1"/>
  <c r="P12" i="18"/>
  <c r="R12" i="18" s="1"/>
  <c r="V83" i="18"/>
  <c r="J83" i="18" s="1"/>
  <c r="V6" i="18"/>
  <c r="J6" i="18" s="1"/>
  <c r="X18" i="18"/>
  <c r="U25" i="18"/>
  <c r="X114" i="18"/>
  <c r="U108" i="18"/>
  <c r="V114" i="18"/>
  <c r="J114" i="18" s="1"/>
  <c r="X93" i="18"/>
  <c r="X124" i="18"/>
  <c r="V124" i="18"/>
  <c r="J124" i="18" s="1"/>
  <c r="V108" i="18"/>
  <c r="J108" i="18" s="1"/>
  <c r="V52" i="18"/>
  <c r="J52" i="18" s="1"/>
  <c r="X46" i="18"/>
  <c r="U79" i="18"/>
  <c r="U66" i="18"/>
  <c r="V128" i="18"/>
  <c r="J128" i="18" s="1"/>
  <c r="U127" i="18"/>
  <c r="X117" i="18"/>
  <c r="U18" i="18"/>
  <c r="X9" i="18"/>
  <c r="U106" i="18"/>
  <c r="V48" i="18"/>
  <c r="J48" i="18" s="1"/>
  <c r="U77" i="18"/>
  <c r="V73" i="18"/>
  <c r="J73" i="18" s="1"/>
  <c r="X77" i="18"/>
  <c r="X73" i="18"/>
  <c r="X128" i="18"/>
  <c r="X52" i="18"/>
  <c r="V106" i="18"/>
  <c r="J106" i="18" s="1"/>
  <c r="U89" i="18"/>
  <c r="P69" i="18"/>
  <c r="R69" i="18" s="1"/>
  <c r="P84" i="18"/>
  <c r="R84" i="18" s="1"/>
  <c r="M103" i="18"/>
  <c r="P29" i="18"/>
  <c r="R29" i="18" s="1"/>
  <c r="M55" i="18"/>
  <c r="L23" i="18"/>
  <c r="L74" i="18"/>
  <c r="U105" i="18"/>
  <c r="P117" i="18"/>
  <c r="R117" i="18" s="1"/>
  <c r="P91" i="18"/>
  <c r="R91" i="18" s="1"/>
  <c r="P125" i="18"/>
  <c r="R125" i="18" s="1"/>
  <c r="Q29" i="18"/>
  <c r="P72" i="18"/>
  <c r="R72" i="18" s="1"/>
  <c r="L81" i="18"/>
  <c r="L72" i="18"/>
  <c r="M114" i="18"/>
  <c r="P21" i="18"/>
  <c r="R21" i="18" s="1"/>
  <c r="P31" i="18"/>
  <c r="R31" i="18" s="1"/>
  <c r="L63" i="18"/>
  <c r="V82" i="18"/>
  <c r="J82" i="18" s="1"/>
  <c r="U107" i="18"/>
  <c r="P81" i="18"/>
  <c r="R81" i="18" s="1"/>
  <c r="V94" i="18"/>
  <c r="J94" i="18" s="1"/>
  <c r="P121" i="18"/>
  <c r="R121" i="18" s="1"/>
  <c r="U94" i="18"/>
  <c r="M91" i="18"/>
  <c r="P18" i="18"/>
  <c r="R18" i="18" s="1"/>
  <c r="V107" i="18"/>
  <c r="J107" i="18" s="1"/>
  <c r="P102" i="18"/>
  <c r="R102" i="18" s="1"/>
  <c r="P36" i="18"/>
  <c r="R36" i="18" s="1"/>
  <c r="Q91" i="18"/>
  <c r="Q36" i="18"/>
  <c r="P82" i="18"/>
  <c r="R82" i="18" s="1"/>
  <c r="P85" i="18"/>
  <c r="R85" i="18" s="1"/>
  <c r="P77" i="18"/>
  <c r="R77" i="18" s="1"/>
  <c r="P16" i="18"/>
  <c r="R16" i="18" s="1"/>
  <c r="L52" i="18"/>
  <c r="L6" i="18"/>
  <c r="P6" i="18"/>
  <c r="R6" i="18" s="1"/>
  <c r="P30" i="18"/>
  <c r="R30" i="18" s="1"/>
  <c r="M58" i="18"/>
  <c r="P118" i="18"/>
  <c r="R118" i="18" s="1"/>
  <c r="V93" i="18"/>
  <c r="J93" i="18" s="1"/>
  <c r="P5" i="18"/>
  <c r="R5" i="18" s="1"/>
  <c r="P44" i="18"/>
  <c r="R44" i="18" s="1"/>
  <c r="P11" i="18"/>
  <c r="R11" i="18" s="1"/>
  <c r="P19" i="18"/>
  <c r="R19" i="18" s="1"/>
  <c r="L11" i="18"/>
  <c r="M107" i="18"/>
  <c r="M18" i="18"/>
  <c r="P9" i="18"/>
  <c r="R9" i="18" s="1"/>
  <c r="X6" i="18"/>
  <c r="P24" i="18"/>
  <c r="R24" i="18" s="1"/>
  <c r="L33" i="18"/>
  <c r="L68" i="18"/>
  <c r="U81" i="18"/>
  <c r="P15" i="18"/>
  <c r="R15" i="18" s="1"/>
  <c r="P49" i="18"/>
  <c r="R49" i="18" s="1"/>
  <c r="M56" i="18"/>
  <c r="L43" i="18"/>
  <c r="M44" i="18"/>
  <c r="P107" i="18"/>
  <c r="R107" i="18" s="1"/>
  <c r="P46" i="18"/>
  <c r="R46" i="18" s="1"/>
  <c r="P124" i="18"/>
  <c r="R124" i="18" s="1"/>
  <c r="P59" i="18"/>
  <c r="R59" i="18" s="1"/>
  <c r="P7" i="18"/>
  <c r="R7" i="18" s="1"/>
  <c r="P127" i="18"/>
  <c r="R127" i="18" s="1"/>
  <c r="Q12" i="18"/>
  <c r="P48" i="18"/>
  <c r="R48" i="18" s="1"/>
  <c r="P38" i="18"/>
  <c r="R38" i="18" s="1"/>
  <c r="L51" i="18"/>
  <c r="P71" i="18"/>
  <c r="R71" i="18" s="1"/>
  <c r="P42" i="18"/>
  <c r="R42" i="18" s="1"/>
  <c r="P55" i="18"/>
  <c r="R55" i="18" s="1"/>
  <c r="M16" i="18"/>
  <c r="M7" i="18"/>
  <c r="M75" i="18"/>
  <c r="M85" i="18"/>
  <c r="U74" i="18"/>
  <c r="L34" i="18"/>
  <c r="V126" i="18"/>
  <c r="J126" i="18" s="1"/>
  <c r="P64" i="18"/>
  <c r="R64" i="18" s="1"/>
  <c r="X61" i="18"/>
  <c r="X86" i="18"/>
  <c r="L115" i="18"/>
  <c r="P40" i="18"/>
  <c r="R40" i="18" s="1"/>
  <c r="P23" i="18"/>
  <c r="R23" i="18" s="1"/>
  <c r="P8" i="18"/>
  <c r="R8" i="18" s="1"/>
  <c r="P26" i="18"/>
  <c r="R26" i="18" s="1"/>
  <c r="P76" i="18"/>
  <c r="R76" i="18" s="1"/>
  <c r="L30" i="18"/>
  <c r="L5" i="18"/>
  <c r="V86" i="18"/>
  <c r="J86" i="18" s="1"/>
  <c r="P78" i="18"/>
  <c r="R78" i="18" s="1"/>
  <c r="U61" i="18"/>
  <c r="L95" i="18"/>
  <c r="P58" i="18"/>
  <c r="R58" i="18" s="1"/>
  <c r="L60" i="18"/>
  <c r="L85" i="18"/>
  <c r="P119" i="18"/>
  <c r="R119" i="18" s="1"/>
  <c r="P33" i="18"/>
  <c r="R33" i="18" s="1"/>
  <c r="L76" i="18"/>
  <c r="X111" i="18"/>
  <c r="P51" i="18"/>
  <c r="R51" i="18" s="1"/>
  <c r="P98" i="18"/>
  <c r="R98" i="18" s="1"/>
  <c r="L99" i="18"/>
  <c r="P115" i="18"/>
  <c r="R115" i="18" s="1"/>
  <c r="L69" i="18"/>
  <c r="L7" i="18"/>
  <c r="P27" i="18"/>
  <c r="R27" i="18" s="1"/>
  <c r="P83" i="18"/>
  <c r="R83" i="18" s="1"/>
  <c r="P37" i="18"/>
  <c r="R37" i="18" s="1"/>
  <c r="L37" i="18"/>
  <c r="L20" i="18"/>
  <c r="L2" i="18"/>
  <c r="L87" i="18"/>
  <c r="M93" i="18"/>
  <c r="M70" i="18"/>
  <c r="X36" i="18"/>
  <c r="Q104" i="18"/>
  <c r="L113" i="18"/>
  <c r="Q8" i="18"/>
  <c r="P122" i="18"/>
  <c r="R122" i="18" s="1"/>
  <c r="M39" i="18"/>
  <c r="P43" i="18"/>
  <c r="R43" i="18" s="1"/>
  <c r="Q19" i="18"/>
  <c r="P57" i="18"/>
  <c r="R57" i="18" s="1"/>
  <c r="P53" i="18"/>
  <c r="R53" i="18" s="1"/>
  <c r="Q83" i="18"/>
  <c r="Q98" i="18"/>
  <c r="V3" i="18"/>
  <c r="J3" i="18" s="1"/>
  <c r="P25" i="18"/>
  <c r="R25" i="18" s="1"/>
  <c r="P56" i="18"/>
  <c r="R56" i="18" s="1"/>
  <c r="P28" i="18"/>
  <c r="R28" i="18" s="1"/>
  <c r="P73" i="18"/>
  <c r="R73" i="18" s="1"/>
  <c r="P80" i="18"/>
  <c r="R80" i="18" s="1"/>
  <c r="Q26" i="18"/>
  <c r="P61" i="18"/>
  <c r="R61" i="18" s="1"/>
  <c r="P93" i="18"/>
  <c r="R93" i="18" s="1"/>
  <c r="P50" i="18"/>
  <c r="R50" i="18" s="1"/>
  <c r="P74" i="18"/>
  <c r="R74" i="18" s="1"/>
  <c r="P100" i="18"/>
  <c r="R100" i="18" s="1"/>
  <c r="L65" i="18"/>
  <c r="U126" i="18"/>
  <c r="L38" i="18"/>
  <c r="M96" i="18"/>
  <c r="M9" i="18"/>
  <c r="V36" i="18"/>
  <c r="J36" i="18" s="1"/>
  <c r="P89" i="18"/>
  <c r="R89" i="18" s="1"/>
  <c r="P13" i="18"/>
  <c r="R13" i="18" s="1"/>
  <c r="M82" i="18"/>
  <c r="P60" i="18"/>
  <c r="R60" i="18" s="1"/>
  <c r="Q44" i="18"/>
  <c r="Q49" i="18"/>
  <c r="L48" i="18"/>
  <c r="P67" i="18"/>
  <c r="R67" i="18" s="1"/>
  <c r="Q76" i="18"/>
  <c r="M80" i="18"/>
  <c r="P32" i="18"/>
  <c r="R32" i="18" s="1"/>
  <c r="P22" i="18"/>
  <c r="R22" i="18" s="1"/>
  <c r="U48" i="18"/>
  <c r="M40" i="18"/>
  <c r="P10" i="18"/>
  <c r="R10" i="18" s="1"/>
  <c r="M31" i="18"/>
  <c r="P45" i="18"/>
  <c r="R45" i="18" s="1"/>
  <c r="P34" i="18"/>
  <c r="R34" i="18" s="1"/>
  <c r="L26" i="18"/>
  <c r="M41" i="18"/>
  <c r="L13" i="18"/>
  <c r="P75" i="18"/>
  <c r="R75" i="18" s="1"/>
  <c r="P95" i="18"/>
  <c r="R95" i="18" s="1"/>
  <c r="V8" i="18"/>
  <c r="J8" i="18" s="1"/>
  <c r="Q59" i="18"/>
  <c r="P70" i="18"/>
  <c r="R70" i="18" s="1"/>
  <c r="P105" i="18"/>
  <c r="R105" i="18" s="1"/>
  <c r="P62" i="18"/>
  <c r="R62" i="18" s="1"/>
  <c r="P90" i="18"/>
  <c r="R90" i="18" s="1"/>
  <c r="L10" i="18"/>
  <c r="X97" i="18"/>
  <c r="P20" i="18"/>
  <c r="R20" i="18" s="1"/>
  <c r="P39" i="18"/>
  <c r="R39" i="18" s="1"/>
  <c r="Q55" i="18"/>
  <c r="L36" i="18"/>
  <c r="L53" i="18"/>
  <c r="L78" i="18"/>
  <c r="Q17" i="18"/>
  <c r="Q23" i="18"/>
  <c r="L3" i="18"/>
  <c r="Q6" i="18"/>
  <c r="L61" i="18"/>
  <c r="M49" i="18"/>
  <c r="X123" i="18"/>
  <c r="P3" i="18"/>
  <c r="R3" i="18" s="1"/>
  <c r="L25" i="18"/>
  <c r="P14" i="18"/>
  <c r="R14" i="18" s="1"/>
  <c r="P41" i="18"/>
  <c r="R41" i="18" s="1"/>
  <c r="P66" i="18"/>
  <c r="R66" i="18" s="1"/>
  <c r="U95" i="18"/>
  <c r="M106" i="18"/>
  <c r="P4" i="18"/>
  <c r="R4" i="18" s="1"/>
  <c r="M47" i="18"/>
  <c r="M62" i="18"/>
  <c r="L24" i="18"/>
  <c r="L8" i="18"/>
  <c r="P97" i="18"/>
  <c r="R97" i="18" s="1"/>
  <c r="Q18" i="18"/>
  <c r="P2" i="18"/>
  <c r="R2" i="18" s="1"/>
  <c r="V95" i="18"/>
  <c r="J95" i="18" s="1"/>
  <c r="P47" i="18"/>
  <c r="R47" i="18" s="1"/>
  <c r="P92" i="18"/>
  <c r="R92" i="18" s="1"/>
  <c r="P106" i="18"/>
  <c r="R106" i="18" s="1"/>
  <c r="Q72" i="18"/>
  <c r="P35" i="18"/>
  <c r="R35" i="18" s="1"/>
  <c r="L27" i="18"/>
  <c r="M4" i="18"/>
  <c r="M28" i="18"/>
  <c r="P54" i="18"/>
  <c r="R54" i="18" s="1"/>
  <c r="L59" i="18"/>
  <c r="M27" i="18"/>
  <c r="P86" i="18"/>
  <c r="R86" i="18" s="1"/>
  <c r="P52" i="18"/>
  <c r="R52" i="18" s="1"/>
  <c r="U82" i="18"/>
  <c r="P99" i="18"/>
  <c r="R99" i="18" s="1"/>
  <c r="M17" i="18"/>
  <c r="Q21" i="18"/>
  <c r="L57" i="18"/>
  <c r="Q80" i="18"/>
  <c r="M32" i="18"/>
  <c r="U83" i="18"/>
  <c r="L73" i="18"/>
  <c r="X71" i="18"/>
  <c r="P68" i="18"/>
  <c r="R68" i="18" s="1"/>
  <c r="P79" i="18"/>
  <c r="R79" i="18" s="1"/>
  <c r="P87" i="18"/>
  <c r="R87" i="18" s="1"/>
  <c r="M21" i="18"/>
  <c r="M15" i="18"/>
  <c r="Q31" i="18"/>
  <c r="M48" i="18"/>
  <c r="Q46" i="18"/>
  <c r="Q40" i="18"/>
  <c r="L62" i="18"/>
  <c r="M45" i="18"/>
  <c r="M35" i="18"/>
  <c r="L82" i="18"/>
  <c r="L90" i="18"/>
  <c r="L100" i="18"/>
  <c r="Q64" i="18"/>
  <c r="M67" i="18"/>
  <c r="M92" i="18"/>
  <c r="U58" i="18"/>
  <c r="Q37" i="18"/>
  <c r="Q73" i="18"/>
  <c r="U9" i="18"/>
  <c r="M90" i="18"/>
  <c r="X120" i="18"/>
  <c r="U123" i="18"/>
  <c r="X109" i="18"/>
  <c r="V58" i="18"/>
  <c r="J58" i="18" s="1"/>
  <c r="X45" i="18"/>
  <c r="U80" i="18"/>
  <c r="U2" i="18"/>
  <c r="V56" i="18"/>
  <c r="J56" i="18" s="1"/>
  <c r="U90" i="18"/>
  <c r="X102" i="18"/>
  <c r="X81" i="18"/>
  <c r="V35" i="18"/>
  <c r="J35" i="18" s="1"/>
  <c r="U45" i="18"/>
  <c r="U102" i="18"/>
  <c r="X44" i="18"/>
  <c r="X91" i="18"/>
  <c r="V90" i="18"/>
  <c r="J90" i="18" s="1"/>
  <c r="X15" i="18"/>
  <c r="V12" i="18"/>
  <c r="J12" i="18" s="1"/>
  <c r="U12" i="18"/>
  <c r="U101" i="18"/>
  <c r="U57" i="18"/>
  <c r="V67" i="18"/>
  <c r="J67" i="18" s="1"/>
  <c r="V91" i="18"/>
  <c r="J91" i="18" s="1"/>
  <c r="X21" i="18"/>
  <c r="X35" i="18"/>
  <c r="X66" i="18"/>
  <c r="U56" i="18"/>
  <c r="V103" i="18"/>
  <c r="J103" i="18" s="1"/>
  <c r="X63" i="18"/>
  <c r="X29" i="18"/>
  <c r="V101" i="18"/>
  <c r="J101" i="18" s="1"/>
  <c r="V19" i="18"/>
  <c r="J19" i="18" s="1"/>
  <c r="U21" i="18"/>
  <c r="X57" i="18"/>
  <c r="U50" i="18"/>
  <c r="U117" i="18"/>
  <c r="U23" i="18"/>
  <c r="V50" i="18"/>
  <c r="J50" i="18" s="1"/>
  <c r="V27" i="18"/>
  <c r="J27" i="18" s="1"/>
  <c r="V2" i="18"/>
  <c r="J2" i="18" s="1"/>
  <c r="V10" i="18"/>
  <c r="J10" i="18" s="1"/>
  <c r="V59" i="18"/>
  <c r="J59" i="18" s="1"/>
  <c r="U34" i="18"/>
  <c r="V115" i="18"/>
  <c r="J115" i="18" s="1"/>
  <c r="X34" i="18"/>
  <c r="V98" i="18"/>
  <c r="J98" i="18" s="1"/>
  <c r="U24" i="18"/>
  <c r="X43" i="18"/>
  <c r="X51" i="18"/>
  <c r="V60" i="18"/>
  <c r="J60" i="18" s="1"/>
  <c r="V80" i="18"/>
  <c r="J80" i="18" s="1"/>
  <c r="V11" i="18"/>
  <c r="J11" i="18" s="1"/>
  <c r="U68" i="18"/>
  <c r="V71" i="18"/>
  <c r="J71" i="18" s="1"/>
  <c r="U31" i="18"/>
  <c r="V24" i="18"/>
  <c r="J24" i="18" s="1"/>
  <c r="X42" i="18"/>
  <c r="X49" i="18"/>
  <c r="U37" i="18"/>
  <c r="U63" i="18"/>
  <c r="V46" i="18"/>
  <c r="J46" i="18" s="1"/>
  <c r="X78" i="18"/>
  <c r="U10" i="18"/>
  <c r="X27" i="18"/>
  <c r="X37" i="18"/>
  <c r="U14" i="18"/>
  <c r="U59" i="18"/>
  <c r="U60" i="18"/>
  <c r="U38" i="18"/>
  <c r="V68" i="18"/>
  <c r="J68" i="18" s="1"/>
  <c r="V42" i="18"/>
  <c r="J42" i="18" s="1"/>
  <c r="X79" i="18"/>
  <c r="X11" i="18"/>
  <c r="U3" i="18"/>
  <c r="X23" i="18"/>
  <c r="U109" i="18"/>
  <c r="V22" i="18"/>
  <c r="J22" i="18" s="1"/>
  <c r="X103" i="18"/>
  <c r="V104" i="18"/>
  <c r="J104" i="18" s="1"/>
  <c r="X19" i="18"/>
  <c r="V14" i="18"/>
  <c r="J14" i="18" s="1"/>
  <c r="U115" i="18"/>
  <c r="U98" i="18"/>
  <c r="X104" i="18"/>
  <c r="X22" i="18"/>
  <c r="U54" i="18"/>
  <c r="X96" i="18"/>
  <c r="V5" i="18"/>
  <c r="J5" i="18" s="1"/>
  <c r="X33" i="18"/>
  <c r="U20" i="18"/>
  <c r="U4" i="18"/>
  <c r="X85" i="18"/>
  <c r="U5" i="18"/>
  <c r="X28" i="18"/>
  <c r="U85" i="18"/>
  <c r="X20" i="18"/>
  <c r="V31" i="18"/>
  <c r="J31" i="18" s="1"/>
  <c r="V41" i="18"/>
  <c r="J41" i="18" s="1"/>
  <c r="U30" i="18"/>
  <c r="V4" i="18"/>
  <c r="J4" i="18" s="1"/>
  <c r="U32" i="18"/>
  <c r="V17" i="18"/>
  <c r="J17" i="18" s="1"/>
  <c r="V13" i="18"/>
  <c r="J13" i="18" s="1"/>
  <c r="X7" i="18"/>
  <c r="X30" i="18"/>
  <c r="V7" i="18"/>
  <c r="J7" i="18" s="1"/>
  <c r="U44" i="18"/>
  <c r="X32" i="18"/>
  <c r="U55" i="18"/>
  <c r="V64" i="18"/>
  <c r="J64" i="18" s="1"/>
  <c r="X69" i="18"/>
  <c r="V96" i="18"/>
  <c r="J96" i="18" s="1"/>
  <c r="U69" i="18"/>
  <c r="X17" i="18"/>
  <c r="V28" i="18"/>
  <c r="J28" i="18" s="1"/>
  <c r="U33" i="18"/>
  <c r="X55" i="18"/>
  <c r="U16" i="18"/>
  <c r="U13" i="18"/>
  <c r="X8" i="18"/>
  <c r="V40" i="18"/>
  <c r="J40" i="18" s="1"/>
  <c r="X64" i="18"/>
  <c r="X40" i="18"/>
  <c r="X16" i="1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Beyza KACAR</author>
    <author>tc={B9EE9C87-6143-4B7B-B7C8-CDCA4DBCA86A}</author>
    <author>tc={3031A96C-6ACC-4BEE-8BFC-DEB020571D4F}</author>
    <author>tc={632E9AC8-10EB-40C9-8387-77D5906CDA60}</author>
    <author>tc={256388EB-ECCB-4DAA-8A14-D8968CB73D68}</author>
    <author>tc={7AF8A080-F479-4D1E-A134-1EBA5EA4D3BF}</author>
    <author>tc={3EF7F3FB-FED3-4F30-8B62-93968C7C7886}</author>
    <author>tc={8D74E894-54EB-472B-937E-0F4E7B43E37F}</author>
    <author>tc={AC1CACC9-B4CC-49BF-A9CE-31ED252F84D2}</author>
    <author>tc={421841BF-DA5B-4154-87FD-FA59A0912CF7}</author>
    <author>tc={706D5D4E-C815-4F4B-B9DF-592ED816A62B}</author>
    <author>tc={79799589-1FD7-43A4-9B28-FC7BBE965EDF}</author>
    <author>tc={516B5C31-2DC1-459D-95CF-99729F74F66A}</author>
    <author>tc={3FB74569-8875-409E-98D5-1D429855C836}</author>
    <author>tc={1B4D0BE1-4D98-4E66-BA69-CDC7F184CE1E}</author>
    <author>tc={B3F9F07E-5167-4164-9C9C-8C0F24A8F304}</author>
    <author>tc={2B4FA901-835F-425F-A63C-ABBDC4FC8F83}</author>
    <author>tc={9B415CF7-1939-4E43-A05C-62EE2940EEF1}</author>
    <author>tc={2728364A-5EDE-4A2D-B37F-C0BC45DAFE3D}</author>
    <author>tc={144FDF1A-6818-4DC1-A9A6-343F3277C6F3}</author>
  </authors>
  <commentList>
    <comment ref="S38" authorId="0" shapeId="0" xr:uid="{8672D66A-AA32-4B67-817D-556C3C767F33}">
      <text>
        <r>
          <rPr>
            <b/>
            <sz val="9"/>
            <color indexed="81"/>
            <rFont val="Tahoma"/>
            <family val="2"/>
            <charset val="162"/>
          </rPr>
          <t>Beyza KACAR:</t>
        </r>
        <r>
          <rPr>
            <sz val="9"/>
            <color indexed="81"/>
            <rFont val="Tahoma"/>
            <family val="2"/>
            <charset val="162"/>
          </rPr>
          <t xml:space="preserve">
normalde 15 gündü o yüzden 1 gün eğitim verilecek.</t>
        </r>
      </text>
    </comment>
    <comment ref="S66" authorId="1" shapeId="0" xr:uid="{B9EE9C87-6143-4B7B-B7C8-CDCA4DBCA86A}">
      <text>
        <t>[Yorum yazışması]
Excel sürümünüz bu yorum yazışmasını okumanıza izin veriyor, ancak dosya daha yeni bir Excel sürümünde açılırsa, yapılan düzenlemeler kaldırılır. Daha fazla bilgi: https://go.microsoft.com/fwlink/?linkid=870924.
Açıklama:
    17+3</t>
      </text>
    </comment>
    <comment ref="S67" authorId="2" shapeId="0" xr:uid="{3031A96C-6ACC-4BEE-8BFC-DEB020571D4F}">
      <text>
        <t>[Yorum yazışması]
Excel sürümünüz bu yorum yazışmasını okumanıza izin veriyor, ancak dosya daha yeni bir Excel sürümünde açılırsa, yapılan düzenlemeler kaldırılır. Daha fazla bilgi: https://go.microsoft.com/fwlink/?linkid=870924.
Açıklama:
    17+3</t>
      </text>
    </comment>
    <comment ref="S69" authorId="3" shapeId="0" xr:uid="{632E9AC8-10EB-40C9-8387-77D5906CDA60}">
      <text>
        <t>[Yorum yazışması]
Excel sürümünüz bu yorum yazışmasını okumanıza izin veriyor, ancak dosya daha yeni bir Excel sürümünde açılırsa, yapılan düzenlemeler kaldırılır. Daha fazla bilgi: https://go.microsoft.com/fwlink/?linkid=870924.
Açıklama:
    17+3</t>
      </text>
    </comment>
    <comment ref="S71" authorId="4" shapeId="0" xr:uid="{256388EB-ECCB-4DAA-8A14-D8968CB73D68}">
      <text>
        <t>[Yorum yazışması]
Excel sürümünüz bu yorum yazışmasını okumanıza izin veriyor, ancak dosya daha yeni bir Excel sürümünde açılırsa, yapılan düzenlemeler kaldırılır. Daha fazla bilgi: https://go.microsoft.com/fwlink/?linkid=870924.
Açıklama:
    17+3</t>
      </text>
    </comment>
    <comment ref="S72" authorId="5" shapeId="0" xr:uid="{7AF8A080-F479-4D1E-A134-1EBA5EA4D3BF}">
      <text>
        <t>[Yorum yazışması]
Excel sürümünüz bu yorum yazışmasını okumanıza izin veriyor, ancak dosya daha yeni bir Excel sürümünde açılırsa, yapılan düzenlemeler kaldırılır. Daha fazla bilgi: https://go.microsoft.com/fwlink/?linkid=870924.
Açıklama:
    17+3</t>
      </text>
    </comment>
    <comment ref="S73" authorId="6" shapeId="0" xr:uid="{3EF7F3FB-FED3-4F30-8B62-93968C7C7886}">
      <text>
        <t>[Yorum yazışması]
Excel sürümünüz bu yorum yazışmasını okumanıza izin veriyor, ancak dosya daha yeni bir Excel sürümünde açılırsa, yapılan düzenlemeler kaldırılır. Daha fazla bilgi: https://go.microsoft.com/fwlink/?linkid=870924.
Açıklama:
    17+3</t>
      </text>
    </comment>
    <comment ref="S75" authorId="7" shapeId="0" xr:uid="{8D74E894-54EB-472B-937E-0F4E7B43E37F}">
      <text>
        <t>[Yorum yazışması]
Excel sürümünüz bu yorum yazışmasını okumanıza izin veriyor, ancak dosya daha yeni bir Excel sürümünde açılırsa, yapılan düzenlemeler kaldırılır. Daha fazla bilgi: https://go.microsoft.com/fwlink/?linkid=870924.
Açıklama:
    27+3</t>
      </text>
    </comment>
    <comment ref="S81" authorId="8" shapeId="0" xr:uid="{AC1CACC9-B4CC-49BF-A9CE-31ED252F84D2}">
      <text>
        <t>[Yorum yazışması]
Excel sürümünüz bu yorum yazışmasını okumanıza izin veriyor, ancak dosya daha yeni bir Excel sürümünde açılırsa, yapılan düzenlemeler kaldırılır. Daha fazla bilgi: https://go.microsoft.com/fwlink/?linkid=870924.
Açıklama:
    1,5 gün kaldı.</t>
      </text>
    </comment>
    <comment ref="S84" authorId="9" shapeId="0" xr:uid="{421841BF-DA5B-4154-87FD-FA59A0912CF7}">
      <text>
        <t>[Yorum yazışması]
Excel sürümünüz bu yorum yazışmasını okumanıza izin veriyor, ancak dosya daha yeni bir Excel sürümünde açılırsa, yapılan düzenlemeler kaldırılır. Daha fazla bilgi: https://go.microsoft.com/fwlink/?linkid=870924.
Açıklama:
    17+3</t>
      </text>
    </comment>
    <comment ref="T88" authorId="10" shapeId="0" xr:uid="{706D5D4E-C815-4F4B-B9DF-592ED816A62B}">
      <text>
        <t xml:space="preserve">[Yorum yazışması]
Excel sürümünüz bu yorum yazışmasını okumanıza izin veriyor, ancak dosya daha yeni bir Excel sürümünde açılırsa, yapılan düzenlemeler kaldırılır. Daha fazla bilgi: https://go.microsoft.com/fwlink/?linkid=870924.
Açıklama:
    17+3
</t>
      </text>
    </comment>
    <comment ref="T91" authorId="11" shapeId="0" xr:uid="{79799589-1FD7-43A4-9B28-FC7BBE965EDF}">
      <text>
        <t>[Yorum yazışması]
Excel sürümünüz bu yorum yazışmasını okumanıza izin veriyor, ancak dosya daha yeni bir Excel sürümünde açılırsa, yapılan düzenlemeler kaldırılır. Daha fazla bilgi: https://go.microsoft.com/fwlink/?linkid=870924.
Açıklama:
    17+3</t>
      </text>
    </comment>
    <comment ref="W98" authorId="12" shapeId="0" xr:uid="{516B5C31-2DC1-459D-95CF-99729F74F66A}">
      <text>
        <t>[Yorum yazışması]
Excel sürümünüz bu yorum yazışmasını okumanıza izin veriyor, ancak dosya daha yeni bir Excel sürümünde açılırsa, yapılan düzenlemeler kaldırılır. Daha fazla bilgi: https://go.microsoft.com/fwlink/?linkid=870924.
Açıklama:
    Proje sunumları ve kazançları istenecek.</t>
      </text>
    </comment>
    <comment ref="T102" authorId="13" shapeId="0" xr:uid="{3FB74569-8875-409E-98D5-1D429855C836}">
      <text>
        <t xml:space="preserve">[Yorum yazışması]
Excel sürümünüz bu yorum yazışmasını okumanıza izin veriyor, ancak dosya daha yeni bir Excel sürümünde açılırsa, yapılan düzenlemeler kaldırılır. Daha fazla bilgi: https://go.microsoft.com/fwlink/?linkid=870924.
Açıklama:
    17+3
</t>
      </text>
    </comment>
    <comment ref="N103" authorId="14" shapeId="0" xr:uid="{1B4D0BE1-4D98-4E66-BA69-CDC7F184CE1E}">
      <text>
        <t>[Yorum yazışması]
Excel sürümünüz bu yorum yazışmasını okumanıza izin veriyor, ancak dosya daha yeni bir Excel sürümünde açılırsa, yapılan düzenlemeler kaldırılır. Daha fazla bilgi: https://go.microsoft.com/fwlink/?linkid=870924.
Açıklama:
    Veri eksikliği sebebiyle 8 gün manuel giriş yapılmıştır</t>
      </text>
    </comment>
    <comment ref="S103" authorId="15" shapeId="0" xr:uid="{B3F9F07E-5167-4164-9C9C-8C0F24A8F304}">
      <text>
        <t>[Yorum yazışması]
Excel sürümünüz bu yorum yazışmasını okumanıza izin veriyor, ancak dosya daha yeni bir Excel sürümünde açılırsa, yapılan düzenlemeler kaldırılır. Daha fazla bilgi: https://go.microsoft.com/fwlink/?linkid=870924.
Açıklama:
    17+3</t>
      </text>
    </comment>
    <comment ref="S117" authorId="16" shapeId="0" xr:uid="{2B4FA901-835F-425F-A63C-ABBDC4FC8F83}">
      <text>
        <t>[Yorum yazışması]
Excel sürümünüz bu yorum yazışmasını okumanıza izin veriyor, ancak dosya daha yeni bir Excel sürümünde açılırsa, yapılan düzenlemeler kaldırılır. Daha fazla bilgi: https://go.microsoft.com/fwlink/?linkid=870924.
Açıklama:
    17+3</t>
      </text>
    </comment>
    <comment ref="S118" authorId="17" shapeId="0" xr:uid="{9B415CF7-1939-4E43-A05C-62EE2940EEF1}">
      <text>
        <t>[Yorum yazışması]
Excel sürümünüz bu yorum yazışmasını okumanıza izin veriyor, ancak dosya daha yeni bir Excel sürümünde açılırsa, yapılan düzenlemeler kaldırılır. Daha fazla bilgi: https://go.microsoft.com/fwlink/?linkid=870924.
Açıklama:
    Planlanan 15 gün ama 16 gün gidilmiş</t>
      </text>
    </comment>
    <comment ref="S127" authorId="18" shapeId="0" xr:uid="{2728364A-5EDE-4A2D-B37F-C0BC45DAFE3D}">
      <text>
        <t>[Yorum yazışması]
Excel sürümünüz bu yorum yazışmasını okumanıza izin veriyor, ancak dosya daha yeni bir Excel sürümünde açılırsa, yapılan düzenlemeler kaldırılır. Daha fazla bilgi: https://go.microsoft.com/fwlink/?linkid=870924.
Açıklama:
    17+3</t>
      </text>
    </comment>
    <comment ref="S140" authorId="19" shapeId="0" xr:uid="{144FDF1A-6818-4DC1-A9A6-343F3277C6F3}">
      <text>
        <t xml:space="preserve">[Yorum yazışması]
Excel sürümünüz bu yorum yazışmasını okumanıza izin veriyor, ancak dosya daha yeni bir Excel sürümünde açılırsa, yapılan düzenlemeler kaldırılır. Daha fazla bilgi: https://go.microsoft.com/fwlink/?linkid=870924.
Açıklama:
    Sözleşmeye göre güncellenecek
</t>
      </text>
    </comment>
  </commentList>
</comments>
</file>

<file path=xl/sharedStrings.xml><?xml version="1.0" encoding="utf-8"?>
<sst xmlns="http://schemas.openxmlformats.org/spreadsheetml/2006/main" count="1354" uniqueCount="410">
  <si>
    <t>Danışman</t>
  </si>
  <si>
    <t>Danışman Tipi</t>
  </si>
  <si>
    <t>Görev</t>
  </si>
  <si>
    <t>Danışmanlık
 Tarihi</t>
  </si>
  <si>
    <t>Yıl</t>
  </si>
  <si>
    <t>Çeyrek</t>
  </si>
  <si>
    <t>Danışmanlık Grubu</t>
  </si>
  <si>
    <t>Danışmanlık Adı</t>
  </si>
  <si>
    <t xml:space="preserve">Danışmanlık 
Alan Kurum </t>
  </si>
  <si>
    <t>Proje No</t>
  </si>
  <si>
    <t>Danışmanlık 
Yeri</t>
  </si>
  <si>
    <t>Danışmanlık Saati</t>
  </si>
  <si>
    <t>Katılımcı 
Sayısı</t>
  </si>
  <si>
    <t>Danışmanlık Günü</t>
  </si>
  <si>
    <t>İnsanxSaat</t>
  </si>
  <si>
    <t>İnsanxGün</t>
  </si>
  <si>
    <t>Ebru Takcı</t>
  </si>
  <si>
    <t>Tam Zamanlı</t>
  </si>
  <si>
    <t>Uzman</t>
  </si>
  <si>
    <t>Comfytex</t>
  </si>
  <si>
    <t>KMF-2021-ÖDP-01-001</t>
  </si>
  <si>
    <t>Kayseri</t>
  </si>
  <si>
    <t>Emre Koşar</t>
  </si>
  <si>
    <t>Efor Çelik Kapı</t>
  </si>
  <si>
    <t>KMF-2021-ÖDP-03-003</t>
  </si>
  <si>
    <t>Milenyum Metal</t>
  </si>
  <si>
    <t>KMF-2021-ÖDP-04-004</t>
  </si>
  <si>
    <t>Furkan Yiğit</t>
  </si>
  <si>
    <t>Ödül Madeni Eşya</t>
  </si>
  <si>
    <t>KMF-2021-ÖDP-06-006</t>
  </si>
  <si>
    <t>Decoyat</t>
  </si>
  <si>
    <t>KMF-2021-ÖDP-02-002</t>
  </si>
  <si>
    <t>Mywin</t>
  </si>
  <si>
    <t>KMF-2021-ÖDP-05-005</t>
  </si>
  <si>
    <t>GMM</t>
  </si>
  <si>
    <t>KMF-2021-BUP-02-049</t>
  </si>
  <si>
    <t>Engin Eroğlu</t>
  </si>
  <si>
    <t>Yarı Zamanlı</t>
  </si>
  <si>
    <t>Mondi</t>
  </si>
  <si>
    <t>KMF-2021-VKO-03-009</t>
  </si>
  <si>
    <t>Viva</t>
  </si>
  <si>
    <t>KMF-2021-VKO-06-012</t>
  </si>
  <si>
    <t>Beyza Kaçar</t>
  </si>
  <si>
    <t>Mundo</t>
  </si>
  <si>
    <t>KMF-2021-VKO-04-010</t>
  </si>
  <si>
    <t>Adem Göleç</t>
  </si>
  <si>
    <t>Almila Mobilya</t>
  </si>
  <si>
    <t>KMF-2021-VKO-01-007</t>
  </si>
  <si>
    <t>Sar Profil</t>
  </si>
  <si>
    <t>KMF-2021-VKO-02-008</t>
  </si>
  <si>
    <t>İbrahim Akgün - İsmet Söylemez</t>
  </si>
  <si>
    <t>Serhat</t>
  </si>
  <si>
    <t>KMF-2021-VKO-05-011</t>
  </si>
  <si>
    <t>Yataş</t>
  </si>
  <si>
    <t>KMF-2021-VKO-07-013</t>
  </si>
  <si>
    <t>Armor</t>
  </si>
  <si>
    <t>KMF-2021-ÖDP-07-014</t>
  </si>
  <si>
    <t>Çorum</t>
  </si>
  <si>
    <t>Buğra Doymaz</t>
  </si>
  <si>
    <t>Teknisyen</t>
  </si>
  <si>
    <t>Formal Alüminyum</t>
  </si>
  <si>
    <t>KMF-2021-ÖDP-10-017</t>
  </si>
  <si>
    <t>Somçelik</t>
  </si>
  <si>
    <t>KMF-2021-VKO-10-022</t>
  </si>
  <si>
    <t>Hedef Kablo</t>
  </si>
  <si>
    <t>KMF-2021-VKO-09-021</t>
  </si>
  <si>
    <t>İsmet Söylemez</t>
  </si>
  <si>
    <t>KMF-2021-VKO-08-020</t>
  </si>
  <si>
    <t>KMF-2021-ÖDP-11-018</t>
  </si>
  <si>
    <t>KMF-2021-ÖDP-12-019</t>
  </si>
  <si>
    <t>Ergül</t>
  </si>
  <si>
    <t>KMF-2021-VKO-15-030</t>
  </si>
  <si>
    <t>Çelebi Kardeşler</t>
  </si>
  <si>
    <t>KMF-2021-ÖDP-09-016</t>
  </si>
  <si>
    <t>Aksaray</t>
  </si>
  <si>
    <t>Ladin</t>
  </si>
  <si>
    <t>KMF-2021-VKO-16-031</t>
  </si>
  <si>
    <t>Lükssan</t>
  </si>
  <si>
    <t>KMF-2021-VKO-17-032</t>
  </si>
  <si>
    <t>Badem Pınarı</t>
  </si>
  <si>
    <t>KMF-2021-ÖDP-08-015</t>
  </si>
  <si>
    <t>Kırşehir</t>
  </si>
  <si>
    <t>Batuhan Kızılışık</t>
  </si>
  <si>
    <t>Zeytin</t>
  </si>
  <si>
    <t>KMF-2021-VKO-19-034</t>
  </si>
  <si>
    <t>Erdal Yaylacı</t>
  </si>
  <si>
    <t>Büşra Kaçan (Paşa)</t>
  </si>
  <si>
    <t>KMF-2021-VKO-12-027</t>
  </si>
  <si>
    <t>Meissa</t>
  </si>
  <si>
    <t>KMF-2022-ÖDP-24-050</t>
  </si>
  <si>
    <t>Mitsan</t>
  </si>
  <si>
    <t>KMF-2021-VKO-18-033</t>
  </si>
  <si>
    <t>Arkopa</t>
  </si>
  <si>
    <t>KMF-2021-VKO-11-026</t>
  </si>
  <si>
    <t>Elizan</t>
  </si>
  <si>
    <t>KMF-2021-VKO-14-029</t>
  </si>
  <si>
    <t>Doqu</t>
  </si>
  <si>
    <t>KMF-2021-VKO-13-028</t>
  </si>
  <si>
    <t>Kaymet</t>
  </si>
  <si>
    <t>KMF-2022-VKO-22-040</t>
  </si>
  <si>
    <t>Everest</t>
  </si>
  <si>
    <t>KMF-2022-VKO-21-039</t>
  </si>
  <si>
    <t>Aydın Madeni (Şamdan)</t>
  </si>
  <si>
    <t>KMF-2022-VKO-20-038</t>
  </si>
  <si>
    <t>KMF-2022-VKO-23-041</t>
  </si>
  <si>
    <t>Ersoy Türel</t>
  </si>
  <si>
    <t>Sarıgözoğlu</t>
  </si>
  <si>
    <t>KMF-2021-ÖDP-15-025</t>
  </si>
  <si>
    <t>Evger</t>
  </si>
  <si>
    <t>KMF-2022-VKO-25-043</t>
  </si>
  <si>
    <t>Çemens</t>
  </si>
  <si>
    <t>KMF-2022-ÖDP-16-035</t>
  </si>
  <si>
    <t>Simfer</t>
  </si>
  <si>
    <t>KMF-2022-VKO-29-047</t>
  </si>
  <si>
    <t>Boyçelik</t>
  </si>
  <si>
    <t>KMF-2022-VKO-24-042</t>
  </si>
  <si>
    <t>KMF-2021-ÖDP-13-023</t>
  </si>
  <si>
    <t>Lacivert</t>
  </si>
  <si>
    <t>KMF-2022-VKO-27-045</t>
  </si>
  <si>
    <t>Kayplas</t>
  </si>
  <si>
    <t>KMF-2022-VKO-26-044</t>
  </si>
  <si>
    <t>Nuh Yaşar</t>
  </si>
  <si>
    <t>KMF-2022-VKO-28-046</t>
  </si>
  <si>
    <t>Butik Proje</t>
  </si>
  <si>
    <t>KMF-2022-BUP-01-048</t>
  </si>
  <si>
    <t>KMF-2022-ÖDP-18-037</t>
  </si>
  <si>
    <t>KMF-2021-ÖDP-14-024</t>
  </si>
  <si>
    <t>Kayseri Yem</t>
  </si>
  <si>
    <t>KMF-2022-ÖDP-17-036</t>
  </si>
  <si>
    <t>M.Arif Kapusuzoğlu</t>
  </si>
  <si>
    <t>KMF-2022-ÖDP-19-051</t>
  </si>
  <si>
    <t xml:space="preserve">Yataş </t>
  </si>
  <si>
    <t>Kilim</t>
  </si>
  <si>
    <t>KMF-2022-VKO-33-059</t>
  </si>
  <si>
    <t>Safir Kapı</t>
  </si>
  <si>
    <t>KMF-2022-VKO-34-060</t>
  </si>
  <si>
    <t>KMF-2022-VKO-30-056</t>
  </si>
  <si>
    <t>Doğan Mobilya(Maximo)</t>
  </si>
  <si>
    <t>KMF-2022-VKO-31-057</t>
  </si>
  <si>
    <t>KMF-2022-VKO-32-058</t>
  </si>
  <si>
    <t>Emniyet Sanayi</t>
  </si>
  <si>
    <t>KMF-2022-ÖDP-21-053</t>
  </si>
  <si>
    <t>Kırıkkale</t>
  </si>
  <si>
    <t>Sinerji</t>
  </si>
  <si>
    <t>KMF-2022-ÖDP-22-054</t>
  </si>
  <si>
    <t>KMF-2022-ÖDP-20-052</t>
  </si>
  <si>
    <t>KMF-2022-BUP-03-061</t>
  </si>
  <si>
    <t>KMF-2022-ÖDP-23-055</t>
  </si>
  <si>
    <t>KMF-2022-BUP-04-062</t>
  </si>
  <si>
    <t>Seferoğlu</t>
  </si>
  <si>
    <t>KMF-2022-ÖDP-24-064</t>
  </si>
  <si>
    <t>KMF-2022-ÖDP-28-068</t>
  </si>
  <si>
    <t>Makro</t>
  </si>
  <si>
    <t>KMF-2022-ÖDP-26-066</t>
  </si>
  <si>
    <t>Tuğra</t>
  </si>
  <si>
    <t>KMF-2022-ÖDP-25-065</t>
  </si>
  <si>
    <t>KMF-2022-ÖDP-27-067</t>
  </si>
  <si>
    <t>Şahbaz</t>
  </si>
  <si>
    <t>KMF-2023-ÖDP-30-070</t>
  </si>
  <si>
    <t>Bildi Metal</t>
  </si>
  <si>
    <t>KMF-2023-ÖDP-31-071</t>
  </si>
  <si>
    <t>DNZ Mobilya</t>
  </si>
  <si>
    <t>KMF-2023-ÖDP-32-072</t>
  </si>
  <si>
    <t>Samsun</t>
  </si>
  <si>
    <t>Comfytex(depo)</t>
  </si>
  <si>
    <t>KMF-2022-BUP-05-063</t>
  </si>
  <si>
    <t>Parteks</t>
  </si>
  <si>
    <t>KMF-2023-ÖDP-33-073</t>
  </si>
  <si>
    <t>Turkuaz</t>
  </si>
  <si>
    <t>KMF-2023-ÖDP-34-074</t>
  </si>
  <si>
    <t>Ferro Bosco</t>
  </si>
  <si>
    <t>KMF-2023-ÖDP-35-075</t>
  </si>
  <si>
    <t>Oylum</t>
  </si>
  <si>
    <t>KMF-2023-ÖDP-37-077</t>
  </si>
  <si>
    <t>Pınar Balcı</t>
  </si>
  <si>
    <t>Palmera</t>
  </si>
  <si>
    <t>KMF-2023-ÖDP-39-079</t>
  </si>
  <si>
    <t>Kemerli</t>
  </si>
  <si>
    <t>KMF-2023-ÖDP-40-080</t>
  </si>
  <si>
    <t>Gülşah Aynekin</t>
  </si>
  <si>
    <t>KMF-2023-ÖDP-42-082</t>
  </si>
  <si>
    <t>Sivas</t>
  </si>
  <si>
    <t>KMF-2023-ÖDP-41-081</t>
  </si>
  <si>
    <t>KMF-2023-ÖDP-38-078</t>
  </si>
  <si>
    <t>KMF-2023-ÖDP-45-085</t>
  </si>
  <si>
    <t>Emre Çelik</t>
  </si>
  <si>
    <t>KMF-2023-ÖDP-44-084</t>
  </si>
  <si>
    <t>Motolux</t>
  </si>
  <si>
    <t>KMF-2023-ÖDP-43-083</t>
  </si>
  <si>
    <t>Saha Çalışması</t>
  </si>
  <si>
    <t>Atlas Sayaç</t>
  </si>
  <si>
    <t>KMF-2023-ÖDP-36-076</t>
  </si>
  <si>
    <t>Minisan</t>
  </si>
  <si>
    <t>KMF-2023-ÖDP-46-086</t>
  </si>
  <si>
    <t>KMF-2023-BUP-06-087</t>
  </si>
  <si>
    <t>Tuğba Koşar</t>
  </si>
  <si>
    <t>M Grup</t>
  </si>
  <si>
    <t>KMF-2023-ÖDP-47-088</t>
  </si>
  <si>
    <t>KMF-2023-ÖDP-48-089</t>
  </si>
  <si>
    <t>KMF-2023-BUP-07-090</t>
  </si>
  <si>
    <t>Fentes</t>
  </si>
  <si>
    <t>KMF-2023-ÖDP-49-091</t>
  </si>
  <si>
    <t>Eco Europe</t>
  </si>
  <si>
    <t>KMF-2023-ÖDP-52-094</t>
  </si>
  <si>
    <t>Selen Madenoğlu</t>
  </si>
  <si>
    <t>Blok Bims</t>
  </si>
  <si>
    <t>KMF-2023-ÖDP-51-093</t>
  </si>
  <si>
    <t>Nevşehir</t>
  </si>
  <si>
    <t>Niğcam</t>
  </si>
  <si>
    <t>KMF-2023-ÖDP-57-100</t>
  </si>
  <si>
    <t>Niğde</t>
  </si>
  <si>
    <t>İnci Gıda</t>
  </si>
  <si>
    <t>KMF-2023-ÖDP-56-099</t>
  </si>
  <si>
    <t>KMF-2023-BUP-08-095</t>
  </si>
  <si>
    <t>KMF-2023-ÖDP-55-098</t>
  </si>
  <si>
    <t>Baki Tokgöz</t>
  </si>
  <si>
    <t>OMS Metal</t>
  </si>
  <si>
    <t>KMF-2023-ÖDP-53-096</t>
  </si>
  <si>
    <t>Yurttaşlar Un</t>
  </si>
  <si>
    <t>KMF-2023-ÖDP-50-092</t>
  </si>
  <si>
    <t>Kaydöksan</t>
  </si>
  <si>
    <t>KMF-2023-ÖDP-58-101</t>
  </si>
  <si>
    <t>KMF-2024-BUP-08-091</t>
  </si>
  <si>
    <t>Mehmet Sürücü</t>
  </si>
  <si>
    <t>KMF-2023-ÖDP-59-102</t>
  </si>
  <si>
    <t>Geyik İnşaat</t>
  </si>
  <si>
    <t>KMF-2024-ÖDP-63-106</t>
  </si>
  <si>
    <t>Çağ Un</t>
  </si>
  <si>
    <t>KMF-2024-ÖDP-65-108</t>
  </si>
  <si>
    <t>Turcar Metal</t>
  </si>
  <si>
    <t>KMF-2024-ÖDP-61-104</t>
  </si>
  <si>
    <t>Karmetal</t>
  </si>
  <si>
    <t>KMF-2024-ÖDP-62-105</t>
  </si>
  <si>
    <t>Niğdelioğulları</t>
  </si>
  <si>
    <t>KMF-2023-ÖDP-54-097</t>
  </si>
  <si>
    <t>Motaysan</t>
  </si>
  <si>
    <t>KMF-2024-ÖDP-60-103</t>
  </si>
  <si>
    <t>Yıldırım Mühendislik</t>
  </si>
  <si>
    <t>KMF-2024-ÖDP-64-107</t>
  </si>
  <si>
    <t>KMF-2024-BUP-09-109</t>
  </si>
  <si>
    <t>KMF-2024-BUP-10-110</t>
  </si>
  <si>
    <t>MF Endüstri</t>
  </si>
  <si>
    <t>KMF-2024-ÖDP-66-111</t>
  </si>
  <si>
    <t>Öğren-Dönüş</t>
  </si>
  <si>
    <t>Akın Pompa</t>
  </si>
  <si>
    <t>KMF-2024-ÖDP-67-112</t>
  </si>
  <si>
    <t>ADF Ankastre</t>
  </si>
  <si>
    <t>KMF-2024-ÖDP-68-113</t>
  </si>
  <si>
    <t>Dovi Mobilya</t>
  </si>
  <si>
    <t>KMF-2024-ÖDP-69-114</t>
  </si>
  <si>
    <t>İnnova</t>
  </si>
  <si>
    <t>KMF-2024-ÖDP-70-115</t>
  </si>
  <si>
    <t>Canlıoğlu Tekstil</t>
  </si>
  <si>
    <t>KMF-2024-ÖDP-71-116</t>
  </si>
  <si>
    <t>İstanbul</t>
  </si>
  <si>
    <t>İdeakim</t>
  </si>
  <si>
    <t>KMF-2024-BUP-11-117</t>
  </si>
  <si>
    <t>Gülsen Tekstil</t>
  </si>
  <si>
    <t>KMF-2024-ÖDP-73-119</t>
  </si>
  <si>
    <t>Alapros</t>
  </si>
  <si>
    <t>KMF-2024-ÖDP-72-118</t>
  </si>
  <si>
    <t>Bamen</t>
  </si>
  <si>
    <t>KMF-2024-ÖDP-75-121</t>
  </si>
  <si>
    <t>Stajyer</t>
  </si>
  <si>
    <t>KMF-2024-BUP-12-122</t>
  </si>
  <si>
    <t>Mazaka</t>
  </si>
  <si>
    <t>KMF-2024-ÖDP-77-124</t>
  </si>
  <si>
    <t>Anıl Giyim</t>
  </si>
  <si>
    <t>KMF-2024-ÖDP-74-120</t>
  </si>
  <si>
    <t>Mehmet Fatih Atillabey</t>
  </si>
  <si>
    <t>Futuregen</t>
  </si>
  <si>
    <t>KMF-2024-ÖDP-79-126</t>
  </si>
  <si>
    <t>Kartallar Damper</t>
  </si>
  <si>
    <t>KMF-2024-ÖDP-76-123</t>
  </si>
  <si>
    <t>Meysu</t>
  </si>
  <si>
    <t>KMF-2024-ÖDP-78-125</t>
  </si>
  <si>
    <t>Erbosan</t>
  </si>
  <si>
    <t>KMF-2024-ÖDP-80-127</t>
  </si>
  <si>
    <t>Kaytelsan</t>
  </si>
  <si>
    <t>Nitrocare</t>
  </si>
  <si>
    <t>Tigin Mobilya</t>
  </si>
  <si>
    <t>KMF-2025-ÖDP-81-128</t>
  </si>
  <si>
    <t>KMF-2025-BUP-13-130</t>
  </si>
  <si>
    <t>KMF-2025-ÖDP-82-129</t>
  </si>
  <si>
    <t>KMF-2025-ÖDP-84-132</t>
  </si>
  <si>
    <t>KMF-2025-ÖDP-83-131</t>
  </si>
  <si>
    <t>Best Çelik Kapı</t>
  </si>
  <si>
    <t>KMF-2025-ÖDP-85-133</t>
  </si>
  <si>
    <t>Külça Çelik Kapı</t>
  </si>
  <si>
    <t>KMF-2025-ÖDP-86-134</t>
  </si>
  <si>
    <t>Akyapı Lojistik</t>
  </si>
  <si>
    <t>KMF-2025-ÖDP-87-135</t>
  </si>
  <si>
    <t>Burak Ciğer</t>
  </si>
  <si>
    <t>Onur Şahin</t>
  </si>
  <si>
    <t>Onur Kemaneci</t>
  </si>
  <si>
    <t>Başlangıç Tarihi</t>
  </si>
  <si>
    <t>No</t>
  </si>
  <si>
    <t>Danışmanlık Alan Firma</t>
  </si>
  <si>
    <t>Firmanın İli</t>
  </si>
  <si>
    <t>Faaliyet Alanı</t>
  </si>
  <si>
    <t>Danışman Türü</t>
  </si>
  <si>
    <t>Klasör Yeri</t>
  </si>
  <si>
    <t>Danışmanlık 
Türü</t>
  </si>
  <si>
    <t>Danışmanlık Durumu</t>
  </si>
  <si>
    <t>Başlangıç Yıl</t>
  </si>
  <si>
    <t>Planlanan Bitiş Tarihi</t>
  </si>
  <si>
    <t>Gerçekleşen Bitiş Tarihi</t>
  </si>
  <si>
    <t>Projenin Tamamlanacağı Gün Sayısı</t>
  </si>
  <si>
    <t>Projenin Gerçekleşen Gün Sayısı</t>
  </si>
  <si>
    <t>Bitiş Yılı</t>
  </si>
  <si>
    <t>Plana Uyum
Oranı</t>
  </si>
  <si>
    <t>Plan. İş Günü</t>
  </si>
  <si>
    <t>Ger. İş Günü</t>
  </si>
  <si>
    <t>Kalan İş Günü</t>
  </si>
  <si>
    <t>Durum</t>
  </si>
  <si>
    <t>Proje Yıllık Getirisi</t>
  </si>
  <si>
    <t>ANKET ZAMANI</t>
  </si>
  <si>
    <t>Memnuniyet Oranı</t>
  </si>
  <si>
    <t>Tekstil</t>
  </si>
  <si>
    <t>ÖD-1</t>
  </si>
  <si>
    <t>Öğren Dönüş</t>
  </si>
  <si>
    <t>Mobilya</t>
  </si>
  <si>
    <t>Metal</t>
  </si>
  <si>
    <t>PVC</t>
  </si>
  <si>
    <t>Beyaz Eşya</t>
  </si>
  <si>
    <t>ÖD-2</t>
  </si>
  <si>
    <t>VKO</t>
  </si>
  <si>
    <t>ÖD-3</t>
  </si>
  <si>
    <t>Otomotiv Yan Sanayi</t>
  </si>
  <si>
    <t>ÖD-4</t>
  </si>
  <si>
    <t>Gıda</t>
  </si>
  <si>
    <t>ÖD-8</t>
  </si>
  <si>
    <t>ÖD-5</t>
  </si>
  <si>
    <t>ÖD-9</t>
  </si>
  <si>
    <t>5.ÖD</t>
  </si>
  <si>
    <t>ÖD-7</t>
  </si>
  <si>
    <t>ÖD-6</t>
  </si>
  <si>
    <t>ÖD-10</t>
  </si>
  <si>
    <t>Hayvansal Gıda</t>
  </si>
  <si>
    <t>ÖD-11</t>
  </si>
  <si>
    <t>ÖD-12</t>
  </si>
  <si>
    <t>Makine</t>
  </si>
  <si>
    <t>Medikal</t>
  </si>
  <si>
    <t>Medikal Sektörü(ÖD)</t>
  </si>
  <si>
    <t>ÖD-14</t>
  </si>
  <si>
    <t>Savunma Sanayi</t>
  </si>
  <si>
    <t>ÖD-13</t>
  </si>
  <si>
    <t>Betaş</t>
  </si>
  <si>
    <t>İnşaat</t>
  </si>
  <si>
    <t>Elektrik</t>
  </si>
  <si>
    <t>ÖD-15</t>
  </si>
  <si>
    <t>ÖD-16</t>
  </si>
  <si>
    <t>Ambalaj</t>
  </si>
  <si>
    <t>ÖD-17</t>
  </si>
  <si>
    <t>Seramik</t>
  </si>
  <si>
    <t>ÖD-18</t>
  </si>
  <si>
    <t>@Home</t>
  </si>
  <si>
    <t>Pınar Balcı-M.Arif Kapusuzoğlu</t>
  </si>
  <si>
    <t>Ezel Kozmettik</t>
  </si>
  <si>
    <t>Kozmetik</t>
  </si>
  <si>
    <t>ÖD-19</t>
  </si>
  <si>
    <t>Mikro Mekanik</t>
  </si>
  <si>
    <t>Talaşlı İmalat</t>
  </si>
  <si>
    <t>Otomotiv</t>
  </si>
  <si>
    <t>ÖD-20</t>
  </si>
  <si>
    <t>Doruk</t>
  </si>
  <si>
    <t>Alfa Tim</t>
  </si>
  <si>
    <t>ÖD-21</t>
  </si>
  <si>
    <t>Çöl Büro</t>
  </si>
  <si>
    <t>ÖD-22</t>
  </si>
  <si>
    <t>Geri Dönüşüm</t>
  </si>
  <si>
    <t>ÖD-23</t>
  </si>
  <si>
    <t>Şimşek Tarım Aletleri</t>
  </si>
  <si>
    <t>Cam</t>
  </si>
  <si>
    <t>Döküm</t>
  </si>
  <si>
    <t>ÖD-24</t>
  </si>
  <si>
    <t>ÖD-25</t>
  </si>
  <si>
    <t>Tesisat</t>
  </si>
  <si>
    <t>ÖD-27</t>
  </si>
  <si>
    <t>SAMSUN MF</t>
  </si>
  <si>
    <t>Merzifon</t>
  </si>
  <si>
    <t>İHKİB DDM</t>
  </si>
  <si>
    <t xml:space="preserve">₺-   </t>
  </si>
  <si>
    <t>Kimya</t>
  </si>
  <si>
    <t>Ebru Takcı-Pınar Balcı</t>
  </si>
  <si>
    <t>ÖD-28</t>
  </si>
  <si>
    <t>Mehmet Sürücü-Mehmet Fatih Atillabey</t>
  </si>
  <si>
    <t>ÖD-29</t>
  </si>
  <si>
    <t>ÖD-30</t>
  </si>
  <si>
    <t>ÖD-31</t>
  </si>
  <si>
    <t>Devam Ediyor</t>
  </si>
  <si>
    <t>Mehmet Sürücü-Pınar Balcı</t>
  </si>
  <si>
    <t>ÖD-32</t>
  </si>
  <si>
    <t>ÖD-33</t>
  </si>
  <si>
    <t>Lojistik</t>
  </si>
  <si>
    <t>ÖD-34</t>
  </si>
  <si>
    <t>KMF-2025-ÖDP-88-136</t>
  </si>
  <si>
    <t xml:space="preserve">Ukba Metal </t>
  </si>
  <si>
    <t>ÖD-35</t>
  </si>
  <si>
    <t>KMF-2025-ÖDP-89-137</t>
  </si>
  <si>
    <t>Enart Emaye</t>
  </si>
  <si>
    <t>Emaye</t>
  </si>
  <si>
    <t>KMF-2025-ÖDP-90-138</t>
  </si>
  <si>
    <t>Armor Isı</t>
  </si>
  <si>
    <t>Isı</t>
  </si>
  <si>
    <t>KMF-2025-BUP-13-140</t>
  </si>
  <si>
    <t>Kilim Mobilya</t>
  </si>
  <si>
    <t>Ezgi Bayburtgil</t>
  </si>
  <si>
    <t>Zehra Mumcu</t>
  </si>
  <si>
    <t>KMF-2025-ÖDP-89-135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</si>
</sst>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-* #,##0_-;\-* #,##0_-;_-* &quot;-&quot;_-;_-@_-"/>
    <numFmt numFmtId="44" formatCode="_-&quot;₺&quot;* #,##0.00_-;\-&quot;₺&quot;* #,##0.00_-;_-&quot;₺&quot;* &quot;-&quot;??_-;_-@_-"/>
    <numFmt numFmtId="43" formatCode="_-* #,##0.00_-;\-* #,##0.00_-;_-* &quot;-&quot;??_-;_-@_-"/>
    <numFmt numFmtId="165" formatCode="0.0"/>
    <numFmt numFmtId="166" formatCode="_-* #,##0\ &quot;₺&quot;_-;\-* #,##0\ &quot;₺&quot;_-;_-* &quot;-&quot;\ &quot;₺&quot;_-;_-@_-"/>
    <numFmt numFmtId="167" formatCode="_-* #,##0.00\ &quot;₺&quot;_-;\-* #,##0.00\ &quot;₺&quot;_-;_-* &quot;-&quot;??\ &quot;₺&quot;_-;_-@_-"/>
    <numFmt numFmtId="168" formatCode="dd"/>
    <numFmt numFmtId="169" formatCode="dddd"/>
    <numFmt numFmtId="170" formatCode="_-&quot;₺&quot;* #,##0_-;\-&quot;₺&quot;* #,##0_-;_-&quot;₺&quot;* &quot;-&quot;??_-;_-@_-"/>
  </numFmts>
  <fonts count="41" x14ac:knownFonts="1">
    <font>
      <sz val="11"/>
      <color theme="1"/>
      <name val="Arial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b/>
      <sz val="11"/>
      <color theme="1"/>
      <name val="Arial"/>
      <family val="2"/>
      <charset val="162"/>
    </font>
    <font>
      <sz val="11"/>
      <color rgb="FF000000"/>
      <name val="Arial"/>
      <family val="2"/>
      <charset val="162"/>
    </font>
    <font>
      <sz val="11"/>
      <color theme="1"/>
      <name val="Arial"/>
      <family val="2"/>
      <charset val="162"/>
    </font>
    <font>
      <sz val="11"/>
      <color theme="1"/>
      <name val="Arial"/>
      <family val="2"/>
      <charset val="162"/>
    </font>
    <font>
      <sz val="8"/>
      <name val="Arial"/>
      <family val="2"/>
      <charset val="162"/>
    </font>
    <font>
      <sz val="11"/>
      <color theme="1"/>
      <name val="Calibri"/>
      <family val="2"/>
      <scheme val="minor"/>
    </font>
    <font>
      <sz val="32"/>
      <color theme="3"/>
      <name val="Calibri"/>
      <family val="2"/>
      <scheme val="major"/>
    </font>
    <font>
      <sz val="9"/>
      <color theme="1"/>
      <name val="Calibri"/>
      <family val="2"/>
      <scheme val="minor"/>
    </font>
    <font>
      <sz val="32"/>
      <color theme="4" tint="-0.24994659260841701"/>
      <name val="Calibri"/>
      <family val="2"/>
      <scheme val="major"/>
    </font>
    <font>
      <sz val="11"/>
      <color theme="1" tint="0.34998626667073579"/>
      <name val="Calibri"/>
      <family val="2"/>
      <scheme val="minor"/>
    </font>
    <font>
      <sz val="11"/>
      <color theme="1"/>
      <name val="Calibri"/>
      <family val="2"/>
      <scheme val="major"/>
    </font>
    <font>
      <sz val="12"/>
      <color theme="1"/>
      <name val="Calibri"/>
      <family val="2"/>
      <scheme val="maj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charset val="162"/>
      <scheme val="major"/>
    </font>
    <font>
      <sz val="11"/>
      <color theme="1"/>
      <name val="Calibri"/>
      <family val="2"/>
      <charset val="162"/>
      <scheme val="major"/>
    </font>
    <font>
      <sz val="11"/>
      <color theme="1"/>
      <name val="Arial"/>
      <family val="2"/>
      <charset val="162"/>
    </font>
    <font>
      <b/>
      <sz val="12"/>
      <color theme="1"/>
      <name val="Calibri"/>
      <family val="2"/>
      <charset val="162"/>
      <scheme val="minor"/>
    </font>
    <font>
      <sz val="12"/>
      <color theme="1"/>
      <name val="Arial"/>
      <family val="2"/>
      <charset val="162"/>
    </font>
    <font>
      <sz val="8"/>
      <name val="Arial"/>
      <family val="2"/>
      <charset val="162"/>
    </font>
    <font>
      <sz val="9"/>
      <color indexed="81"/>
      <name val="Tahoma"/>
      <family val="2"/>
      <charset val="162"/>
    </font>
    <font>
      <b/>
      <sz val="9"/>
      <color indexed="81"/>
      <name val="Tahoma"/>
      <family val="2"/>
      <charset val="162"/>
    </font>
    <font>
      <b/>
      <sz val="11"/>
      <color theme="1"/>
      <name val="Calibri"/>
      <family val="2"/>
      <charset val="162"/>
      <scheme val="minor"/>
    </font>
    <font>
      <sz val="11"/>
      <color rgb="FF000000"/>
      <name val="Calibri"/>
      <family val="2"/>
      <charset val="162"/>
    </font>
    <font>
      <sz val="12"/>
      <color rgb="FF000000"/>
      <name val="Arial"/>
      <family val="2"/>
      <charset val="162"/>
    </font>
  </fonts>
  <fills count="4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/>
      <right/>
      <top/>
      <bottom style="medium">
        <color theme="1" tint="0.1499679555650502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63">
    <xf numFmtId="0" fontId="0" fillId="0" borderId="0"/>
    <xf numFmtId="9" fontId="9" fillId="0" borderId="0" applyFont="0" applyFill="0" applyBorder="0" applyAlignment="0" applyProtection="0"/>
    <xf numFmtId="0" fontId="5" fillId="0" borderId="0"/>
    <xf numFmtId="0" fontId="11" fillId="0" borderId="0"/>
    <xf numFmtId="0" fontId="4" fillId="0" borderId="0"/>
    <xf numFmtId="43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1" fillId="9" borderId="8" applyNumberFormat="0" applyFont="0" applyAlignment="0" applyProtection="0"/>
    <xf numFmtId="0" fontId="11" fillId="0" borderId="0" applyBorder="0">
      <alignment vertical="top"/>
    </xf>
    <xf numFmtId="0" fontId="15" fillId="0" borderId="0" applyNumberFormat="0" applyFill="0" applyBorder="0" applyProtection="0">
      <alignment vertical="top"/>
    </xf>
    <xf numFmtId="0" fontId="12" fillId="0" borderId="0" applyProtection="0">
      <alignment horizontal="left"/>
    </xf>
    <xf numFmtId="0" fontId="14" fillId="0" borderId="0" applyNumberFormat="0" applyProtection="0">
      <alignment horizontal="left"/>
    </xf>
    <xf numFmtId="0" fontId="16" fillId="0" borderId="0" applyNumberFormat="0" applyProtection="0">
      <alignment horizontal="right"/>
    </xf>
    <xf numFmtId="169" fontId="17" fillId="0" borderId="11" applyFill="0" applyProtection="0">
      <alignment horizontal="center" vertical="center"/>
    </xf>
    <xf numFmtId="168" fontId="16" fillId="0" borderId="12" applyFill="0" applyProtection="0">
      <alignment horizontal="right" vertical="center" indent="1"/>
    </xf>
    <xf numFmtId="0" fontId="13" fillId="0" borderId="10">
      <alignment vertical="top" wrapText="1"/>
    </xf>
    <xf numFmtId="0" fontId="15" fillId="0" borderId="0" applyFill="0" applyBorder="0" applyProtection="0">
      <alignment horizontal="right" vertical="top"/>
    </xf>
    <xf numFmtId="167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0" fontId="18" fillId="3" borderId="0" applyNumberFormat="0" applyBorder="0" applyAlignment="0" applyProtection="0"/>
    <xf numFmtId="0" fontId="19" fillId="4" borderId="0" applyNumberFormat="0" applyBorder="0" applyAlignment="0" applyProtection="0"/>
    <xf numFmtId="0" fontId="20" fillId="5" borderId="0" applyNumberFormat="0" applyBorder="0" applyAlignment="0" applyProtection="0"/>
    <xf numFmtId="0" fontId="21" fillId="6" borderId="4" applyNumberFormat="0" applyAlignment="0" applyProtection="0"/>
    <xf numFmtId="0" fontId="22" fillId="7" borderId="5" applyNumberFormat="0" applyAlignment="0" applyProtection="0"/>
    <xf numFmtId="0" fontId="23" fillId="7" borderId="4" applyNumberFormat="0" applyAlignment="0" applyProtection="0"/>
    <xf numFmtId="0" fontId="24" fillId="0" borderId="6" applyNumberFormat="0" applyFill="0" applyAlignment="0" applyProtection="0"/>
    <xf numFmtId="0" fontId="25" fillId="8" borderId="7" applyNumberFormat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9" applyNumberFormat="0" applyFill="0" applyAlignment="0" applyProtection="0"/>
    <xf numFmtId="0" fontId="29" fillId="10" borderId="0" applyNumberFormat="0" applyBorder="0" applyAlignment="0" applyProtection="0"/>
    <xf numFmtId="0" fontId="11" fillId="11" borderId="0" applyNumberFormat="0" applyBorder="0" applyAlignment="0" applyProtection="0"/>
    <xf numFmtId="0" fontId="11" fillId="12" borderId="0" applyNumberFormat="0" applyBorder="0" applyAlignment="0" applyProtection="0"/>
    <xf numFmtId="0" fontId="11" fillId="13" borderId="0" applyNumberFormat="0" applyBorder="0" applyAlignment="0" applyProtection="0"/>
    <xf numFmtId="0" fontId="29" fillId="14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17" borderId="0" applyNumberFormat="0" applyBorder="0" applyAlignment="0" applyProtection="0"/>
    <xf numFmtId="0" fontId="29" fillId="18" borderId="0" applyNumberFormat="0" applyBorder="0" applyAlignment="0" applyProtection="0"/>
    <xf numFmtId="0" fontId="11" fillId="19" borderId="0" applyNumberFormat="0" applyBorder="0" applyAlignment="0" applyProtection="0"/>
    <xf numFmtId="0" fontId="11" fillId="20" borderId="0" applyNumberFormat="0" applyBorder="0" applyAlignment="0" applyProtection="0"/>
    <xf numFmtId="0" fontId="11" fillId="21" borderId="0" applyNumberFormat="0" applyBorder="0" applyAlignment="0" applyProtection="0"/>
    <xf numFmtId="0" fontId="29" fillId="22" borderId="0" applyNumberFormat="0" applyBorder="0" applyAlignment="0" applyProtection="0"/>
    <xf numFmtId="0" fontId="11" fillId="23" borderId="0" applyNumberFormat="0" applyBorder="0" applyAlignment="0" applyProtection="0"/>
    <xf numFmtId="0" fontId="11" fillId="24" borderId="0" applyNumberFormat="0" applyBorder="0" applyAlignment="0" applyProtection="0"/>
    <xf numFmtId="0" fontId="11" fillId="25" borderId="0" applyNumberFormat="0" applyBorder="0" applyAlignment="0" applyProtection="0"/>
    <xf numFmtId="0" fontId="29" fillId="26" borderId="0" applyNumberFormat="0" applyBorder="0" applyAlignment="0" applyProtection="0"/>
    <xf numFmtId="0" fontId="11" fillId="27" borderId="0" applyNumberFormat="0" applyBorder="0" applyAlignment="0" applyProtection="0"/>
    <xf numFmtId="0" fontId="11" fillId="28" borderId="0" applyNumberFormat="0" applyBorder="0" applyAlignment="0" applyProtection="0"/>
    <xf numFmtId="0" fontId="11" fillId="29" borderId="0" applyNumberFormat="0" applyBorder="0" applyAlignment="0" applyProtection="0"/>
    <xf numFmtId="0" fontId="29" fillId="30" borderId="0" applyNumberFormat="0" applyBorder="0" applyAlignment="0" applyProtection="0"/>
    <xf numFmtId="0" fontId="11" fillId="31" borderId="0" applyNumberFormat="0" applyBorder="0" applyAlignment="0" applyProtection="0"/>
    <xf numFmtId="0" fontId="11" fillId="32" borderId="0" applyNumberFormat="0" applyBorder="0" applyAlignment="0" applyProtection="0"/>
    <xf numFmtId="0" fontId="11" fillId="33" borderId="0" applyNumberFormat="0" applyBorder="0" applyAlignment="0" applyProtection="0"/>
    <xf numFmtId="0" fontId="3" fillId="0" borderId="0"/>
    <xf numFmtId="44" fontId="32" fillId="0" borderId="0" applyFont="0" applyFill="0" applyBorder="0" applyAlignment="0" applyProtection="0"/>
    <xf numFmtId="0" fontId="2" fillId="0" borderId="0"/>
    <xf numFmtId="43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0" fontId="1" fillId="0" borderId="0"/>
    <xf numFmtId="43" fontId="11" fillId="0" borderId="0" applyFont="0" applyFill="0" applyBorder="0" applyAlignment="0" applyProtection="0"/>
    <xf numFmtId="41" fontId="11" fillId="0" borderId="0" applyFont="0" applyFill="0" applyBorder="0" applyAlignment="0" applyProtection="0"/>
  </cellStyleXfs>
  <cellXfs count="163">
    <xf numFmtId="0" fontId="0" fillId="0" borderId="0" xfId="0"/>
    <xf numFmtId="0" fontId="30" fillId="34" borderId="2" xfId="0" applyFont="1" applyFill="1" applyBorder="1" applyAlignment="1">
      <alignment vertical="center"/>
    </xf>
    <xf numFmtId="0" fontId="30" fillId="34" borderId="2" xfId="0" applyFont="1" applyFill="1" applyBorder="1" applyAlignment="1">
      <alignment horizontal="center" vertical="center" wrapText="1"/>
    </xf>
    <xf numFmtId="0" fontId="30" fillId="34" borderId="2" xfId="0" applyFont="1" applyFill="1" applyBorder="1" applyAlignment="1">
      <alignment horizontal="left" vertical="center" wrapText="1"/>
    </xf>
    <xf numFmtId="0" fontId="30" fillId="34" borderId="2" xfId="0" applyFont="1" applyFill="1" applyBorder="1" applyAlignment="1">
      <alignment horizontal="left" vertical="center"/>
    </xf>
    <xf numFmtId="0" fontId="31" fillId="0" borderId="2" xfId="0" applyFont="1" applyBorder="1" applyAlignment="1">
      <alignment vertical="center"/>
    </xf>
    <xf numFmtId="0" fontId="31" fillId="0" borderId="3" xfId="0" applyFont="1" applyBorder="1" applyAlignment="1">
      <alignment vertical="center"/>
    </xf>
    <xf numFmtId="14" fontId="31" fillId="0" borderId="3" xfId="0" applyNumberFormat="1" applyFont="1" applyBorder="1" applyAlignment="1">
      <alignment horizontal="center" vertical="center"/>
    </xf>
    <xf numFmtId="0" fontId="31" fillId="0" borderId="3" xfId="0" applyFont="1" applyBorder="1" applyAlignment="1">
      <alignment horizontal="center" vertical="center" wrapText="1"/>
    </xf>
    <xf numFmtId="165" fontId="31" fillId="0" borderId="3" xfId="0" applyNumberFormat="1" applyFont="1" applyBorder="1" applyAlignment="1">
      <alignment horizontal="center" vertical="center" wrapText="1"/>
    </xf>
    <xf numFmtId="1" fontId="31" fillId="0" borderId="3" xfId="0" applyNumberFormat="1" applyFont="1" applyBorder="1" applyAlignment="1">
      <alignment horizontal="center" vertical="center"/>
    </xf>
    <xf numFmtId="0" fontId="31" fillId="0" borderId="3" xfId="0" applyFont="1" applyBorder="1" applyAlignment="1">
      <alignment horizontal="center" vertical="center"/>
    </xf>
    <xf numFmtId="0" fontId="34" fillId="0" borderId="1" xfId="55" applyFont="1" applyBorder="1" applyAlignment="1">
      <alignment horizontal="left" vertical="center"/>
    </xf>
    <xf numFmtId="0" fontId="34" fillId="0" borderId="1" xfId="55" applyFont="1" applyBorder="1" applyAlignment="1">
      <alignment vertical="center"/>
    </xf>
    <xf numFmtId="170" fontId="34" fillId="0" borderId="1" xfId="56" applyNumberFormat="1" applyFont="1" applyBorder="1" applyAlignment="1">
      <alignment vertical="center"/>
    </xf>
    <xf numFmtId="0" fontId="34" fillId="0" borderId="1" xfId="55" applyFont="1" applyBorder="1" applyAlignment="1">
      <alignment horizontal="center" vertical="center"/>
    </xf>
    <xf numFmtId="165" fontId="34" fillId="0" borderId="1" xfId="55" applyNumberFormat="1" applyFont="1" applyBorder="1" applyAlignment="1">
      <alignment horizontal="center" vertical="center"/>
    </xf>
    <xf numFmtId="1" fontId="34" fillId="0" borderId="1" xfId="55" applyNumberFormat="1" applyFont="1" applyBorder="1" applyAlignment="1">
      <alignment horizontal="center" vertical="center"/>
    </xf>
    <xf numFmtId="0" fontId="34" fillId="0" borderId="1" xfId="55" applyFont="1" applyBorder="1"/>
    <xf numFmtId="14" fontId="34" fillId="0" borderId="1" xfId="55" applyNumberFormat="1" applyFont="1" applyBorder="1" applyAlignment="1">
      <alignment vertical="center"/>
    </xf>
    <xf numFmtId="9" fontId="34" fillId="0" borderId="13" xfId="7" applyFont="1" applyBorder="1" applyAlignment="1">
      <alignment horizontal="center" vertical="center"/>
    </xf>
    <xf numFmtId="0" fontId="31" fillId="0" borderId="2" xfId="0" applyFont="1" applyBorder="1" applyAlignment="1">
      <alignment horizontal="center" vertical="center"/>
    </xf>
    <xf numFmtId="170" fontId="34" fillId="0" borderId="14" xfId="56" applyNumberFormat="1" applyFont="1" applyBorder="1" applyAlignment="1">
      <alignment vertical="center"/>
    </xf>
    <xf numFmtId="0" fontId="34" fillId="0" borderId="14" xfId="55" applyFont="1" applyBorder="1" applyAlignment="1">
      <alignment horizontal="center" vertical="center"/>
    </xf>
    <xf numFmtId="1" fontId="34" fillId="0" borderId="1" xfId="55" applyNumberFormat="1" applyFont="1" applyBorder="1" applyAlignment="1">
      <alignment vertical="center"/>
    </xf>
    <xf numFmtId="0" fontId="34" fillId="0" borderId="14" xfId="55" applyFont="1" applyBorder="1" applyAlignment="1">
      <alignment vertical="center"/>
    </xf>
    <xf numFmtId="14" fontId="34" fillId="0" borderId="14" xfId="55" applyNumberFormat="1" applyFont="1" applyBorder="1" applyAlignment="1">
      <alignment vertical="center"/>
    </xf>
    <xf numFmtId="1" fontId="34" fillId="0" borderId="14" xfId="55" applyNumberFormat="1" applyFont="1" applyBorder="1" applyAlignment="1">
      <alignment vertical="center"/>
    </xf>
    <xf numFmtId="0" fontId="34" fillId="0" borderId="1" xfId="55" applyFont="1" applyBorder="1" applyAlignment="1">
      <alignment horizontal="center"/>
    </xf>
    <xf numFmtId="14" fontId="34" fillId="0" borderId="15" xfId="55" applyNumberFormat="1" applyFont="1" applyBorder="1" applyAlignment="1">
      <alignment vertical="center"/>
    </xf>
    <xf numFmtId="0" fontId="34" fillId="0" borderId="0" xfId="55" applyFont="1" applyAlignment="1">
      <alignment vertical="center"/>
    </xf>
    <xf numFmtId="0" fontId="34" fillId="0" borderId="0" xfId="55" applyFont="1"/>
    <xf numFmtId="14" fontId="34" fillId="0" borderId="0" xfId="55" applyNumberFormat="1" applyFont="1" applyAlignment="1">
      <alignment vertical="center"/>
    </xf>
    <xf numFmtId="14" fontId="34" fillId="0" borderId="16" xfId="55" applyNumberFormat="1" applyFont="1" applyBorder="1" applyAlignment="1">
      <alignment vertical="center"/>
    </xf>
    <xf numFmtId="9" fontId="34" fillId="0" borderId="17" xfId="7" applyFont="1" applyBorder="1" applyAlignment="1">
      <alignment horizontal="center" vertical="center"/>
    </xf>
    <xf numFmtId="9" fontId="34" fillId="0" borderId="1" xfId="7" applyFont="1" applyBorder="1" applyAlignment="1">
      <alignment horizontal="center" vertical="center"/>
    </xf>
    <xf numFmtId="9" fontId="34" fillId="0" borderId="1" xfId="55" applyNumberFormat="1" applyFont="1" applyBorder="1" applyAlignment="1">
      <alignment vertical="center"/>
    </xf>
    <xf numFmtId="9" fontId="34" fillId="0" borderId="14" xfId="55" applyNumberFormat="1" applyFont="1" applyBorder="1" applyAlignment="1">
      <alignment vertical="center"/>
    </xf>
    <xf numFmtId="0" fontId="30" fillId="34" borderId="2" xfId="0" applyFont="1" applyFill="1" applyBorder="1" applyAlignment="1">
      <alignment horizontal="center" vertical="center"/>
    </xf>
    <xf numFmtId="0" fontId="6" fillId="0" borderId="0" xfId="0" applyFont="1"/>
    <xf numFmtId="1" fontId="34" fillId="0" borderId="1" xfId="55" applyNumberFormat="1" applyFont="1" applyBorder="1"/>
    <xf numFmtId="0" fontId="34" fillId="0" borderId="0" xfId="55" applyFont="1" applyAlignment="1">
      <alignment horizontal="left" vertical="center" wrapText="1"/>
    </xf>
    <xf numFmtId="1" fontId="34" fillId="0" borderId="14" xfId="55" applyNumberFormat="1" applyFont="1" applyBorder="1" applyAlignment="1">
      <alignment horizontal="center" vertical="center"/>
    </xf>
    <xf numFmtId="0" fontId="38" fillId="35" borderId="1" xfId="55" applyFont="1" applyFill="1" applyBorder="1" applyAlignment="1">
      <alignment horizontal="center" vertical="center" wrapText="1"/>
    </xf>
    <xf numFmtId="0" fontId="38" fillId="35" borderId="1" xfId="55" applyFont="1" applyFill="1" applyBorder="1" applyAlignment="1">
      <alignment horizontal="left" vertical="center" wrapText="1"/>
    </xf>
    <xf numFmtId="0" fontId="38" fillId="37" borderId="1" xfId="55" applyFont="1" applyFill="1" applyBorder="1" applyAlignment="1">
      <alignment horizontal="left" vertical="center" wrapText="1"/>
    </xf>
    <xf numFmtId="14" fontId="38" fillId="37" borderId="1" xfId="55" applyNumberFormat="1" applyFont="1" applyFill="1" applyBorder="1" applyAlignment="1">
      <alignment horizontal="left" vertical="center" wrapText="1"/>
    </xf>
    <xf numFmtId="0" fontId="38" fillId="38" borderId="1" xfId="55" applyFont="1" applyFill="1" applyBorder="1" applyAlignment="1">
      <alignment horizontal="left" vertical="center" wrapText="1"/>
    </xf>
    <xf numFmtId="0" fontId="38" fillId="39" borderId="1" xfId="55" applyFont="1" applyFill="1" applyBorder="1" applyAlignment="1">
      <alignment horizontal="left" vertical="center" wrapText="1"/>
    </xf>
    <xf numFmtId="0" fontId="38" fillId="36" borderId="1" xfId="55" applyFont="1" applyFill="1" applyBorder="1" applyAlignment="1">
      <alignment horizontal="left" vertical="center" wrapText="1"/>
    </xf>
    <xf numFmtId="0" fontId="38" fillId="34" borderId="1" xfId="55" applyFont="1" applyFill="1" applyBorder="1" applyAlignment="1">
      <alignment horizontal="left" vertical="center" wrapText="1"/>
    </xf>
    <xf numFmtId="0" fontId="38" fillId="36" borderId="13" xfId="55" applyFont="1" applyFill="1" applyBorder="1" applyAlignment="1">
      <alignment horizontal="left" vertical="center" wrapText="1"/>
    </xf>
    <xf numFmtId="0" fontId="8" fillId="0" borderId="1" xfId="55" applyFont="1" applyBorder="1" applyAlignment="1">
      <alignment horizontal="center" vertical="center"/>
    </xf>
    <xf numFmtId="0" fontId="8" fillId="0" borderId="1" xfId="55" applyFont="1" applyBorder="1" applyAlignment="1">
      <alignment horizontal="left" vertical="center"/>
    </xf>
    <xf numFmtId="0" fontId="8" fillId="0" borderId="1" xfId="55" applyFont="1" applyBorder="1" applyAlignment="1">
      <alignment vertical="center"/>
    </xf>
    <xf numFmtId="14" fontId="8" fillId="0" borderId="1" xfId="55" applyNumberFormat="1" applyFont="1" applyBorder="1" applyAlignment="1">
      <alignment vertical="center"/>
    </xf>
    <xf numFmtId="1" fontId="8" fillId="0" borderId="1" xfId="55" applyNumberFormat="1" applyFont="1" applyBorder="1" applyAlignment="1">
      <alignment vertical="center"/>
    </xf>
    <xf numFmtId="9" fontId="8" fillId="0" borderId="1" xfId="55" applyNumberFormat="1" applyFont="1" applyBorder="1" applyAlignment="1">
      <alignment vertical="center"/>
    </xf>
    <xf numFmtId="9" fontId="8" fillId="0" borderId="13" xfId="7" applyFont="1" applyBorder="1" applyAlignment="1">
      <alignment horizontal="center" vertical="center"/>
    </xf>
    <xf numFmtId="170" fontId="8" fillId="0" borderId="1" xfId="56" applyNumberFormat="1" applyFont="1" applyBorder="1" applyAlignment="1">
      <alignment vertical="center"/>
    </xf>
    <xf numFmtId="14" fontId="8" fillId="0" borderId="15" xfId="55" applyNumberFormat="1" applyFont="1" applyBorder="1" applyAlignment="1">
      <alignment vertical="center"/>
    </xf>
    <xf numFmtId="0" fontId="8" fillId="0" borderId="14" xfId="55" applyFont="1" applyBorder="1" applyAlignment="1">
      <alignment horizontal="center" vertical="center"/>
    </xf>
    <xf numFmtId="0" fontId="8" fillId="0" borderId="14" xfId="55" applyFont="1" applyBorder="1" applyAlignment="1">
      <alignment horizontal="left" vertical="center"/>
    </xf>
    <xf numFmtId="0" fontId="8" fillId="0" borderId="14" xfId="55" applyFont="1" applyBorder="1" applyAlignment="1">
      <alignment vertical="center"/>
    </xf>
    <xf numFmtId="14" fontId="8" fillId="0" borderId="14" xfId="55" applyNumberFormat="1" applyFont="1" applyBorder="1" applyAlignment="1">
      <alignment vertical="center"/>
    </xf>
    <xf numFmtId="1" fontId="8" fillId="0" borderId="14" xfId="55" applyNumberFormat="1" applyFont="1" applyBorder="1" applyAlignment="1">
      <alignment vertical="center"/>
    </xf>
    <xf numFmtId="9" fontId="8" fillId="0" borderId="14" xfId="55" applyNumberFormat="1" applyFont="1" applyBorder="1" applyAlignment="1">
      <alignment vertical="center"/>
    </xf>
    <xf numFmtId="9" fontId="8" fillId="0" borderId="17" xfId="7" applyFont="1" applyBorder="1" applyAlignment="1">
      <alignment horizontal="center" vertical="center"/>
    </xf>
    <xf numFmtId="170" fontId="8" fillId="0" borderId="14" xfId="56" applyNumberFormat="1" applyFont="1" applyBorder="1" applyAlignment="1">
      <alignment vertical="center"/>
    </xf>
    <xf numFmtId="14" fontId="8" fillId="0" borderId="16" xfId="55" applyNumberFormat="1" applyFont="1" applyBorder="1" applyAlignment="1">
      <alignment vertical="center"/>
    </xf>
    <xf numFmtId="9" fontId="8" fillId="0" borderId="1" xfId="7" applyFont="1" applyBorder="1" applyAlignment="1">
      <alignment horizontal="center" vertical="center"/>
    </xf>
    <xf numFmtId="0" fontId="8" fillId="0" borderId="0" xfId="55" applyFont="1" applyAlignment="1">
      <alignment vertical="center"/>
    </xf>
    <xf numFmtId="14" fontId="8" fillId="0" borderId="0" xfId="55" applyNumberFormat="1" applyFont="1" applyAlignment="1">
      <alignment vertical="center"/>
    </xf>
    <xf numFmtId="0" fontId="8" fillId="0" borderId="0" xfId="55" applyFont="1" applyAlignment="1">
      <alignment horizontal="center" vertical="center"/>
    </xf>
    <xf numFmtId="0" fontId="31" fillId="0" borderId="0" xfId="0" applyFont="1" applyAlignment="1">
      <alignment vertical="center"/>
    </xf>
    <xf numFmtId="0" fontId="31" fillId="0" borderId="0" xfId="0" applyFont="1" applyAlignment="1">
      <alignment horizontal="center" vertical="center"/>
    </xf>
    <xf numFmtId="0" fontId="31" fillId="0" borderId="0" xfId="0" applyFont="1" applyAlignment="1">
      <alignment horizontal="center" vertical="center" wrapText="1"/>
    </xf>
    <xf numFmtId="0" fontId="8" fillId="0" borderId="18" xfId="55" applyFont="1" applyBorder="1" applyAlignment="1">
      <alignment vertical="center"/>
    </xf>
    <xf numFmtId="0" fontId="8" fillId="0" borderId="13" xfId="55" applyFont="1" applyBorder="1" applyAlignment="1">
      <alignment vertical="center"/>
    </xf>
    <xf numFmtId="0" fontId="8" fillId="0" borderId="19" xfId="55" applyFont="1" applyBorder="1" applyAlignment="1">
      <alignment vertical="center"/>
    </xf>
    <xf numFmtId="0" fontId="8" fillId="0" borderId="20" xfId="55" applyFont="1" applyBorder="1" applyAlignment="1">
      <alignment vertical="center"/>
    </xf>
    <xf numFmtId="0" fontId="8" fillId="0" borderId="21" xfId="55" applyFont="1" applyBorder="1" applyAlignment="1">
      <alignment vertical="center"/>
    </xf>
    <xf numFmtId="0" fontId="8" fillId="0" borderId="13" xfId="55" applyFont="1" applyBorder="1" applyAlignment="1">
      <alignment horizontal="left" vertical="center"/>
    </xf>
    <xf numFmtId="1" fontId="8" fillId="0" borderId="1" xfId="55" applyNumberFormat="1" applyFont="1" applyBorder="1" applyAlignment="1">
      <alignment horizontal="center" vertical="center"/>
    </xf>
    <xf numFmtId="1" fontId="8" fillId="0" borderId="14" xfId="55" applyNumberFormat="1" applyFont="1" applyBorder="1" applyAlignment="1">
      <alignment horizontal="center" vertical="center"/>
    </xf>
    <xf numFmtId="2" fontId="34" fillId="0" borderId="1" xfId="55" applyNumberFormat="1" applyFont="1" applyBorder="1" applyAlignment="1">
      <alignment horizontal="center" vertical="center"/>
    </xf>
    <xf numFmtId="0" fontId="8" fillId="0" borderId="22" xfId="55" applyFont="1" applyBorder="1" applyAlignment="1">
      <alignment horizontal="center" vertical="center"/>
    </xf>
    <xf numFmtId="0" fontId="8" fillId="0" borderId="22" xfId="55" applyFont="1" applyBorder="1" applyAlignment="1">
      <alignment vertical="center"/>
    </xf>
    <xf numFmtId="165" fontId="34" fillId="0" borderId="14" xfId="55" applyNumberFormat="1" applyFont="1" applyBorder="1" applyAlignment="1">
      <alignment horizontal="center" vertical="center"/>
    </xf>
    <xf numFmtId="9" fontId="8" fillId="0" borderId="14" xfId="7" applyFont="1" applyBorder="1" applyAlignment="1">
      <alignment horizontal="center" vertical="center"/>
    </xf>
    <xf numFmtId="0" fontId="8" fillId="0" borderId="22" xfId="55" applyFont="1" applyBorder="1" applyAlignment="1">
      <alignment horizontal="left" vertical="center"/>
    </xf>
    <xf numFmtId="0" fontId="34" fillId="0" borderId="22" xfId="55" applyFont="1" applyBorder="1" applyAlignment="1">
      <alignment vertical="center"/>
    </xf>
    <xf numFmtId="14" fontId="8" fillId="0" borderId="22" xfId="55" applyNumberFormat="1" applyFont="1" applyBorder="1" applyAlignment="1">
      <alignment vertical="center"/>
    </xf>
    <xf numFmtId="1" fontId="8" fillId="0" borderId="22" xfId="55" applyNumberFormat="1" applyFont="1" applyBorder="1" applyAlignment="1">
      <alignment vertical="center"/>
    </xf>
    <xf numFmtId="9" fontId="8" fillId="0" borderId="22" xfId="55" applyNumberFormat="1" applyFont="1" applyBorder="1" applyAlignment="1">
      <alignment vertical="center"/>
    </xf>
    <xf numFmtId="165" fontId="34" fillId="0" borderId="22" xfId="55" applyNumberFormat="1" applyFont="1" applyBorder="1" applyAlignment="1">
      <alignment horizontal="center" vertical="center"/>
    </xf>
    <xf numFmtId="1" fontId="8" fillId="0" borderId="22" xfId="55" applyNumberFormat="1" applyFont="1" applyBorder="1" applyAlignment="1">
      <alignment horizontal="center" vertical="center"/>
    </xf>
    <xf numFmtId="170" fontId="8" fillId="0" borderId="22" xfId="56" applyNumberFormat="1" applyFont="1" applyBorder="1" applyAlignment="1">
      <alignment vertical="center"/>
    </xf>
    <xf numFmtId="0" fontId="34" fillId="0" borderId="13" xfId="55" applyFont="1" applyBorder="1" applyAlignment="1">
      <alignment horizontal="center" vertical="center"/>
    </xf>
    <xf numFmtId="0" fontId="8" fillId="0" borderId="15" xfId="55" applyFont="1" applyBorder="1" applyAlignment="1">
      <alignment horizontal="center" vertical="center"/>
    </xf>
    <xf numFmtId="0" fontId="8" fillId="0" borderId="23" xfId="55" applyFont="1" applyBorder="1" applyAlignment="1">
      <alignment vertical="center"/>
    </xf>
    <xf numFmtId="0" fontId="8" fillId="2" borderId="22" xfId="55" applyFont="1" applyFill="1" applyBorder="1" applyAlignment="1">
      <alignment horizontal="center" vertical="center"/>
    </xf>
    <xf numFmtId="0" fontId="8" fillId="0" borderId="24" xfId="55" applyFont="1" applyBorder="1" applyAlignment="1">
      <alignment vertical="center"/>
    </xf>
    <xf numFmtId="0" fontId="8" fillId="0" borderId="25" xfId="55" applyFont="1" applyBorder="1" applyAlignment="1">
      <alignment vertical="center"/>
    </xf>
    <xf numFmtId="0" fontId="39" fillId="0" borderId="3" xfId="0" applyFont="1" applyBorder="1" applyAlignment="1">
      <alignment vertical="center"/>
    </xf>
    <xf numFmtId="0" fontId="7" fillId="0" borderId="22" xfId="0" applyFont="1" applyBorder="1" applyAlignment="1">
      <alignment vertical="center"/>
    </xf>
    <xf numFmtId="0" fontId="7" fillId="0" borderId="25" xfId="0" applyFont="1" applyBorder="1" applyAlignment="1">
      <alignment horizontal="left" vertical="center"/>
    </xf>
    <xf numFmtId="0" fontId="40" fillId="0" borderId="0" xfId="0" applyFont="1"/>
    <xf numFmtId="0" fontId="7" fillId="0" borderId="22" xfId="0" applyFont="1" applyBorder="1" applyAlignment="1">
      <alignment horizontal="left" vertical="center"/>
    </xf>
    <xf numFmtId="0" fontId="8" fillId="0" borderId="16" xfId="55" applyFont="1" applyBorder="1" applyAlignment="1">
      <alignment horizontal="center" vertical="center"/>
    </xf>
    <xf numFmtId="0" fontId="7" fillId="0" borderId="23" xfId="0" applyFont="1" applyBorder="1" applyAlignment="1">
      <alignment vertical="center"/>
    </xf>
    <xf numFmtId="0" fontId="7" fillId="0" borderId="23" xfId="0" applyFont="1" applyBorder="1" applyAlignment="1">
      <alignment horizontal="left" vertical="center"/>
    </xf>
    <xf numFmtId="14" fontId="8" fillId="0" borderId="23" xfId="55" applyNumberFormat="1" applyFont="1" applyBorder="1" applyAlignment="1">
      <alignment vertical="center"/>
    </xf>
    <xf numFmtId="1" fontId="8" fillId="0" borderId="23" xfId="55" applyNumberFormat="1" applyFont="1" applyBorder="1" applyAlignment="1">
      <alignment vertical="center"/>
    </xf>
    <xf numFmtId="9" fontId="8" fillId="0" borderId="23" xfId="55" applyNumberFormat="1" applyFont="1" applyBorder="1" applyAlignment="1">
      <alignment vertical="center"/>
    </xf>
    <xf numFmtId="0" fontId="8" fillId="2" borderId="23" xfId="55" applyFont="1" applyFill="1" applyBorder="1" applyAlignment="1">
      <alignment horizontal="center" vertical="center"/>
    </xf>
    <xf numFmtId="165" fontId="34" fillId="0" borderId="23" xfId="55" applyNumberFormat="1" applyFont="1" applyBorder="1" applyAlignment="1">
      <alignment horizontal="center" vertical="center"/>
    </xf>
    <xf numFmtId="1" fontId="8" fillId="0" borderId="23" xfId="55" applyNumberFormat="1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34" fillId="2" borderId="1" xfId="55" applyFont="1" applyFill="1" applyBorder="1" applyAlignment="1">
      <alignment vertical="center"/>
    </xf>
    <xf numFmtId="0" fontId="34" fillId="2" borderId="1" xfId="55" applyFont="1" applyFill="1" applyBorder="1" applyAlignment="1">
      <alignment horizontal="left" vertical="center"/>
    </xf>
    <xf numFmtId="0" fontId="34" fillId="2" borderId="14" xfId="55" applyFont="1" applyFill="1" applyBorder="1" applyAlignment="1">
      <alignment vertical="center"/>
    </xf>
    <xf numFmtId="0" fontId="8" fillId="2" borderId="1" xfId="55" applyFont="1" applyFill="1" applyBorder="1" applyAlignment="1">
      <alignment vertical="center"/>
    </xf>
    <xf numFmtId="0" fontId="34" fillId="2" borderId="1" xfId="55" applyFont="1" applyFill="1" applyBorder="1"/>
    <xf numFmtId="0" fontId="8" fillId="2" borderId="1" xfId="55" applyFont="1" applyFill="1" applyBorder="1" applyAlignment="1">
      <alignment horizontal="left" vertical="center"/>
    </xf>
    <xf numFmtId="0" fontId="8" fillId="2" borderId="14" xfId="55" applyFont="1" applyFill="1" applyBorder="1" applyAlignment="1">
      <alignment horizontal="left" vertical="center"/>
    </xf>
    <xf numFmtId="0" fontId="8" fillId="2" borderId="14" xfId="55" applyFont="1" applyFill="1" applyBorder="1" applyAlignment="1">
      <alignment vertical="center"/>
    </xf>
    <xf numFmtId="0" fontId="8" fillId="2" borderId="1" xfId="55" quotePrefix="1" applyFont="1" applyFill="1" applyBorder="1" applyAlignment="1">
      <alignment vertical="center"/>
    </xf>
    <xf numFmtId="0" fontId="8" fillId="2" borderId="23" xfId="55" applyFont="1" applyFill="1" applyBorder="1" applyAlignment="1">
      <alignment vertical="center"/>
    </xf>
    <xf numFmtId="0" fontId="8" fillId="2" borderId="22" xfId="55" applyFont="1" applyFill="1" applyBorder="1" applyAlignment="1">
      <alignment vertical="center"/>
    </xf>
    <xf numFmtId="0" fontId="8" fillId="2" borderId="22" xfId="55" quotePrefix="1" applyFont="1" applyFill="1" applyBorder="1" applyAlignment="1">
      <alignment vertical="center"/>
    </xf>
    <xf numFmtId="0" fontId="7" fillId="2" borderId="22" xfId="0" applyFont="1" applyFill="1" applyBorder="1" applyAlignment="1">
      <alignment vertical="center"/>
    </xf>
    <xf numFmtId="0" fontId="7" fillId="2" borderId="23" xfId="0" applyFont="1" applyFill="1" applyBorder="1" applyAlignment="1">
      <alignment vertical="center"/>
    </xf>
    <xf numFmtId="0" fontId="7" fillId="0" borderId="27" xfId="0" applyFont="1" applyBorder="1" applyAlignment="1">
      <alignment vertical="center"/>
    </xf>
    <xf numFmtId="165" fontId="30" fillId="34" borderId="2" xfId="0" applyNumberFormat="1" applyFont="1" applyFill="1" applyBorder="1" applyAlignment="1">
      <alignment horizontal="center" vertical="center" wrapText="1"/>
    </xf>
    <xf numFmtId="165" fontId="31" fillId="0" borderId="0" xfId="0" applyNumberFormat="1" applyFont="1" applyAlignment="1">
      <alignment horizontal="center" vertical="center" wrapText="1"/>
    </xf>
    <xf numFmtId="0" fontId="34" fillId="0" borderId="17" xfId="55" applyFont="1" applyBorder="1" applyAlignment="1">
      <alignment horizontal="center" vertical="center"/>
    </xf>
    <xf numFmtId="0" fontId="7" fillId="0" borderId="26" xfId="0" applyFont="1" applyBorder="1" applyAlignment="1">
      <alignment horizontal="left" vertical="center"/>
    </xf>
    <xf numFmtId="0" fontId="7" fillId="0" borderId="14" xfId="0" applyFont="1" applyBorder="1" applyAlignment="1">
      <alignment vertical="center"/>
    </xf>
    <xf numFmtId="0" fontId="7" fillId="0" borderId="1" xfId="0" applyFont="1" applyBorder="1" applyAlignment="1">
      <alignment horizontal="left" vertical="center"/>
    </xf>
    <xf numFmtId="0" fontId="34" fillId="40" borderId="1" xfId="55" applyFont="1" applyFill="1" applyBorder="1" applyAlignment="1">
      <alignment vertical="center"/>
    </xf>
    <xf numFmtId="0" fontId="34" fillId="2" borderId="1" xfId="55" applyFont="1" applyFill="1" applyBorder="1" applyAlignment="1">
      <alignment horizontal="center" vertical="center"/>
    </xf>
    <xf numFmtId="14" fontId="8" fillId="2" borderId="14" xfId="55" applyNumberFormat="1" applyFont="1" applyFill="1" applyBorder="1" applyAlignment="1">
      <alignment vertical="center"/>
    </xf>
    <xf numFmtId="1" fontId="8" fillId="2" borderId="14" xfId="55" applyNumberFormat="1" applyFont="1" applyFill="1" applyBorder="1" applyAlignment="1">
      <alignment vertical="center"/>
    </xf>
    <xf numFmtId="1" fontId="8" fillId="2" borderId="1" xfId="55" applyNumberFormat="1" applyFont="1" applyFill="1" applyBorder="1" applyAlignment="1">
      <alignment vertical="center"/>
    </xf>
    <xf numFmtId="9" fontId="8" fillId="2" borderId="14" xfId="55" applyNumberFormat="1" applyFont="1" applyFill="1" applyBorder="1" applyAlignment="1">
      <alignment vertical="center"/>
    </xf>
    <xf numFmtId="0" fontId="8" fillId="2" borderId="14" xfId="55" applyFont="1" applyFill="1" applyBorder="1" applyAlignment="1">
      <alignment horizontal="center" vertical="center"/>
    </xf>
    <xf numFmtId="165" fontId="34" fillId="2" borderId="1" xfId="55" applyNumberFormat="1" applyFont="1" applyFill="1" applyBorder="1" applyAlignment="1">
      <alignment horizontal="center" vertical="center"/>
    </xf>
    <xf numFmtId="1" fontId="8" fillId="2" borderId="14" xfId="55" applyNumberFormat="1" applyFont="1" applyFill="1" applyBorder="1" applyAlignment="1">
      <alignment horizontal="center" vertical="center"/>
    </xf>
    <xf numFmtId="9" fontId="8" fillId="2" borderId="1" xfId="7" applyFont="1" applyFill="1" applyBorder="1" applyAlignment="1">
      <alignment horizontal="center" vertical="center"/>
    </xf>
    <xf numFmtId="170" fontId="8" fillId="2" borderId="14" xfId="56" applyNumberFormat="1" applyFont="1" applyFill="1" applyBorder="1" applyAlignment="1">
      <alignment vertical="center"/>
    </xf>
    <xf numFmtId="14" fontId="8" fillId="2" borderId="15" xfId="55" applyNumberFormat="1" applyFont="1" applyFill="1" applyBorder="1" applyAlignment="1">
      <alignment vertical="center"/>
    </xf>
    <xf numFmtId="0" fontId="34" fillId="2" borderId="0" xfId="55" applyFont="1" applyFill="1"/>
    <xf numFmtId="170" fontId="8" fillId="40" borderId="1" xfId="56" applyNumberFormat="1" applyFont="1" applyFill="1" applyBorder="1" applyAlignment="1">
      <alignment vertical="center"/>
    </xf>
    <xf numFmtId="170" fontId="8" fillId="40" borderId="22" xfId="56" applyNumberFormat="1" applyFont="1" applyFill="1" applyBorder="1" applyAlignment="1">
      <alignment vertical="center"/>
    </xf>
    <xf numFmtId="0" fontId="7" fillId="40" borderId="23" xfId="0" applyFont="1" applyFill="1" applyBorder="1" applyAlignment="1">
      <alignment vertical="center"/>
    </xf>
    <xf numFmtId="0" fontId="7" fillId="40" borderId="1" xfId="0" applyFont="1" applyFill="1" applyBorder="1" applyAlignment="1">
      <alignment vertical="center"/>
    </xf>
    <xf numFmtId="170" fontId="8" fillId="0" borderId="1" xfId="56" applyNumberFormat="1" applyFont="1" applyFill="1" applyBorder="1" applyAlignment="1">
      <alignment vertical="center"/>
    </xf>
    <xf numFmtId="0" fontId="8" fillId="2" borderId="1" xfId="55" applyFont="1" applyFill="1" applyBorder="1" applyAlignment="1">
      <alignment horizontal="center" vertical="center"/>
    </xf>
    <xf numFmtId="170" fontId="8" fillId="0" borderId="22" xfId="56" applyNumberFormat="1" applyFont="1" applyFill="1" applyBorder="1" applyAlignment="1">
      <alignment vertical="center"/>
    </xf>
    <xf numFmtId="9" fontId="33" fillId="36" borderId="13" xfId="55" applyNumberFormat="1" applyFont="1" applyFill="1" applyBorder="1" applyAlignment="1">
      <alignment horizontal="center" vertical="center" wrapText="1"/>
    </xf>
    <xf numFmtId="9" fontId="34" fillId="0" borderId="1" xfId="1" applyFont="1" applyBorder="1" applyAlignment="1">
      <alignment horizontal="center" vertical="center"/>
    </xf>
    <xf numFmtId="9" fontId="34" fillId="0" borderId="0" xfId="55" applyNumberFormat="1" applyFont="1" applyAlignment="1">
      <alignment horizontal="center" vertical="center"/>
    </xf>
  </cellXfs>
  <cellStyles count="63">
    <cellStyle name="%20 - Vurgu1 2" xfId="32" xr:uid="{E18A52E0-2354-4D6D-A43E-8230CDF1F804}"/>
    <cellStyle name="%20 - Vurgu2 2" xfId="36" xr:uid="{C445A5CA-7648-4F92-9918-641C3B72D46D}"/>
    <cellStyle name="%20 - Vurgu3 2" xfId="40" xr:uid="{D30F3013-7F52-4970-8AA9-5BEE723F4B45}"/>
    <cellStyle name="%20 - Vurgu4 2" xfId="44" xr:uid="{9972B5B2-C990-4F3F-853E-1DF6EB09626B}"/>
    <cellStyle name="%20 - Vurgu5 2" xfId="48" xr:uid="{BBA95341-5929-412E-9EEB-70B0B3845725}"/>
    <cellStyle name="%20 - Vurgu6 2" xfId="52" xr:uid="{48954D07-E7C1-4710-959F-0211EFF00E7C}"/>
    <cellStyle name="%40 - Vurgu1 2" xfId="33" xr:uid="{71CA15CB-B135-4568-832E-A6502425DC48}"/>
    <cellStyle name="%40 - Vurgu2 2" xfId="37" xr:uid="{0541DFC6-48DD-445C-B4E0-09CFAB912660}"/>
    <cellStyle name="%40 - Vurgu3 2" xfId="41" xr:uid="{9AC4D6EC-103D-4267-811D-733315E9D8F6}"/>
    <cellStyle name="%40 - Vurgu4 2" xfId="45" xr:uid="{39B1C25E-25FA-4655-9248-BF53130F8498}"/>
    <cellStyle name="%40 - Vurgu5 2" xfId="49" xr:uid="{5613876E-75DB-4E8A-BC02-38A8893764E5}"/>
    <cellStyle name="%40 - Vurgu6 2" xfId="53" xr:uid="{45BC1A6D-7B80-4ECE-BDB6-D15E3F0477DD}"/>
    <cellStyle name="%60 - Vurgu1 2" xfId="34" xr:uid="{B868B087-7BE2-452B-98EE-121890146C48}"/>
    <cellStyle name="%60 - Vurgu2 2" xfId="38" xr:uid="{2A4A6A04-21D2-423F-B3E3-3BE0C5436FEB}"/>
    <cellStyle name="%60 - Vurgu3 2" xfId="42" xr:uid="{948FDA4C-DEFD-4BBF-A39F-71D456D61227}"/>
    <cellStyle name="%60 - Vurgu4 2" xfId="46" xr:uid="{87C84987-E558-4D54-9D48-66AF40D1CFBE}"/>
    <cellStyle name="%60 - Vurgu5 2" xfId="50" xr:uid="{7078AFF1-6A4B-47FB-9D6F-4672DF298419}"/>
    <cellStyle name="%60 - Vurgu6 2" xfId="54" xr:uid="{C845F1AA-73F7-495D-A26A-8BBCDDA9386C}"/>
    <cellStyle name="Açıklama Metni 2" xfId="29" xr:uid="{AC4B4A05-4546-4467-B93E-E0BAC88D2CF9}"/>
    <cellStyle name="Ana Başlık 2" xfId="11" xr:uid="{3256F381-618C-4577-92DE-9F41478BC128}"/>
    <cellStyle name="Bağlı Hücre 2" xfId="26" xr:uid="{9ED195E3-E468-468F-B24F-CB566FB2C1EC}"/>
    <cellStyle name="Başlık 1 2" xfId="12" xr:uid="{F909EF57-A3B1-41F7-99BC-FE659F6E7321}"/>
    <cellStyle name="Başlık 2 2" xfId="13" xr:uid="{F08F5F01-E1B1-4D85-AB95-6975BCF3CA36}"/>
    <cellStyle name="Başlık 3 2" xfId="14" xr:uid="{D87261D6-D577-4639-A641-D7CCB4B98F8B}"/>
    <cellStyle name="Başlık 4 2" xfId="15" xr:uid="{4BD65BDE-1158-4581-833A-998B8702568B}"/>
    <cellStyle name="Binlik Ayracı [0] 2" xfId="6" xr:uid="{654DFCC9-BC67-46D3-9F7D-B089206BF3EA}"/>
    <cellStyle name="Binlik Ayracı [0] 3" xfId="59" xr:uid="{020A7FBE-7A97-4557-8098-EEB5DC6C9D37}"/>
    <cellStyle name="Binlik Ayracı [0] 4" xfId="62" xr:uid="{A1489C51-E381-48E6-A9C6-B6F2C93AAC9E}"/>
    <cellStyle name="Çıkış 2" xfId="24" xr:uid="{CE66513B-0834-4A51-8241-9C3CA653EB76}"/>
    <cellStyle name="Giriş 2" xfId="23" xr:uid="{8B90309E-B98F-4AE6-BCA1-CBAFAF94310D}"/>
    <cellStyle name="Giriş Etiketi Sağa hizalı" xfId="17" xr:uid="{58C8078D-8B5D-402F-9D8F-E9734DFEF05E}"/>
    <cellStyle name="Giriş Etiketi Sola hizalı" xfId="10" xr:uid="{831D39AD-10E0-49B2-BF82-474D15BD24BB}"/>
    <cellStyle name="GünAçıklamaları" xfId="16" xr:uid="{67BBBD00-0B54-4D06-BC2D-12EDC21F1F2B}"/>
    <cellStyle name="Hesaplama 2" xfId="25" xr:uid="{F08104F6-44C2-46AE-A971-18D882B2E418}"/>
    <cellStyle name="İşaretli Hücre 2" xfId="27" xr:uid="{1BCB85AB-52D5-435D-96DA-CA80811378EB}"/>
    <cellStyle name="İyi 2" xfId="20" xr:uid="{C999C9F0-0E89-40B8-932C-46E9F4C051AB}"/>
    <cellStyle name="Kötü 2" xfId="21" xr:uid="{20359C8C-0936-4D18-9D9F-C9138FA77E39}"/>
    <cellStyle name="Normal" xfId="0" builtinId="0"/>
    <cellStyle name="Normal 2" xfId="3" xr:uid="{0BAB24DE-F6E8-4A27-ABBE-898B4F1980B7}"/>
    <cellStyle name="Normal 2 2" xfId="9" xr:uid="{221BA59A-F879-4312-B2F2-534075B5582A}"/>
    <cellStyle name="Normal 3" xfId="2" xr:uid="{CCA0D013-A5DD-46FF-835D-CC11608A85E6}"/>
    <cellStyle name="Normal 3 2" xfId="4" xr:uid="{C4855FB2-12DF-41E6-B72A-9C3C120D3854}"/>
    <cellStyle name="Normal 3 3" xfId="55" xr:uid="{5F3A4FDF-D323-4355-94C8-E78DF47A305A}"/>
    <cellStyle name="Normal 3 4" xfId="57" xr:uid="{D4433BD4-0DDE-4F8B-B41D-12BC29278592}"/>
    <cellStyle name="Normal 3 5" xfId="60" xr:uid="{5F108520-4119-416F-8F47-8899773446DD}"/>
    <cellStyle name="Not 2" xfId="8" xr:uid="{F47DE959-ADEA-43AD-95E3-AAF294F0A683}"/>
    <cellStyle name="Nötr 2" xfId="22" xr:uid="{D84BF05E-57D4-40A0-BC5D-F2BC6E20E39D}"/>
    <cellStyle name="ParaBirimi" xfId="56" builtinId="4"/>
    <cellStyle name="ParaBirimi [0] 2" xfId="19" xr:uid="{99B119C9-5BA4-4988-88F6-F41146F501C4}"/>
    <cellStyle name="ParaBirimi 2" xfId="18" xr:uid="{43CAC97E-57D1-41FF-B4CD-52A23C44EF5B}"/>
    <cellStyle name="Toplam 2" xfId="30" xr:uid="{640BC2A4-FD06-40D0-833D-F75AD631BB8E}"/>
    <cellStyle name="Uyarı Metni 2" xfId="28" xr:uid="{A19E3D79-BC94-413A-AB0E-85674EBD41D1}"/>
    <cellStyle name="Virgül 2" xfId="5" xr:uid="{30CB4121-F775-4FEB-857E-F0BFA308160F}"/>
    <cellStyle name="Virgül 3" xfId="58" xr:uid="{7762BF23-A97F-40E1-99B7-4000694244EB}"/>
    <cellStyle name="Virgül 4" xfId="61" xr:uid="{D93F302D-A4CD-4D4C-A7FA-93FCCD6D7464}"/>
    <cellStyle name="Vurgu1 2" xfId="31" xr:uid="{62CF97C2-2EE9-4462-9BA7-0F0DE697D1BB}"/>
    <cellStyle name="Vurgu2 2" xfId="35" xr:uid="{838023D5-FBE4-4EE8-90F3-D779BEE05306}"/>
    <cellStyle name="Vurgu3 2" xfId="39" xr:uid="{CE3116A8-F251-440E-BF6A-0BEF438F1056}"/>
    <cellStyle name="Vurgu4 2" xfId="43" xr:uid="{9FCF8279-696E-4AC9-B504-DB8645038C83}"/>
    <cellStyle name="Vurgu5 2" xfId="47" xr:uid="{D12DD507-8E61-49CF-AC8F-D716B9113AAE}"/>
    <cellStyle name="Vurgu6 2" xfId="51" xr:uid="{762919B3-684E-4C69-9028-59DBF74C525C}"/>
    <cellStyle name="Yüzde" xfId="1" builtinId="5"/>
    <cellStyle name="Yüzde 2" xfId="7" xr:uid="{6D1D0956-8902-4E68-AABF-63480A8B33CE}"/>
  </cellStyles>
  <dxfs count="323"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</dxfs>
  <tableStyles count="0" defaultTableStyle="TableStyleMedium2" defaultPivotStyle="PivotStyleLight16"/>
  <colors>
    <mruColors>
      <color rgb="FFF97F9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Emre KOSAR" id="{15E1BEBB-7820-47C1-AC4D-C253D45564CF}" userId="S::emre.kosar@kayserimodelfabrika.com::ccc79b9b-d258-4fd5-a9de-07d084833a38" providerId="AD"/>
  <person displayName="Beyza KACAR" id="{34A127BD-EF9F-462E-AEFB-D4BC77C04E3E}" userId="S::beyza.kacar@kayserimodelfabrika.com::a3700521-73de-41c2-833c-4be26ce670e2" providerId="AD"/>
  <person displayName="Pınar Balcı" id="{57C05EDA-417C-4D63-9C58-67BBA2FB25CC}" userId="S::pinar.balci@kayserimodelfabrika.com::bbe24f56-8f07-40c8-936f-93063ab14519" providerId="AD"/>
  <person displayName="tuğba sorkulu" id="{E70F3B29-BA5E-4EE0-9A9F-14D9115469DC}" userId="S::tugba.sorkulu@kayserimodelfabrika.com::e997ef5b-00aa-47eb-94b1-4a655ce75a33" providerId="AD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S66" dT="2023-02-23T14:11:04.33" personId="{34A127BD-EF9F-462E-AEFB-D4BC77C04E3E}" id="{B9EE9C87-6143-4B7B-B7C8-CDCA4DBCA86A}">
    <text>17+3</text>
  </threadedComment>
  <threadedComment ref="S67" dT="2023-02-23T14:11:13.07" personId="{34A127BD-EF9F-462E-AEFB-D4BC77C04E3E}" id="{3031A96C-6ACC-4BEE-8BFC-DEB020571D4F}">
    <text>17+3</text>
  </threadedComment>
  <threadedComment ref="S69" dT="2023-06-12T08:09:39.09" personId="{34A127BD-EF9F-462E-AEFB-D4BC77C04E3E}" id="{632E9AC8-10EB-40C9-8387-77D5906CDA60}">
    <text>17+3</text>
  </threadedComment>
  <threadedComment ref="S71" dT="2023-04-18T07:53:21.58" personId="{34A127BD-EF9F-462E-AEFB-D4BC77C04E3E}" id="{256388EB-ECCB-4DAA-8A14-D8968CB73D68}">
    <text>17+3</text>
  </threadedComment>
  <threadedComment ref="S72" dT="2023-04-18T07:53:29.57" personId="{34A127BD-EF9F-462E-AEFB-D4BC77C04E3E}" id="{7AF8A080-F479-4D1E-A134-1EBA5EA4D3BF}">
    <text>17+3</text>
  </threadedComment>
  <threadedComment ref="S73" dT="2023-04-18T07:53:40.54" personId="{34A127BD-EF9F-462E-AEFB-D4BC77C04E3E}" id="{3EF7F3FB-FED3-4F30-8B62-93968C7C7886}">
    <text>17+3</text>
  </threadedComment>
  <threadedComment ref="S75" dT="2024-01-15T08:19:58.52" personId="{15E1BEBB-7820-47C1-AC4D-C253D45564CF}" id="{8D74E894-54EB-472B-937E-0F4E7B43E37F}">
    <text>27+3</text>
  </threadedComment>
  <threadedComment ref="S81" dT="2024-05-31T06:42:01.60" personId="{57C05EDA-417C-4D63-9C58-67BBA2FB25CC}" id="{AC1CACC9-B4CC-49BF-A9CE-31ED252F84D2}">
    <text>1,5 gün kaldı.</text>
  </threadedComment>
  <threadedComment ref="S84" dT="2025-01-15T06:51:06.58" personId="{57C05EDA-417C-4D63-9C58-67BBA2FB25CC}" id="{421841BF-DA5B-4154-87FD-FA59A0912CF7}">
    <text>17+3</text>
  </threadedComment>
  <threadedComment ref="T88" dT="2025-02-17T07:44:17.90" personId="{57C05EDA-417C-4D63-9C58-67BBA2FB25CC}" id="{706D5D4E-C815-4F4B-B9DF-592ED816A62B}">
    <text xml:space="preserve">17+3
</text>
  </threadedComment>
  <threadedComment ref="T91" dT="2025-02-17T07:43:57.87" personId="{57C05EDA-417C-4D63-9C58-67BBA2FB25CC}" id="{79799589-1FD7-43A4-9B28-FC7BBE965EDF}">
    <text>17+3</text>
  </threadedComment>
  <threadedComment ref="W98" dT="2024-06-28T08:01:12.51" personId="{57C05EDA-417C-4D63-9C58-67BBA2FB25CC}" id="{516B5C31-2DC1-459D-95CF-99729F74F66A}">
    <text>Proje sunumları ve kazançları istenecek.</text>
  </threadedComment>
  <threadedComment ref="T102" dT="2025-02-17T07:47:38.67" personId="{57C05EDA-417C-4D63-9C58-67BBA2FB25CC}" id="{3FB74569-8875-409E-98D5-1D429855C836}">
    <text xml:space="preserve">17+3
</text>
  </threadedComment>
  <threadedComment ref="N103" dT="2025-11-11T09:03:35.06" personId="{E70F3B29-BA5E-4EE0-9A9F-14D9115469DC}" id="{1B4D0BE1-4D98-4E66-BA69-CDC7F184CE1E}">
    <text>Veri eksikliği sebebiyle 8 gün manuel giriş yapılmıştır</text>
  </threadedComment>
  <threadedComment ref="S103" dT="2025-01-13T12:42:06.73" personId="{57C05EDA-417C-4D63-9C58-67BBA2FB25CC}" id="{B3F9F07E-5167-4164-9C9C-8C0F24A8F304}">
    <text>17+3</text>
  </threadedComment>
  <threadedComment ref="S117" dT="2025-01-13T12:46:24.93" personId="{57C05EDA-417C-4D63-9C58-67BBA2FB25CC}" id="{2B4FA901-835F-425F-A63C-ABBDC4FC8F83}">
    <text>17+3</text>
  </threadedComment>
  <threadedComment ref="S118" dT="2025-05-12T07:24:25.04" personId="{57C05EDA-417C-4D63-9C58-67BBA2FB25CC}" id="{9B415CF7-1939-4E43-A05C-62EE2940EEF1}">
    <text>Planlanan 15 gün ama 16 gün gidilmiş</text>
  </threadedComment>
  <threadedComment ref="S127" dT="2025-01-13T12:40:53.30" personId="{57C05EDA-417C-4D63-9C58-67BBA2FB25CC}" id="{2728364A-5EDE-4A2D-B37F-C0BC45DAFE3D}">
    <text>17+3</text>
  </threadedComment>
  <threadedComment ref="S140" dT="2025-12-02T12:31:11.96" personId="{E70F3B29-BA5E-4EE0-9A9F-14D9115469DC}" id="{144FDF1A-6818-4DC1-A9A6-343F3277C6F3}">
    <text xml:space="preserve">Sözleşmeye göre güncellenecek
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99A6E2-2E47-4A91-89E4-7AD29D7FCFF6}">
  <dimension ref="A1:P228"/>
  <sheetViews>
    <sheetView showGridLines="0" tabSelected="1" zoomScale="67" zoomScaleNormal="85" workbookViewId="0">
      <pane ySplit="1" topLeftCell="A2" activePane="bottomLeft" state="frozen"/>
      <selection activeCell="I2" sqref="I2:I50"/>
      <selection pane="bottomLeft" activeCell="D13" sqref="D13"/>
    </sheetView>
  </sheetViews>
  <sheetFormatPr defaultColWidth="12.69921875" defaultRowHeight="19.95" customHeight="1" x14ac:dyDescent="0.25"/>
  <cols>
    <col min="1" max="1" width="25.8984375" style="74" bestFit="1" customWidth="1"/>
    <col min="2" max="2" width="14.09765625" style="74" bestFit="1" customWidth="1"/>
    <col min="3" max="3" width="24.69921875" style="74" bestFit="1" customWidth="1"/>
    <col min="4" max="4" width="11.5" style="75" bestFit="1" customWidth="1"/>
    <col min="5" max="5" width="4.69921875" style="75" customWidth="1"/>
    <col min="6" max="6" width="8.19921875" style="75" customWidth="1"/>
    <col min="7" max="7" width="25" style="74" customWidth="1"/>
    <col min="8" max="8" width="30.59765625" style="74" customWidth="1"/>
    <col min="9" max="9" width="49.3984375" style="74" bestFit="1" customWidth="1"/>
    <col min="10" max="10" width="19" style="74" customWidth="1"/>
    <col min="11" max="11" width="16.69921875" style="75" customWidth="1"/>
    <col min="12" max="13" width="12.09765625" style="76" customWidth="1"/>
    <col min="14" max="14" width="14.59765625" style="135" bestFit="1" customWidth="1"/>
    <col min="15" max="15" width="11.3984375" style="76" customWidth="1"/>
    <col min="16" max="16" width="11.09765625" style="76" bestFit="1" customWidth="1"/>
  </cols>
  <sheetData>
    <row r="1" spans="1:16" s="39" customFormat="1" ht="58.95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38" t="s">
        <v>4</v>
      </c>
      <c r="F1" s="38" t="s">
        <v>5</v>
      </c>
      <c r="G1" s="1" t="s">
        <v>6</v>
      </c>
      <c r="H1" s="1" t="s">
        <v>7</v>
      </c>
      <c r="I1" s="3" t="s">
        <v>8</v>
      </c>
      <c r="J1" s="4" t="s">
        <v>9</v>
      </c>
      <c r="K1" s="2" t="s">
        <v>10</v>
      </c>
      <c r="L1" s="2" t="s">
        <v>11</v>
      </c>
      <c r="M1" s="2" t="s">
        <v>12</v>
      </c>
      <c r="N1" s="134" t="s">
        <v>13</v>
      </c>
      <c r="O1" s="2" t="s">
        <v>14</v>
      </c>
      <c r="P1" s="2" t="s">
        <v>15</v>
      </c>
    </row>
    <row r="2" spans="1:16" ht="19.2" customHeight="1" x14ac:dyDescent="0.25">
      <c r="A2" s="5" t="s">
        <v>58</v>
      </c>
      <c r="B2" s="6" t="s">
        <v>17</v>
      </c>
      <c r="C2" s="6" t="s">
        <v>59</v>
      </c>
      <c r="D2" s="7">
        <v>45995</v>
      </c>
      <c r="E2" s="11">
        <f t="shared" ref="E2:E3" si="0">+YEAR(D2)</f>
        <v>2025</v>
      </c>
      <c r="F2" s="10">
        <f t="shared" ref="F2:F3" si="1">+ROUNDUP(MONTH(D2)/3,0)</f>
        <v>4</v>
      </c>
      <c r="G2" s="6" t="s">
        <v>243</v>
      </c>
      <c r="H2" s="6" t="s">
        <v>189</v>
      </c>
      <c r="I2" s="6" t="s">
        <v>288</v>
      </c>
      <c r="J2" s="6" t="s">
        <v>289</v>
      </c>
      <c r="K2" s="11" t="s">
        <v>21</v>
      </c>
      <c r="L2" s="8">
        <v>4</v>
      </c>
      <c r="M2" s="8">
        <v>10</v>
      </c>
      <c r="N2" s="9">
        <f t="shared" ref="N2:N3" si="2">IFERROR(L2/8,"  ")</f>
        <v>0.5</v>
      </c>
      <c r="O2" s="8">
        <f t="shared" ref="O2:O3" si="3">M2*L2</f>
        <v>40</v>
      </c>
      <c r="P2" s="8">
        <f t="shared" ref="P2:P3" si="4">+M2*N2</f>
        <v>5</v>
      </c>
    </row>
    <row r="3" spans="1:16" ht="19.95" customHeight="1" x14ac:dyDescent="0.25">
      <c r="A3" s="5" t="s">
        <v>293</v>
      </c>
      <c r="B3" s="6" t="s">
        <v>17</v>
      </c>
      <c r="C3" s="6" t="s">
        <v>263</v>
      </c>
      <c r="D3" s="7">
        <v>45995</v>
      </c>
      <c r="E3" s="11">
        <f t="shared" si="0"/>
        <v>2025</v>
      </c>
      <c r="F3" s="10">
        <f t="shared" si="1"/>
        <v>4</v>
      </c>
      <c r="G3" s="5" t="s">
        <v>243</v>
      </c>
      <c r="H3" s="6" t="s">
        <v>189</v>
      </c>
      <c r="I3" s="6" t="s">
        <v>288</v>
      </c>
      <c r="J3" s="6" t="s">
        <v>289</v>
      </c>
      <c r="K3" s="11" t="s">
        <v>21</v>
      </c>
      <c r="L3" s="8">
        <v>4</v>
      </c>
      <c r="M3" s="8">
        <v>10</v>
      </c>
      <c r="N3" s="9">
        <f t="shared" si="2"/>
        <v>0.5</v>
      </c>
      <c r="O3" s="8">
        <f t="shared" si="3"/>
        <v>40</v>
      </c>
      <c r="P3" s="8">
        <f t="shared" si="4"/>
        <v>5</v>
      </c>
    </row>
    <row r="4" spans="1:16" ht="19.95" customHeight="1" x14ac:dyDescent="0.25">
      <c r="A4" s="5" t="s">
        <v>294</v>
      </c>
      <c r="B4" s="6" t="s">
        <v>17</v>
      </c>
      <c r="C4" s="6" t="s">
        <v>263</v>
      </c>
      <c r="D4" s="7">
        <v>45995</v>
      </c>
      <c r="E4" s="11">
        <f t="shared" ref="E4" si="5">+YEAR(D4)</f>
        <v>2025</v>
      </c>
      <c r="F4" s="10">
        <f t="shared" ref="F4" si="6">+ROUNDUP(MONTH(D4)/3,0)</f>
        <v>4</v>
      </c>
      <c r="G4" s="5" t="s">
        <v>243</v>
      </c>
      <c r="H4" s="6" t="s">
        <v>189</v>
      </c>
      <c r="I4" s="6" t="s">
        <v>288</v>
      </c>
      <c r="J4" s="6" t="s">
        <v>289</v>
      </c>
      <c r="K4" s="11" t="s">
        <v>21</v>
      </c>
      <c r="L4" s="8">
        <v>4</v>
      </c>
      <c r="M4" s="8">
        <v>10</v>
      </c>
      <c r="N4" s="9">
        <f t="shared" ref="N4" si="7">IFERROR(L4/8,"  ")</f>
        <v>0.5</v>
      </c>
      <c r="O4" s="8">
        <f t="shared" ref="O4" si="8">M4*L4</f>
        <v>40</v>
      </c>
      <c r="P4" s="8">
        <f t="shared" ref="P4" si="9">+M4*N4</f>
        <v>5</v>
      </c>
    </row>
    <row r="5" spans="1:16" ht="19.95" customHeight="1" x14ac:dyDescent="0.25">
      <c r="A5" s="5" t="s">
        <v>294</v>
      </c>
      <c r="B5" s="6" t="s">
        <v>17</v>
      </c>
      <c r="C5" s="6" t="s">
        <v>263</v>
      </c>
      <c r="D5" s="7">
        <v>45994</v>
      </c>
      <c r="E5" s="11">
        <f t="shared" ref="E5:E8" si="10">+YEAR(D5)</f>
        <v>2025</v>
      </c>
      <c r="F5" s="10">
        <f t="shared" ref="F5:F9" si="11">+ROUNDUP(MONTH(D5)/3,0)</f>
        <v>4</v>
      </c>
      <c r="G5" s="5" t="s">
        <v>243</v>
      </c>
      <c r="H5" s="6" t="s">
        <v>189</v>
      </c>
      <c r="I5" s="6" t="s">
        <v>166</v>
      </c>
      <c r="J5" s="6" t="s">
        <v>264</v>
      </c>
      <c r="K5" s="11" t="s">
        <v>21</v>
      </c>
      <c r="L5" s="8">
        <v>4</v>
      </c>
      <c r="M5" s="8">
        <v>10</v>
      </c>
      <c r="N5" s="9">
        <f t="shared" ref="N5:N9" si="12">IFERROR(L5/8,"  ")</f>
        <v>0.5</v>
      </c>
      <c r="O5" s="8">
        <f t="shared" ref="O5:O9" si="13">M5*L5</f>
        <v>40</v>
      </c>
      <c r="P5" s="8">
        <f t="shared" ref="P5:P9" si="14">+M5*N5</f>
        <v>5</v>
      </c>
    </row>
    <row r="6" spans="1:16" ht="19.95" customHeight="1" x14ac:dyDescent="0.25">
      <c r="A6" s="5" t="s">
        <v>16</v>
      </c>
      <c r="B6" s="6" t="s">
        <v>17</v>
      </c>
      <c r="C6" s="6" t="s">
        <v>18</v>
      </c>
      <c r="D6" s="7">
        <v>45996</v>
      </c>
      <c r="E6" s="11">
        <f t="shared" si="10"/>
        <v>2025</v>
      </c>
      <c r="F6" s="10">
        <f t="shared" si="11"/>
        <v>4</v>
      </c>
      <c r="G6" s="5" t="s">
        <v>243</v>
      </c>
      <c r="H6" s="6" t="s">
        <v>189</v>
      </c>
      <c r="I6" s="6" t="s">
        <v>290</v>
      </c>
      <c r="J6" s="6" t="s">
        <v>291</v>
      </c>
      <c r="K6" s="11" t="s">
        <v>21</v>
      </c>
      <c r="L6" s="8">
        <v>4</v>
      </c>
      <c r="M6" s="8">
        <v>10</v>
      </c>
      <c r="N6" s="9">
        <f t="shared" si="12"/>
        <v>0.5</v>
      </c>
      <c r="O6" s="8">
        <f t="shared" si="13"/>
        <v>40</v>
      </c>
      <c r="P6" s="8">
        <f t="shared" si="14"/>
        <v>5</v>
      </c>
    </row>
    <row r="7" spans="1:16" ht="19.95" customHeight="1" x14ac:dyDescent="0.25">
      <c r="A7" s="5" t="s">
        <v>58</v>
      </c>
      <c r="B7" s="6" t="s">
        <v>17</v>
      </c>
      <c r="C7" s="6" t="s">
        <v>59</v>
      </c>
      <c r="D7" s="7">
        <v>45996</v>
      </c>
      <c r="E7" s="21">
        <f t="shared" si="10"/>
        <v>2025</v>
      </c>
      <c r="F7" s="11">
        <f t="shared" si="11"/>
        <v>4</v>
      </c>
      <c r="G7" s="5" t="s">
        <v>243</v>
      </c>
      <c r="H7" s="6" t="s">
        <v>189</v>
      </c>
      <c r="I7" s="6" t="s">
        <v>290</v>
      </c>
      <c r="J7" s="6" t="s">
        <v>291</v>
      </c>
      <c r="K7" s="21" t="s">
        <v>21</v>
      </c>
      <c r="L7" s="8">
        <v>4</v>
      </c>
      <c r="M7" s="8">
        <v>10</v>
      </c>
      <c r="N7" s="9">
        <f t="shared" si="12"/>
        <v>0.5</v>
      </c>
      <c r="O7" s="8">
        <f t="shared" si="13"/>
        <v>40</v>
      </c>
      <c r="P7" s="8">
        <f t="shared" si="14"/>
        <v>5</v>
      </c>
    </row>
    <row r="8" spans="1:16" ht="19.95" customHeight="1" x14ac:dyDescent="0.25">
      <c r="A8" s="5" t="s">
        <v>294</v>
      </c>
      <c r="B8" s="6" t="s">
        <v>17</v>
      </c>
      <c r="C8" s="6" t="s">
        <v>263</v>
      </c>
      <c r="D8" s="7">
        <v>45996</v>
      </c>
      <c r="E8" s="11">
        <f t="shared" si="10"/>
        <v>2025</v>
      </c>
      <c r="F8" s="10">
        <f t="shared" si="11"/>
        <v>4</v>
      </c>
      <c r="G8" s="5" t="s">
        <v>243</v>
      </c>
      <c r="H8" s="6" t="s">
        <v>189</v>
      </c>
      <c r="I8" s="6" t="s">
        <v>288</v>
      </c>
      <c r="J8" s="6" t="s">
        <v>291</v>
      </c>
      <c r="K8" s="11" t="s">
        <v>21</v>
      </c>
      <c r="L8" s="8">
        <v>4</v>
      </c>
      <c r="M8" s="8">
        <v>10</v>
      </c>
      <c r="N8" s="9">
        <f t="shared" si="12"/>
        <v>0.5</v>
      </c>
      <c r="O8" s="8">
        <f t="shared" si="13"/>
        <v>40</v>
      </c>
      <c r="P8" s="8">
        <f t="shared" si="14"/>
        <v>5</v>
      </c>
    </row>
    <row r="9" spans="1:16" ht="19.95" customHeight="1" x14ac:dyDescent="0.25">
      <c r="A9" s="5" t="s">
        <v>223</v>
      </c>
      <c r="B9" s="6" t="s">
        <v>17</v>
      </c>
      <c r="C9" s="104" t="s">
        <v>18</v>
      </c>
      <c r="D9" s="7">
        <v>45978</v>
      </c>
      <c r="E9" s="11">
        <v>2025</v>
      </c>
      <c r="F9" s="10">
        <f t="shared" si="11"/>
        <v>4</v>
      </c>
      <c r="G9" s="6" t="s">
        <v>243</v>
      </c>
      <c r="H9" s="6" t="s">
        <v>189</v>
      </c>
      <c r="I9" s="6" t="s">
        <v>272</v>
      </c>
      <c r="J9" s="6"/>
      <c r="K9" s="21" t="s">
        <v>21</v>
      </c>
      <c r="L9" s="8">
        <v>4</v>
      </c>
      <c r="M9" s="8">
        <v>10</v>
      </c>
      <c r="N9" s="9">
        <f t="shared" si="12"/>
        <v>0.5</v>
      </c>
      <c r="O9" s="8">
        <f t="shared" si="13"/>
        <v>40</v>
      </c>
      <c r="P9" s="8">
        <f t="shared" si="14"/>
        <v>5</v>
      </c>
    </row>
    <row r="10" spans="1:16" ht="19.95" customHeight="1" x14ac:dyDescent="0.25">
      <c r="A10" s="5" t="s">
        <v>223</v>
      </c>
      <c r="B10" s="6" t="s">
        <v>17</v>
      </c>
      <c r="C10" s="104" t="s">
        <v>18</v>
      </c>
      <c r="D10" s="7">
        <v>46000</v>
      </c>
      <c r="E10" s="11">
        <v>2025</v>
      </c>
      <c r="F10" s="10">
        <f t="shared" ref="F10:F13" si="15">+ROUNDUP(MONTH(D10)/3,0)</f>
        <v>4</v>
      </c>
      <c r="G10" s="6" t="s">
        <v>243</v>
      </c>
      <c r="H10" s="6" t="s">
        <v>189</v>
      </c>
      <c r="I10" s="6" t="s">
        <v>400</v>
      </c>
      <c r="J10" s="6" t="s">
        <v>399</v>
      </c>
      <c r="K10" s="21" t="s">
        <v>21</v>
      </c>
      <c r="L10" s="8">
        <v>4</v>
      </c>
      <c r="M10" s="8">
        <v>10</v>
      </c>
      <c r="N10" s="9">
        <f t="shared" ref="N10:N13" si="16">IFERROR(L10/8,"  ")</f>
        <v>0.5</v>
      </c>
      <c r="O10" s="8">
        <f t="shared" ref="O10:O13" si="17">M10*L10</f>
        <v>40</v>
      </c>
      <c r="P10" s="8">
        <f t="shared" ref="P10:P13" si="18">+M10*N10</f>
        <v>5</v>
      </c>
    </row>
    <row r="11" spans="1:16" ht="19.95" customHeight="1" x14ac:dyDescent="0.25">
      <c r="A11" s="5" t="s">
        <v>16</v>
      </c>
      <c r="B11" s="6" t="s">
        <v>17</v>
      </c>
      <c r="C11" s="6" t="s">
        <v>18</v>
      </c>
      <c r="D11" s="7">
        <v>46000</v>
      </c>
      <c r="E11" s="11">
        <f t="shared" ref="E11:E13" si="19">+YEAR(D11)</f>
        <v>2025</v>
      </c>
      <c r="F11" s="10">
        <f t="shared" si="15"/>
        <v>4</v>
      </c>
      <c r="G11" s="5" t="s">
        <v>243</v>
      </c>
      <c r="H11" s="6" t="s">
        <v>189</v>
      </c>
      <c r="I11" s="6" t="s">
        <v>400</v>
      </c>
      <c r="J11" s="6" t="s">
        <v>399</v>
      </c>
      <c r="K11" s="11" t="s">
        <v>21</v>
      </c>
      <c r="L11" s="8">
        <v>4</v>
      </c>
      <c r="M11" s="8">
        <v>10</v>
      </c>
      <c r="N11" s="9">
        <f t="shared" si="16"/>
        <v>0.5</v>
      </c>
      <c r="O11" s="8">
        <f t="shared" si="17"/>
        <v>40</v>
      </c>
      <c r="P11" s="8">
        <f t="shared" si="18"/>
        <v>5</v>
      </c>
    </row>
    <row r="12" spans="1:16" ht="19.95" customHeight="1" x14ac:dyDescent="0.25">
      <c r="A12" s="5" t="s">
        <v>294</v>
      </c>
      <c r="B12" s="6" t="s">
        <v>17</v>
      </c>
      <c r="C12" s="6" t="s">
        <v>263</v>
      </c>
      <c r="D12" s="7">
        <v>46001</v>
      </c>
      <c r="E12" s="11">
        <f t="shared" si="19"/>
        <v>2025</v>
      </c>
      <c r="F12" s="10">
        <f t="shared" si="15"/>
        <v>4</v>
      </c>
      <c r="G12" s="5" t="s">
        <v>123</v>
      </c>
      <c r="H12" s="6" t="s">
        <v>189</v>
      </c>
      <c r="I12" s="6" t="s">
        <v>166</v>
      </c>
      <c r="J12" s="6" t="s">
        <v>264</v>
      </c>
      <c r="K12" s="11" t="s">
        <v>21</v>
      </c>
      <c r="L12" s="8">
        <v>4</v>
      </c>
      <c r="M12" s="8">
        <v>10</v>
      </c>
      <c r="N12" s="9">
        <f t="shared" si="16"/>
        <v>0.5</v>
      </c>
      <c r="O12" s="8">
        <f t="shared" si="17"/>
        <v>40</v>
      </c>
      <c r="P12" s="8">
        <f t="shared" si="18"/>
        <v>5</v>
      </c>
    </row>
    <row r="13" spans="1:16" ht="19.95" customHeight="1" x14ac:dyDescent="0.25">
      <c r="A13" s="5" t="s">
        <v>16</v>
      </c>
      <c r="B13" s="6" t="s">
        <v>17</v>
      </c>
      <c r="C13" s="6" t="s">
        <v>18</v>
      </c>
      <c r="D13" s="7">
        <v>46001</v>
      </c>
      <c r="E13" s="21">
        <f t="shared" si="19"/>
        <v>2025</v>
      </c>
      <c r="F13" s="10">
        <f t="shared" si="15"/>
        <v>4</v>
      </c>
      <c r="G13" s="5" t="s">
        <v>123</v>
      </c>
      <c r="H13" s="6" t="s">
        <v>189</v>
      </c>
      <c r="I13" s="6" t="s">
        <v>166</v>
      </c>
      <c r="J13" s="6" t="s">
        <v>264</v>
      </c>
      <c r="K13" s="11" t="s">
        <v>21</v>
      </c>
      <c r="L13" s="8">
        <v>4</v>
      </c>
      <c r="M13" s="8">
        <v>10</v>
      </c>
      <c r="N13" s="9">
        <f t="shared" si="16"/>
        <v>0.5</v>
      </c>
      <c r="O13" s="8">
        <f t="shared" si="17"/>
        <v>40</v>
      </c>
      <c r="P13" s="8">
        <f t="shared" si="18"/>
        <v>5</v>
      </c>
    </row>
    <row r="14" spans="1:16" ht="19.95" customHeight="1" x14ac:dyDescent="0.25">
      <c r="A14" s="5" t="s">
        <v>223</v>
      </c>
      <c r="B14" s="6" t="s">
        <v>17</v>
      </c>
      <c r="C14" s="104" t="s">
        <v>18</v>
      </c>
      <c r="D14" s="7">
        <v>46002</v>
      </c>
      <c r="E14" s="11">
        <v>2025</v>
      </c>
      <c r="F14" s="10">
        <f t="shared" ref="F14:F18" si="20">+ROUNDUP(MONTH(D14)/3,0)</f>
        <v>4</v>
      </c>
      <c r="G14" s="6" t="s">
        <v>243</v>
      </c>
      <c r="H14" s="6" t="s">
        <v>189</v>
      </c>
      <c r="I14" s="6" t="s">
        <v>400</v>
      </c>
      <c r="J14" s="6" t="s">
        <v>399</v>
      </c>
      <c r="K14" s="21" t="s">
        <v>21</v>
      </c>
      <c r="L14" s="8">
        <v>8</v>
      </c>
      <c r="M14" s="8">
        <v>10</v>
      </c>
      <c r="N14" s="9">
        <f t="shared" ref="N14:N18" si="21">IFERROR(L14/8,"  ")</f>
        <v>1</v>
      </c>
      <c r="O14" s="8">
        <f t="shared" ref="O14:O18" si="22">M14*L14</f>
        <v>80</v>
      </c>
      <c r="P14" s="8">
        <f t="shared" ref="P14:P18" si="23">+M14*N14</f>
        <v>10</v>
      </c>
    </row>
    <row r="15" spans="1:16" ht="19.95" customHeight="1" x14ac:dyDescent="0.25">
      <c r="A15" s="5" t="s">
        <v>16</v>
      </c>
      <c r="B15" s="6" t="s">
        <v>17</v>
      </c>
      <c r="C15" s="6" t="s">
        <v>18</v>
      </c>
      <c r="D15" s="7">
        <v>46002</v>
      </c>
      <c r="E15" s="11">
        <f t="shared" ref="E15:E18" si="24">+YEAR(D15)</f>
        <v>2025</v>
      </c>
      <c r="F15" s="10">
        <f t="shared" si="20"/>
        <v>4</v>
      </c>
      <c r="G15" s="5" t="s">
        <v>243</v>
      </c>
      <c r="H15" s="6" t="s">
        <v>189</v>
      </c>
      <c r="I15" s="6" t="s">
        <v>400</v>
      </c>
      <c r="J15" s="6" t="s">
        <v>399</v>
      </c>
      <c r="K15" s="11" t="s">
        <v>21</v>
      </c>
      <c r="L15" s="8">
        <v>8</v>
      </c>
      <c r="M15" s="8">
        <v>10</v>
      </c>
      <c r="N15" s="9">
        <f t="shared" si="21"/>
        <v>1</v>
      </c>
      <c r="O15" s="8">
        <f t="shared" si="22"/>
        <v>80</v>
      </c>
      <c r="P15" s="8">
        <f t="shared" si="23"/>
        <v>10</v>
      </c>
    </row>
    <row r="16" spans="1:16" ht="19.95" customHeight="1" x14ac:dyDescent="0.25">
      <c r="A16" s="5" t="s">
        <v>407</v>
      </c>
      <c r="B16" s="6" t="s">
        <v>17</v>
      </c>
      <c r="C16" s="6" t="s">
        <v>263</v>
      </c>
      <c r="D16" s="7">
        <v>46002</v>
      </c>
      <c r="E16" s="11">
        <f t="shared" si="24"/>
        <v>2025</v>
      </c>
      <c r="F16" s="10">
        <f t="shared" si="20"/>
        <v>4</v>
      </c>
      <c r="G16" s="5" t="s">
        <v>243</v>
      </c>
      <c r="H16" s="6" t="s">
        <v>189</v>
      </c>
      <c r="I16" s="6" t="s">
        <v>400</v>
      </c>
      <c r="J16" s="6" t="s">
        <v>399</v>
      </c>
      <c r="K16" s="11" t="s">
        <v>21</v>
      </c>
      <c r="L16" s="8">
        <v>8</v>
      </c>
      <c r="M16" s="8">
        <v>10</v>
      </c>
      <c r="N16" s="9">
        <f t="shared" si="21"/>
        <v>1</v>
      </c>
      <c r="O16" s="8">
        <f t="shared" si="22"/>
        <v>80</v>
      </c>
      <c r="P16" s="8">
        <f t="shared" si="23"/>
        <v>10</v>
      </c>
    </row>
    <row r="17" spans="1:16" ht="19.95" customHeight="1" x14ac:dyDescent="0.25">
      <c r="A17" s="5" t="s">
        <v>408</v>
      </c>
      <c r="B17" s="6" t="s">
        <v>17</v>
      </c>
      <c r="C17" s="6" t="s">
        <v>263</v>
      </c>
      <c r="D17" s="7">
        <v>46002</v>
      </c>
      <c r="E17" s="11">
        <f t="shared" si="24"/>
        <v>2025</v>
      </c>
      <c r="F17" s="10">
        <f t="shared" si="20"/>
        <v>4</v>
      </c>
      <c r="G17" s="5" t="s">
        <v>243</v>
      </c>
      <c r="H17" s="6" t="s">
        <v>189</v>
      </c>
      <c r="I17" s="6" t="s">
        <v>400</v>
      </c>
      <c r="J17" s="6" t="s">
        <v>399</v>
      </c>
      <c r="K17" s="11" t="s">
        <v>21</v>
      </c>
      <c r="L17" s="8">
        <v>8</v>
      </c>
      <c r="M17" s="8">
        <v>10</v>
      </c>
      <c r="N17" s="9">
        <f t="shared" si="21"/>
        <v>1</v>
      </c>
      <c r="O17" s="8">
        <f t="shared" si="22"/>
        <v>80</v>
      </c>
      <c r="P17" s="8">
        <f t="shared" si="23"/>
        <v>10</v>
      </c>
    </row>
    <row r="18" spans="1:16" ht="19.95" customHeight="1" x14ac:dyDescent="0.25">
      <c r="A18" s="5" t="s">
        <v>16</v>
      </c>
      <c r="B18" s="6" t="s">
        <v>17</v>
      </c>
      <c r="C18" s="6" t="s">
        <v>18</v>
      </c>
      <c r="D18" s="7">
        <v>46003</v>
      </c>
      <c r="E18" s="11">
        <f t="shared" si="24"/>
        <v>2025</v>
      </c>
      <c r="F18" s="10">
        <f t="shared" si="20"/>
        <v>4</v>
      </c>
      <c r="G18" s="5" t="s">
        <v>243</v>
      </c>
      <c r="H18" s="6" t="s">
        <v>189</v>
      </c>
      <c r="I18" s="6" t="s">
        <v>290</v>
      </c>
      <c r="J18" s="6" t="s">
        <v>291</v>
      </c>
      <c r="K18" s="11" t="s">
        <v>21</v>
      </c>
      <c r="L18" s="8">
        <v>8</v>
      </c>
      <c r="M18" s="8">
        <v>10</v>
      </c>
      <c r="N18" s="9">
        <f t="shared" si="21"/>
        <v>1</v>
      </c>
      <c r="O18" s="8">
        <f t="shared" si="22"/>
        <v>80</v>
      </c>
      <c r="P18" s="8">
        <f t="shared" si="23"/>
        <v>10</v>
      </c>
    </row>
    <row r="19" spans="1:16" ht="19.95" customHeight="1" x14ac:dyDescent="0.25">
      <c r="A19" s="5" t="s">
        <v>407</v>
      </c>
      <c r="B19" s="6" t="s">
        <v>17</v>
      </c>
      <c r="C19" s="6" t="s">
        <v>263</v>
      </c>
      <c r="D19" s="7">
        <v>46003</v>
      </c>
      <c r="E19" s="11">
        <f t="shared" ref="E19:E20" si="25">+YEAR(D19)</f>
        <v>2025</v>
      </c>
      <c r="F19" s="10">
        <f t="shared" ref="F19:F20" si="26">+ROUNDUP(MONTH(D19)/3,0)</f>
        <v>4</v>
      </c>
      <c r="G19" s="5" t="s">
        <v>243</v>
      </c>
      <c r="H19" s="6" t="s">
        <v>189</v>
      </c>
      <c r="I19" s="6" t="s">
        <v>290</v>
      </c>
      <c r="J19" s="6" t="s">
        <v>409</v>
      </c>
      <c r="K19" s="11" t="s">
        <v>21</v>
      </c>
      <c r="L19" s="8">
        <v>8</v>
      </c>
      <c r="M19" s="8">
        <v>10</v>
      </c>
      <c r="N19" s="9">
        <f t="shared" ref="N19:N20" si="27">IFERROR(L19/8,"  ")</f>
        <v>1</v>
      </c>
      <c r="O19" s="8">
        <f t="shared" ref="O19:O20" si="28">M19*L19</f>
        <v>80</v>
      </c>
      <c r="P19" s="8">
        <f t="shared" ref="P19:P20" si="29">+M19*N19</f>
        <v>10</v>
      </c>
    </row>
    <row r="20" spans="1:16" ht="19.95" customHeight="1" x14ac:dyDescent="0.25">
      <c r="A20" s="5" t="s">
        <v>408</v>
      </c>
      <c r="B20" s="6" t="s">
        <v>17</v>
      </c>
      <c r="C20" s="6" t="s">
        <v>263</v>
      </c>
      <c r="D20" s="7">
        <v>46003</v>
      </c>
      <c r="E20" s="11">
        <f t="shared" si="25"/>
        <v>2025</v>
      </c>
      <c r="F20" s="10">
        <f t="shared" si="26"/>
        <v>4</v>
      </c>
      <c r="G20" s="5" t="s">
        <v>243</v>
      </c>
      <c r="H20" s="6" t="s">
        <v>189</v>
      </c>
      <c r="I20" s="6" t="s">
        <v>290</v>
      </c>
      <c r="J20" s="6" t="s">
        <v>409</v>
      </c>
      <c r="K20" s="11" t="s">
        <v>21</v>
      </c>
      <c r="L20" s="8">
        <v>8</v>
      </c>
      <c r="M20" s="8">
        <v>10</v>
      </c>
      <c r="N20" s="9">
        <f t="shared" si="27"/>
        <v>1</v>
      </c>
      <c r="O20" s="8">
        <f t="shared" si="28"/>
        <v>80</v>
      </c>
      <c r="P20" s="8">
        <f t="shared" si="29"/>
        <v>10</v>
      </c>
    </row>
    <row r="21" spans="1:16" ht="19.95" customHeight="1" x14ac:dyDescent="0.25">
      <c r="A21" s="5" t="s">
        <v>292</v>
      </c>
      <c r="B21" s="6" t="s">
        <v>17</v>
      </c>
      <c r="C21" s="6" t="s">
        <v>263</v>
      </c>
      <c r="D21" s="7">
        <v>46003</v>
      </c>
      <c r="E21" s="11">
        <f t="shared" ref="E21:E22" si="30">+YEAR(D21)</f>
        <v>2025</v>
      </c>
      <c r="F21" s="10">
        <f t="shared" ref="F21:F24" si="31">+ROUNDUP(MONTH(D21)/3,0)</f>
        <v>4</v>
      </c>
      <c r="G21" s="5" t="s">
        <v>243</v>
      </c>
      <c r="H21" s="6" t="s">
        <v>189</v>
      </c>
      <c r="I21" s="6" t="s">
        <v>290</v>
      </c>
      <c r="J21" s="6" t="s">
        <v>409</v>
      </c>
      <c r="K21" s="11" t="s">
        <v>21</v>
      </c>
      <c r="L21" s="8">
        <v>8</v>
      </c>
      <c r="M21" s="8">
        <v>10</v>
      </c>
      <c r="N21" s="9">
        <f t="shared" ref="N21:N24" si="32">IFERROR(L21/8,"  ")</f>
        <v>1</v>
      </c>
      <c r="O21" s="8">
        <f t="shared" ref="O21:O24" si="33">M21*L21</f>
        <v>80</v>
      </c>
      <c r="P21" s="8">
        <f t="shared" ref="P21:P24" si="34">+M21*N21</f>
        <v>10</v>
      </c>
    </row>
    <row r="22" spans="1:16" ht="19.95" customHeight="1" x14ac:dyDescent="0.25">
      <c r="A22" s="5" t="s">
        <v>16</v>
      </c>
      <c r="B22" s="6" t="s">
        <v>17</v>
      </c>
      <c r="C22" s="6" t="s">
        <v>18</v>
      </c>
      <c r="D22" s="7">
        <v>46006</v>
      </c>
      <c r="E22" s="11">
        <f t="shared" si="30"/>
        <v>2025</v>
      </c>
      <c r="F22" s="10">
        <f t="shared" si="31"/>
        <v>4</v>
      </c>
      <c r="G22" s="5" t="s">
        <v>243</v>
      </c>
      <c r="H22" s="6" t="s">
        <v>189</v>
      </c>
      <c r="I22" s="6" t="s">
        <v>406</v>
      </c>
      <c r="J22" s="6" t="s">
        <v>405</v>
      </c>
      <c r="K22" s="11" t="s">
        <v>21</v>
      </c>
      <c r="L22" s="8">
        <v>4</v>
      </c>
      <c r="M22" s="8">
        <v>10</v>
      </c>
      <c r="N22" s="9">
        <f t="shared" si="32"/>
        <v>0.5</v>
      </c>
      <c r="O22" s="8">
        <f t="shared" si="33"/>
        <v>40</v>
      </c>
      <c r="P22" s="8">
        <f t="shared" si="34"/>
        <v>5</v>
      </c>
    </row>
    <row r="23" spans="1:16" ht="19.95" customHeight="1" x14ac:dyDescent="0.25">
      <c r="A23" s="5" t="s">
        <v>223</v>
      </c>
      <c r="B23" s="6" t="s">
        <v>17</v>
      </c>
      <c r="C23" s="104" t="s">
        <v>18</v>
      </c>
      <c r="D23" s="7">
        <v>46006</v>
      </c>
      <c r="E23" s="11">
        <v>2025</v>
      </c>
      <c r="F23" s="10">
        <f t="shared" si="31"/>
        <v>4</v>
      </c>
      <c r="G23" s="6" t="s">
        <v>243</v>
      </c>
      <c r="H23" s="6" t="s">
        <v>189</v>
      </c>
      <c r="I23" s="6" t="s">
        <v>406</v>
      </c>
      <c r="J23" s="6" t="s">
        <v>405</v>
      </c>
      <c r="K23" s="21" t="s">
        <v>21</v>
      </c>
      <c r="L23" s="8">
        <v>4</v>
      </c>
      <c r="M23" s="8">
        <v>10</v>
      </c>
      <c r="N23" s="9">
        <f t="shared" si="32"/>
        <v>0.5</v>
      </c>
      <c r="O23" s="8">
        <f t="shared" si="33"/>
        <v>40</v>
      </c>
      <c r="P23" s="8">
        <f t="shared" si="34"/>
        <v>5</v>
      </c>
    </row>
    <row r="24" spans="1:16" ht="19.95" customHeight="1" x14ac:dyDescent="0.25">
      <c r="A24" s="5" t="s">
        <v>16</v>
      </c>
      <c r="B24" s="6" t="s">
        <v>17</v>
      </c>
      <c r="C24" s="6" t="s">
        <v>18</v>
      </c>
      <c r="D24" s="7">
        <v>46006</v>
      </c>
      <c r="E24" s="21">
        <f t="shared" ref="E24" si="35">+YEAR(D24)</f>
        <v>2025</v>
      </c>
      <c r="F24" s="10">
        <f t="shared" si="31"/>
        <v>4</v>
      </c>
      <c r="G24" s="5" t="s">
        <v>123</v>
      </c>
      <c r="H24" s="6" t="s">
        <v>189</v>
      </c>
      <c r="I24" s="6" t="s">
        <v>166</v>
      </c>
      <c r="J24" s="6" t="s">
        <v>264</v>
      </c>
      <c r="K24" s="11" t="s">
        <v>21</v>
      </c>
      <c r="L24" s="8">
        <v>4</v>
      </c>
      <c r="M24" s="8">
        <v>10</v>
      </c>
      <c r="N24" s="9">
        <f t="shared" si="32"/>
        <v>0.5</v>
      </c>
      <c r="O24" s="8">
        <f t="shared" si="33"/>
        <v>40</v>
      </c>
      <c r="P24" s="8">
        <f t="shared" si="34"/>
        <v>5</v>
      </c>
    </row>
    <row r="25" spans="1:16" ht="19.95" customHeight="1" x14ac:dyDescent="0.25">
      <c r="A25" s="5"/>
      <c r="B25" s="6"/>
      <c r="C25" s="6"/>
      <c r="D25" s="7"/>
      <c r="E25" s="11"/>
      <c r="F25" s="11"/>
      <c r="G25" s="6"/>
      <c r="H25" s="6"/>
      <c r="I25" s="6"/>
      <c r="J25" s="6"/>
      <c r="K25" s="11"/>
      <c r="L25" s="8"/>
      <c r="M25" s="8"/>
      <c r="N25" s="9"/>
      <c r="O25" s="8"/>
      <c r="P25" s="8"/>
    </row>
    <row r="26" spans="1:16" ht="19.95" customHeight="1" x14ac:dyDescent="0.25">
      <c r="A26" s="5"/>
      <c r="B26" s="6"/>
      <c r="C26" s="6"/>
      <c r="D26" s="7"/>
      <c r="E26" s="11"/>
      <c r="F26" s="11"/>
      <c r="G26" s="6"/>
      <c r="H26" s="6"/>
      <c r="I26" s="6"/>
      <c r="J26" s="6"/>
      <c r="K26" s="11"/>
      <c r="L26" s="8"/>
      <c r="M26" s="8"/>
      <c r="N26" s="9"/>
      <c r="O26" s="8"/>
      <c r="P26" s="8"/>
    </row>
    <row r="27" spans="1:16" ht="19.95" customHeight="1" x14ac:dyDescent="0.25">
      <c r="A27" s="5"/>
      <c r="B27" s="6"/>
      <c r="C27" s="6"/>
      <c r="D27" s="7"/>
      <c r="E27" s="11"/>
      <c r="F27" s="11"/>
      <c r="G27" s="6"/>
      <c r="H27" s="6"/>
      <c r="I27" s="6"/>
      <c r="J27" s="6"/>
      <c r="K27" s="11"/>
      <c r="L27" s="8"/>
      <c r="M27" s="8"/>
      <c r="N27" s="9"/>
      <c r="O27" s="8"/>
      <c r="P27" s="8"/>
    </row>
    <row r="28" spans="1:16" ht="19.95" customHeight="1" x14ac:dyDescent="0.25">
      <c r="A28" s="5"/>
      <c r="B28" s="6"/>
      <c r="C28" s="6"/>
      <c r="D28" s="7"/>
      <c r="E28" s="11"/>
      <c r="F28" s="11"/>
      <c r="G28" s="6"/>
      <c r="H28" s="6"/>
      <c r="I28" s="6"/>
      <c r="J28" s="6"/>
      <c r="K28" s="11"/>
      <c r="L28" s="8"/>
      <c r="M28" s="8"/>
      <c r="N28" s="9"/>
      <c r="O28" s="8"/>
      <c r="P28" s="8"/>
    </row>
    <row r="29" spans="1:16" ht="19.95" customHeight="1" x14ac:dyDescent="0.25">
      <c r="A29" s="5"/>
      <c r="B29" s="6"/>
      <c r="C29" s="6"/>
      <c r="D29" s="7"/>
      <c r="E29" s="11"/>
      <c r="F29" s="11"/>
      <c r="G29" s="6"/>
      <c r="H29" s="6"/>
      <c r="I29" s="6"/>
      <c r="J29" s="6"/>
      <c r="K29" s="11"/>
      <c r="L29" s="8"/>
      <c r="M29" s="8"/>
      <c r="N29" s="9"/>
      <c r="O29" s="8"/>
      <c r="P29" s="8"/>
    </row>
    <row r="30" spans="1:16" ht="19.95" customHeight="1" x14ac:dyDescent="0.25">
      <c r="A30" s="5"/>
      <c r="B30" s="6"/>
      <c r="C30" s="6"/>
      <c r="D30" s="7"/>
      <c r="E30" s="11"/>
      <c r="F30" s="11"/>
      <c r="G30" s="6"/>
      <c r="H30" s="6"/>
      <c r="I30" s="6"/>
      <c r="J30" s="6"/>
      <c r="K30" s="11"/>
      <c r="L30" s="8"/>
      <c r="M30" s="8"/>
      <c r="N30" s="9"/>
      <c r="O30" s="8"/>
      <c r="P30" s="8"/>
    </row>
    <row r="31" spans="1:16" ht="19.95" customHeight="1" x14ac:dyDescent="0.25">
      <c r="A31" s="5"/>
      <c r="B31" s="6"/>
      <c r="C31" s="6"/>
      <c r="D31" s="7"/>
      <c r="E31" s="11"/>
      <c r="F31" s="11"/>
      <c r="G31" s="6"/>
      <c r="H31" s="6"/>
      <c r="I31" s="6"/>
      <c r="J31" s="6"/>
      <c r="K31" s="11"/>
      <c r="L31" s="8"/>
      <c r="M31" s="8"/>
      <c r="N31" s="9"/>
      <c r="O31" s="8"/>
      <c r="P31" s="8"/>
    </row>
    <row r="32" spans="1:16" ht="19.95" customHeight="1" x14ac:dyDescent="0.25">
      <c r="A32" s="5"/>
      <c r="B32" s="6"/>
      <c r="C32" s="6"/>
      <c r="D32" s="7"/>
      <c r="E32" s="11"/>
      <c r="F32" s="11"/>
      <c r="G32" s="6"/>
      <c r="H32" s="6"/>
      <c r="I32" s="6"/>
      <c r="J32" s="6"/>
      <c r="K32" s="11"/>
      <c r="L32" s="8"/>
      <c r="M32" s="8"/>
      <c r="N32" s="9"/>
      <c r="O32" s="8"/>
      <c r="P32" s="8"/>
    </row>
    <row r="33" spans="1:16" ht="19.95" customHeight="1" x14ac:dyDescent="0.25">
      <c r="A33" s="5"/>
      <c r="B33" s="6"/>
      <c r="C33" s="6"/>
      <c r="D33" s="7"/>
      <c r="E33" s="11"/>
      <c r="F33" s="11"/>
      <c r="G33" s="6"/>
      <c r="H33" s="6"/>
      <c r="I33" s="6"/>
      <c r="J33" s="6"/>
      <c r="K33" s="11"/>
      <c r="L33" s="8"/>
      <c r="M33" s="8"/>
      <c r="N33" s="9"/>
      <c r="O33" s="8"/>
      <c r="P33" s="8"/>
    </row>
    <row r="34" spans="1:16" ht="19.95" customHeight="1" x14ac:dyDescent="0.25">
      <c r="A34" s="5"/>
      <c r="B34" s="6"/>
      <c r="C34" s="6"/>
      <c r="D34" s="7"/>
      <c r="E34" s="11"/>
      <c r="F34" s="11"/>
      <c r="G34" s="6"/>
      <c r="H34" s="6"/>
      <c r="I34" s="6"/>
      <c r="J34" s="6"/>
      <c r="K34" s="11"/>
      <c r="L34" s="8"/>
      <c r="M34" s="8"/>
      <c r="N34" s="9"/>
      <c r="O34" s="8"/>
      <c r="P34" s="8"/>
    </row>
    <row r="35" spans="1:16" ht="19.95" customHeight="1" x14ac:dyDescent="0.25">
      <c r="A35" s="5"/>
      <c r="B35" s="6"/>
      <c r="C35" s="6"/>
      <c r="D35" s="7"/>
      <c r="E35" s="11"/>
      <c r="F35" s="11"/>
      <c r="G35" s="6"/>
      <c r="H35" s="6"/>
      <c r="I35" s="6"/>
      <c r="J35" s="6"/>
      <c r="K35" s="11"/>
      <c r="L35" s="8"/>
      <c r="M35" s="8"/>
      <c r="N35" s="9"/>
      <c r="O35" s="8"/>
      <c r="P35" s="8"/>
    </row>
    <row r="36" spans="1:16" ht="19.95" customHeight="1" x14ac:dyDescent="0.25">
      <c r="A36" s="5"/>
      <c r="B36" s="6"/>
      <c r="C36" s="6"/>
      <c r="D36" s="7"/>
      <c r="E36" s="11"/>
      <c r="F36" s="11"/>
      <c r="G36" s="6"/>
      <c r="H36" s="6"/>
      <c r="I36" s="6"/>
      <c r="J36" s="6"/>
      <c r="K36" s="11"/>
      <c r="L36" s="8"/>
      <c r="M36" s="8"/>
      <c r="N36" s="9"/>
      <c r="O36" s="8"/>
      <c r="P36" s="8"/>
    </row>
    <row r="37" spans="1:16" ht="19.95" customHeight="1" x14ac:dyDescent="0.25">
      <c r="A37" s="5"/>
      <c r="B37" s="6"/>
      <c r="C37" s="6"/>
      <c r="D37" s="7"/>
      <c r="E37" s="11"/>
      <c r="F37" s="11"/>
      <c r="G37" s="6"/>
      <c r="H37" s="6"/>
      <c r="I37" s="6"/>
      <c r="J37" s="6"/>
      <c r="K37" s="11"/>
      <c r="L37" s="8"/>
      <c r="M37" s="8"/>
      <c r="N37" s="9"/>
      <c r="O37" s="8"/>
      <c r="P37" s="8"/>
    </row>
    <row r="38" spans="1:16" ht="19.95" customHeight="1" x14ac:dyDescent="0.25">
      <c r="A38" s="5"/>
      <c r="B38" s="6"/>
      <c r="C38" s="6"/>
      <c r="D38" s="7"/>
      <c r="E38" s="11"/>
      <c r="F38" s="11"/>
      <c r="G38" s="6"/>
      <c r="H38" s="6"/>
      <c r="I38" s="6"/>
      <c r="J38" s="6"/>
      <c r="K38" s="11"/>
      <c r="L38" s="8"/>
      <c r="M38" s="8"/>
      <c r="N38" s="9"/>
      <c r="O38" s="8"/>
      <c r="P38" s="8"/>
    </row>
    <row r="39" spans="1:16" ht="19.95" customHeight="1" x14ac:dyDescent="0.25">
      <c r="A39" s="5"/>
      <c r="B39" s="6"/>
      <c r="C39" s="6"/>
      <c r="D39" s="7"/>
      <c r="E39" s="11"/>
      <c r="F39" s="11"/>
      <c r="G39" s="6"/>
      <c r="H39" s="6"/>
      <c r="I39" s="6"/>
      <c r="J39" s="6"/>
      <c r="K39" s="11"/>
      <c r="L39" s="8"/>
      <c r="M39" s="8"/>
      <c r="N39" s="9"/>
      <c r="O39" s="8"/>
      <c r="P39" s="8"/>
    </row>
    <row r="40" spans="1:16" ht="19.95" customHeight="1" x14ac:dyDescent="0.25">
      <c r="A40" s="5"/>
      <c r="B40" s="6"/>
      <c r="C40" s="6"/>
      <c r="D40" s="7"/>
      <c r="E40" s="11"/>
      <c r="F40" s="11"/>
      <c r="G40" s="6"/>
      <c r="H40" s="6"/>
      <c r="I40" s="6"/>
      <c r="J40" s="6"/>
      <c r="K40" s="11"/>
      <c r="L40" s="8"/>
      <c r="M40" s="8"/>
      <c r="N40" s="9"/>
      <c r="O40" s="8"/>
      <c r="P40" s="8"/>
    </row>
    <row r="41" spans="1:16" ht="19.95" customHeight="1" x14ac:dyDescent="0.25">
      <c r="A41" s="5"/>
      <c r="B41" s="6"/>
      <c r="C41" s="6"/>
      <c r="D41" s="7"/>
      <c r="E41" s="11"/>
      <c r="F41" s="11"/>
      <c r="G41" s="6"/>
      <c r="H41" s="6"/>
      <c r="I41" s="6"/>
      <c r="J41" s="6"/>
      <c r="K41" s="11"/>
      <c r="L41" s="8"/>
      <c r="M41" s="8"/>
      <c r="N41" s="9"/>
      <c r="O41" s="8"/>
      <c r="P41" s="8"/>
    </row>
    <row r="42" spans="1:16" ht="19.95" customHeight="1" x14ac:dyDescent="0.25">
      <c r="A42" s="5"/>
      <c r="B42" s="6"/>
      <c r="C42" s="6"/>
      <c r="D42" s="7"/>
      <c r="E42" s="11"/>
      <c r="F42" s="11"/>
      <c r="G42" s="6"/>
      <c r="H42" s="6"/>
      <c r="I42" s="6"/>
      <c r="J42" s="6"/>
      <c r="K42" s="11"/>
      <c r="L42" s="8"/>
      <c r="M42" s="8"/>
      <c r="N42" s="9"/>
      <c r="O42" s="8"/>
      <c r="P42" s="8"/>
    </row>
    <row r="43" spans="1:16" ht="19.95" customHeight="1" x14ac:dyDescent="0.25">
      <c r="A43" s="5"/>
      <c r="B43" s="6"/>
      <c r="C43" s="6"/>
      <c r="D43" s="7"/>
      <c r="E43" s="11"/>
      <c r="F43" s="11"/>
      <c r="G43" s="6"/>
      <c r="H43" s="6"/>
      <c r="I43" s="6"/>
      <c r="J43" s="6"/>
      <c r="K43" s="11"/>
      <c r="L43" s="8"/>
      <c r="M43" s="8"/>
      <c r="N43" s="9"/>
      <c r="O43" s="8"/>
      <c r="P43" s="8"/>
    </row>
    <row r="44" spans="1:16" ht="19.95" customHeight="1" x14ac:dyDescent="0.25">
      <c r="A44" s="5"/>
      <c r="B44" s="6"/>
      <c r="C44" s="6"/>
      <c r="D44" s="7"/>
      <c r="E44" s="11"/>
      <c r="F44" s="11"/>
      <c r="G44" s="6"/>
      <c r="H44" s="6"/>
      <c r="I44" s="6"/>
      <c r="J44" s="6"/>
      <c r="K44" s="11"/>
      <c r="L44" s="8"/>
      <c r="M44" s="8"/>
      <c r="N44" s="9"/>
      <c r="O44" s="8"/>
      <c r="P44" s="8"/>
    </row>
    <row r="45" spans="1:16" ht="19.95" customHeight="1" x14ac:dyDescent="0.25">
      <c r="A45" s="5"/>
      <c r="B45" s="6"/>
      <c r="C45" s="6"/>
      <c r="D45" s="7"/>
      <c r="E45" s="11"/>
      <c r="F45" s="11"/>
      <c r="G45" s="6"/>
      <c r="H45" s="6"/>
      <c r="I45" s="6"/>
      <c r="J45" s="6"/>
      <c r="K45" s="11"/>
      <c r="L45" s="8"/>
      <c r="M45" s="8"/>
      <c r="N45" s="9"/>
      <c r="O45" s="8"/>
      <c r="P45" s="8"/>
    </row>
    <row r="46" spans="1:16" ht="19.95" customHeight="1" x14ac:dyDescent="0.25">
      <c r="A46" s="5"/>
      <c r="B46" s="6"/>
      <c r="C46" s="6"/>
      <c r="D46" s="7"/>
      <c r="E46" s="11"/>
      <c r="F46" s="11"/>
      <c r="G46" s="6"/>
      <c r="H46" s="6"/>
      <c r="I46" s="6"/>
      <c r="J46" s="6"/>
      <c r="K46" s="11"/>
      <c r="L46" s="8"/>
      <c r="M46" s="8"/>
      <c r="N46" s="9"/>
      <c r="O46" s="8"/>
      <c r="P46" s="8"/>
    </row>
    <row r="47" spans="1:16" ht="19.95" customHeight="1" x14ac:dyDescent="0.25">
      <c r="A47" s="5"/>
      <c r="B47" s="6"/>
      <c r="C47" s="6"/>
      <c r="D47" s="7"/>
      <c r="E47" s="11"/>
      <c r="F47" s="11"/>
      <c r="G47" s="6"/>
      <c r="H47" s="6"/>
      <c r="I47" s="6"/>
      <c r="J47" s="6"/>
      <c r="K47" s="11"/>
      <c r="L47" s="8"/>
      <c r="M47" s="8"/>
      <c r="N47" s="9"/>
      <c r="O47" s="8"/>
      <c r="P47" s="8"/>
    </row>
    <row r="48" spans="1:16" ht="19.95" customHeight="1" x14ac:dyDescent="0.25">
      <c r="A48" s="5"/>
      <c r="B48" s="6"/>
      <c r="C48" s="6"/>
      <c r="D48" s="7"/>
      <c r="E48" s="11"/>
      <c r="F48" s="11"/>
      <c r="G48" s="6"/>
      <c r="H48" s="6"/>
      <c r="I48" s="6"/>
      <c r="J48" s="6"/>
      <c r="K48" s="11"/>
      <c r="L48" s="8"/>
      <c r="M48" s="8"/>
      <c r="N48" s="9"/>
      <c r="O48" s="8"/>
      <c r="P48" s="8"/>
    </row>
    <row r="49" spans="1:16" ht="19.95" customHeight="1" x14ac:dyDescent="0.25">
      <c r="A49" s="5"/>
      <c r="B49" s="6"/>
      <c r="C49" s="6"/>
      <c r="D49" s="7"/>
      <c r="E49" s="11"/>
      <c r="F49" s="11"/>
      <c r="G49" s="6"/>
      <c r="H49" s="6"/>
      <c r="I49" s="6"/>
      <c r="J49" s="6"/>
      <c r="K49" s="11"/>
      <c r="L49" s="8"/>
      <c r="M49" s="8"/>
      <c r="N49" s="9"/>
      <c r="O49" s="8"/>
      <c r="P49" s="8"/>
    </row>
    <row r="50" spans="1:16" ht="19.95" customHeight="1" x14ac:dyDescent="0.25">
      <c r="A50" s="5"/>
      <c r="B50" s="6"/>
      <c r="C50" s="6"/>
      <c r="D50" s="7"/>
      <c r="E50" s="11"/>
      <c r="F50" s="11"/>
      <c r="G50" s="6"/>
      <c r="H50" s="6"/>
      <c r="I50" s="6"/>
      <c r="J50" s="6"/>
      <c r="K50" s="11"/>
      <c r="L50" s="8"/>
      <c r="M50" s="8"/>
      <c r="N50" s="9"/>
      <c r="O50" s="8"/>
      <c r="P50" s="8"/>
    </row>
    <row r="51" spans="1:16" ht="19.95" customHeight="1" x14ac:dyDescent="0.25">
      <c r="A51" s="5"/>
      <c r="B51" s="6"/>
      <c r="C51" s="6"/>
      <c r="D51" s="7"/>
      <c r="E51" s="11"/>
      <c r="F51" s="11"/>
      <c r="G51" s="6"/>
      <c r="H51" s="6"/>
      <c r="I51" s="6"/>
      <c r="J51" s="6"/>
      <c r="K51" s="11"/>
      <c r="L51" s="8"/>
      <c r="M51" s="8"/>
      <c r="N51" s="9"/>
      <c r="O51" s="8"/>
      <c r="P51" s="8"/>
    </row>
    <row r="52" spans="1:16" ht="19.95" customHeight="1" x14ac:dyDescent="0.25">
      <c r="A52" s="5"/>
      <c r="B52" s="6"/>
      <c r="C52" s="6"/>
      <c r="D52" s="7"/>
      <c r="E52" s="11"/>
      <c r="F52" s="11"/>
      <c r="G52" s="6"/>
      <c r="H52" s="6"/>
      <c r="I52" s="6"/>
      <c r="J52" s="6"/>
      <c r="K52" s="11"/>
      <c r="L52" s="8"/>
      <c r="M52" s="8"/>
      <c r="N52" s="9"/>
      <c r="O52" s="8"/>
      <c r="P52" s="8"/>
    </row>
    <row r="53" spans="1:16" ht="19.95" customHeight="1" x14ac:dyDescent="0.25">
      <c r="A53" s="5"/>
      <c r="B53" s="6"/>
      <c r="C53" s="6"/>
      <c r="D53" s="7"/>
      <c r="E53" s="11"/>
      <c r="F53" s="11"/>
      <c r="G53" s="6"/>
      <c r="H53" s="6"/>
      <c r="I53" s="6"/>
      <c r="J53" s="6"/>
      <c r="K53" s="11"/>
      <c r="L53" s="8"/>
      <c r="M53" s="8"/>
      <c r="N53" s="9"/>
      <c r="O53" s="8"/>
      <c r="P53" s="8"/>
    </row>
    <row r="54" spans="1:16" ht="19.95" customHeight="1" x14ac:dyDescent="0.25">
      <c r="A54" s="5"/>
      <c r="B54" s="6"/>
      <c r="C54" s="6"/>
      <c r="D54" s="7"/>
      <c r="E54" s="11"/>
      <c r="F54" s="11"/>
      <c r="G54" s="6"/>
      <c r="H54" s="6"/>
      <c r="I54" s="6"/>
      <c r="J54" s="6"/>
      <c r="K54" s="11"/>
      <c r="L54" s="8"/>
      <c r="M54" s="8"/>
      <c r="N54" s="9"/>
      <c r="O54" s="8"/>
      <c r="P54" s="8"/>
    </row>
    <row r="55" spans="1:16" ht="19.95" customHeight="1" x14ac:dyDescent="0.25">
      <c r="A55" s="5"/>
      <c r="B55" s="6"/>
      <c r="C55" s="6"/>
      <c r="D55" s="7"/>
      <c r="E55" s="11"/>
      <c r="F55" s="11"/>
      <c r="G55" s="6"/>
      <c r="H55" s="6"/>
      <c r="I55" s="6"/>
      <c r="J55" s="6"/>
      <c r="K55" s="11"/>
      <c r="L55" s="8"/>
      <c r="M55" s="8"/>
      <c r="N55" s="9"/>
      <c r="O55" s="8"/>
      <c r="P55" s="8"/>
    </row>
    <row r="56" spans="1:16" ht="19.95" customHeight="1" x14ac:dyDescent="0.25">
      <c r="A56" s="5"/>
      <c r="B56" s="6"/>
      <c r="C56" s="6"/>
      <c r="D56" s="7"/>
      <c r="E56" s="11"/>
      <c r="F56" s="11"/>
      <c r="G56" s="6"/>
      <c r="H56" s="6"/>
      <c r="I56" s="6"/>
      <c r="J56" s="6"/>
      <c r="K56" s="11"/>
      <c r="L56" s="8"/>
      <c r="M56" s="8"/>
      <c r="N56" s="9"/>
      <c r="O56" s="8"/>
      <c r="P56" s="8"/>
    </row>
    <row r="57" spans="1:16" ht="19.95" customHeight="1" x14ac:dyDescent="0.25">
      <c r="A57" s="5"/>
      <c r="B57" s="6"/>
      <c r="C57" s="6"/>
      <c r="D57" s="7"/>
      <c r="E57" s="11"/>
      <c r="F57" s="11"/>
      <c r="G57" s="6"/>
      <c r="H57" s="6"/>
      <c r="I57" s="6"/>
      <c r="J57" s="6"/>
      <c r="K57" s="11"/>
      <c r="L57" s="8"/>
      <c r="M57" s="8"/>
      <c r="N57" s="9"/>
      <c r="O57" s="8"/>
      <c r="P57" s="8"/>
    </row>
    <row r="58" spans="1:16" ht="19.95" customHeight="1" x14ac:dyDescent="0.25">
      <c r="A58" s="5"/>
      <c r="B58" s="6"/>
      <c r="C58" s="6"/>
      <c r="D58" s="7"/>
      <c r="E58" s="11"/>
      <c r="F58" s="11"/>
      <c r="G58" s="6"/>
      <c r="H58" s="6"/>
      <c r="I58" s="6"/>
      <c r="J58" s="6"/>
      <c r="K58" s="11"/>
      <c r="L58" s="8"/>
      <c r="M58" s="8"/>
      <c r="N58" s="9"/>
      <c r="O58" s="8"/>
      <c r="P58" s="8"/>
    </row>
    <row r="59" spans="1:16" ht="19.95" customHeight="1" x14ac:dyDescent="0.25">
      <c r="A59" s="5"/>
      <c r="B59" s="6"/>
      <c r="C59" s="6"/>
      <c r="D59" s="7"/>
      <c r="E59" s="11"/>
      <c r="F59" s="11"/>
      <c r="G59" s="6"/>
      <c r="H59" s="6"/>
      <c r="I59" s="6"/>
      <c r="J59" s="6"/>
      <c r="K59" s="11"/>
      <c r="L59" s="8"/>
      <c r="M59" s="8"/>
      <c r="N59" s="9"/>
      <c r="O59" s="8"/>
      <c r="P59" s="8"/>
    </row>
    <row r="60" spans="1:16" ht="19.95" customHeight="1" x14ac:dyDescent="0.25">
      <c r="A60" s="5"/>
      <c r="B60" s="6"/>
      <c r="C60" s="6"/>
      <c r="D60" s="7"/>
      <c r="E60" s="11"/>
      <c r="F60" s="11"/>
      <c r="G60" s="6"/>
      <c r="H60" s="6"/>
      <c r="I60" s="6"/>
      <c r="J60" s="6"/>
      <c r="K60" s="11"/>
      <c r="L60" s="8"/>
      <c r="M60" s="8"/>
      <c r="N60" s="9"/>
      <c r="O60" s="8"/>
      <c r="P60" s="8"/>
    </row>
    <row r="61" spans="1:16" ht="19.95" customHeight="1" x14ac:dyDescent="0.25">
      <c r="A61" s="5"/>
      <c r="B61" s="6"/>
      <c r="C61" s="6"/>
      <c r="D61" s="7"/>
      <c r="E61" s="11"/>
      <c r="F61" s="11"/>
      <c r="G61" s="6"/>
      <c r="H61" s="6"/>
      <c r="I61" s="6"/>
      <c r="J61" s="6"/>
      <c r="K61" s="11"/>
      <c r="L61" s="8"/>
      <c r="M61" s="8"/>
      <c r="N61" s="9"/>
      <c r="O61" s="8"/>
      <c r="P61" s="8"/>
    </row>
    <row r="62" spans="1:16" ht="19.95" customHeight="1" x14ac:dyDescent="0.25">
      <c r="A62" s="5"/>
      <c r="B62" s="6"/>
      <c r="C62" s="6"/>
      <c r="D62" s="7"/>
      <c r="E62" s="11"/>
      <c r="F62" s="11"/>
      <c r="G62" s="6"/>
      <c r="H62" s="6"/>
      <c r="I62" s="6"/>
      <c r="J62" s="6"/>
      <c r="K62" s="11"/>
      <c r="L62" s="8"/>
      <c r="M62" s="8"/>
      <c r="N62" s="9"/>
      <c r="O62" s="8"/>
      <c r="P62" s="8"/>
    </row>
    <row r="63" spans="1:16" ht="19.95" customHeight="1" x14ac:dyDescent="0.25">
      <c r="A63" s="5"/>
      <c r="B63" s="6"/>
      <c r="C63" s="6"/>
      <c r="D63" s="7"/>
      <c r="E63" s="11"/>
      <c r="F63" s="11"/>
      <c r="G63" s="6"/>
      <c r="H63" s="6"/>
      <c r="I63" s="6"/>
      <c r="J63" s="6"/>
      <c r="K63" s="11"/>
      <c r="L63" s="8"/>
      <c r="M63" s="8"/>
      <c r="N63" s="9"/>
      <c r="O63" s="8"/>
      <c r="P63" s="8"/>
    </row>
    <row r="64" spans="1:16" ht="19.95" customHeight="1" x14ac:dyDescent="0.25">
      <c r="A64" s="5"/>
      <c r="B64" s="6"/>
      <c r="C64" s="6"/>
      <c r="D64" s="7"/>
      <c r="E64" s="11"/>
      <c r="F64" s="11"/>
      <c r="G64" s="6"/>
      <c r="H64" s="6"/>
      <c r="I64" s="6"/>
      <c r="J64" s="6"/>
      <c r="K64" s="11"/>
      <c r="L64" s="8"/>
      <c r="M64" s="8"/>
      <c r="N64" s="9"/>
      <c r="O64" s="8"/>
      <c r="P64" s="8"/>
    </row>
    <row r="65" spans="1:16" ht="19.95" customHeight="1" x14ac:dyDescent="0.25">
      <c r="A65" s="5"/>
      <c r="B65" s="6"/>
      <c r="C65" s="6"/>
      <c r="D65" s="7"/>
      <c r="E65" s="11"/>
      <c r="F65" s="11"/>
      <c r="G65" s="6"/>
      <c r="H65" s="6"/>
      <c r="I65" s="6"/>
      <c r="J65" s="6"/>
      <c r="K65" s="11"/>
      <c r="L65" s="8"/>
      <c r="M65" s="8"/>
      <c r="N65" s="9"/>
      <c r="O65" s="8"/>
      <c r="P65" s="8"/>
    </row>
    <row r="66" spans="1:16" ht="19.95" customHeight="1" x14ac:dyDescent="0.25">
      <c r="A66" s="5"/>
      <c r="B66" s="6"/>
      <c r="C66" s="6"/>
      <c r="D66" s="7"/>
      <c r="E66" s="11"/>
      <c r="F66" s="11"/>
      <c r="G66" s="6"/>
      <c r="H66" s="6"/>
      <c r="I66" s="6"/>
      <c r="J66" s="6"/>
      <c r="K66" s="11"/>
      <c r="L66" s="8"/>
      <c r="M66" s="8"/>
      <c r="N66" s="9"/>
      <c r="O66" s="8"/>
      <c r="P66" s="8"/>
    </row>
    <row r="67" spans="1:16" ht="19.95" customHeight="1" x14ac:dyDescent="0.25">
      <c r="A67" s="5"/>
      <c r="B67" s="6"/>
      <c r="C67" s="6"/>
      <c r="D67" s="7"/>
      <c r="E67" s="11"/>
      <c r="F67" s="11"/>
      <c r="G67" s="6"/>
      <c r="H67" s="6"/>
      <c r="I67" s="6"/>
      <c r="J67" s="6"/>
      <c r="K67" s="11"/>
      <c r="L67" s="8"/>
      <c r="M67" s="8"/>
      <c r="N67" s="9"/>
      <c r="O67" s="8"/>
      <c r="P67" s="8"/>
    </row>
    <row r="68" spans="1:16" ht="19.95" customHeight="1" x14ac:dyDescent="0.25">
      <c r="A68" s="5"/>
      <c r="B68" s="6"/>
      <c r="C68" s="6"/>
      <c r="D68" s="7"/>
      <c r="E68" s="11"/>
      <c r="F68" s="11"/>
      <c r="G68" s="6"/>
      <c r="H68" s="6"/>
      <c r="I68" s="6"/>
      <c r="J68" s="6"/>
      <c r="K68" s="11"/>
      <c r="L68" s="8"/>
      <c r="M68" s="8"/>
      <c r="N68" s="9"/>
      <c r="O68" s="8"/>
      <c r="P68" s="8"/>
    </row>
    <row r="69" spans="1:16" ht="19.95" customHeight="1" x14ac:dyDescent="0.25">
      <c r="A69" s="5"/>
      <c r="B69" s="6"/>
      <c r="C69" s="6"/>
      <c r="D69" s="7"/>
      <c r="E69" s="11"/>
      <c r="F69" s="11"/>
      <c r="G69" s="6"/>
      <c r="H69" s="6"/>
      <c r="I69" s="6"/>
      <c r="J69" s="6"/>
      <c r="K69" s="11"/>
      <c r="L69" s="8"/>
      <c r="M69" s="8"/>
      <c r="N69" s="9"/>
      <c r="O69" s="8"/>
      <c r="P69" s="8"/>
    </row>
    <row r="70" spans="1:16" ht="19.95" customHeight="1" x14ac:dyDescent="0.25">
      <c r="A70" s="5"/>
      <c r="B70" s="6"/>
      <c r="C70" s="6"/>
      <c r="D70" s="7"/>
      <c r="E70" s="11"/>
      <c r="F70" s="11"/>
      <c r="G70" s="6"/>
      <c r="H70" s="6"/>
      <c r="I70" s="6"/>
      <c r="J70" s="6"/>
      <c r="K70" s="11"/>
      <c r="L70" s="8"/>
      <c r="M70" s="8"/>
      <c r="N70" s="9"/>
      <c r="O70" s="8"/>
      <c r="P70" s="8"/>
    </row>
    <row r="71" spans="1:16" ht="19.95" customHeight="1" x14ac:dyDescent="0.25">
      <c r="A71" s="5"/>
      <c r="B71" s="6"/>
      <c r="C71" s="6"/>
      <c r="D71" s="7"/>
      <c r="E71" s="11"/>
      <c r="F71" s="11"/>
      <c r="G71" s="6"/>
      <c r="H71" s="6"/>
      <c r="I71" s="6"/>
      <c r="J71" s="6"/>
      <c r="K71" s="11"/>
      <c r="L71" s="8"/>
      <c r="M71" s="8"/>
      <c r="N71" s="9"/>
      <c r="O71" s="8"/>
      <c r="P71" s="8"/>
    </row>
    <row r="72" spans="1:16" ht="19.95" customHeight="1" x14ac:dyDescent="0.25">
      <c r="A72" s="5"/>
      <c r="B72" s="6"/>
      <c r="C72" s="6"/>
      <c r="D72" s="7"/>
      <c r="E72" s="11"/>
      <c r="F72" s="11"/>
      <c r="G72" s="6"/>
      <c r="H72" s="6"/>
      <c r="I72" s="6"/>
      <c r="J72" s="6"/>
      <c r="K72" s="11"/>
      <c r="L72" s="8"/>
      <c r="M72" s="8"/>
      <c r="N72" s="9"/>
      <c r="O72" s="8"/>
      <c r="P72" s="8"/>
    </row>
    <row r="73" spans="1:16" ht="19.95" customHeight="1" x14ac:dyDescent="0.25">
      <c r="A73" s="5"/>
      <c r="B73" s="6"/>
      <c r="C73" s="6"/>
      <c r="D73" s="7"/>
      <c r="E73" s="11"/>
      <c r="F73" s="11"/>
      <c r="G73" s="6"/>
      <c r="H73" s="6"/>
      <c r="I73" s="6"/>
      <c r="J73" s="6"/>
      <c r="K73" s="11"/>
      <c r="L73" s="8"/>
      <c r="M73" s="8"/>
      <c r="N73" s="9"/>
      <c r="O73" s="8"/>
      <c r="P73" s="8"/>
    </row>
    <row r="74" spans="1:16" ht="19.95" customHeight="1" x14ac:dyDescent="0.25">
      <c r="A74" s="5"/>
      <c r="B74" s="6"/>
      <c r="C74" s="6"/>
      <c r="D74" s="7"/>
      <c r="E74" s="11"/>
      <c r="F74" s="11"/>
      <c r="G74" s="6"/>
      <c r="H74" s="6"/>
      <c r="I74" s="6"/>
      <c r="J74" s="6"/>
      <c r="K74" s="11"/>
      <c r="L74" s="8"/>
      <c r="M74" s="8"/>
      <c r="N74" s="9"/>
      <c r="O74" s="8"/>
      <c r="P74" s="8"/>
    </row>
    <row r="75" spans="1:16" ht="19.95" customHeight="1" x14ac:dyDescent="0.25">
      <c r="A75" s="5"/>
      <c r="B75" s="6"/>
      <c r="C75" s="6"/>
      <c r="D75" s="7"/>
      <c r="E75" s="11"/>
      <c r="F75" s="11"/>
      <c r="G75" s="6"/>
      <c r="H75" s="6"/>
      <c r="I75" s="6"/>
      <c r="J75" s="6"/>
      <c r="K75" s="11"/>
      <c r="L75" s="8"/>
      <c r="M75" s="8"/>
      <c r="N75" s="9"/>
      <c r="O75" s="8"/>
      <c r="P75" s="8"/>
    </row>
    <row r="76" spans="1:16" ht="19.95" customHeight="1" x14ac:dyDescent="0.25">
      <c r="A76" s="5"/>
      <c r="B76" s="6"/>
      <c r="C76" s="6"/>
      <c r="D76" s="7"/>
      <c r="E76" s="11"/>
      <c r="F76" s="11"/>
      <c r="G76" s="6"/>
      <c r="H76" s="6"/>
      <c r="I76" s="6"/>
      <c r="J76" s="6"/>
      <c r="K76" s="11"/>
      <c r="L76" s="8"/>
      <c r="M76" s="8"/>
      <c r="N76" s="9"/>
      <c r="O76" s="8"/>
      <c r="P76" s="8"/>
    </row>
    <row r="77" spans="1:16" ht="19.95" customHeight="1" x14ac:dyDescent="0.25">
      <c r="A77" s="5"/>
      <c r="B77" s="6"/>
      <c r="C77" s="6"/>
      <c r="D77" s="7"/>
      <c r="E77" s="11"/>
      <c r="F77" s="11"/>
      <c r="G77" s="6"/>
      <c r="H77" s="6"/>
      <c r="I77" s="6"/>
      <c r="J77" s="6"/>
      <c r="K77" s="11"/>
      <c r="L77" s="8"/>
      <c r="M77" s="8"/>
      <c r="N77" s="9"/>
      <c r="O77" s="8"/>
      <c r="P77" s="8"/>
    </row>
    <row r="78" spans="1:16" ht="19.95" customHeight="1" x14ac:dyDescent="0.25">
      <c r="A78" s="5"/>
      <c r="B78" s="6"/>
      <c r="C78" s="6"/>
      <c r="D78" s="7"/>
      <c r="E78" s="11"/>
      <c r="F78" s="11"/>
      <c r="G78" s="6"/>
      <c r="H78" s="6"/>
      <c r="I78" s="6"/>
      <c r="J78" s="6"/>
      <c r="K78" s="11"/>
      <c r="L78" s="8"/>
      <c r="M78" s="8"/>
      <c r="N78" s="9"/>
      <c r="O78" s="8"/>
      <c r="P78" s="8"/>
    </row>
    <row r="79" spans="1:16" ht="19.95" customHeight="1" x14ac:dyDescent="0.25">
      <c r="A79" s="5"/>
      <c r="B79" s="6"/>
      <c r="C79" s="6"/>
      <c r="D79" s="7"/>
      <c r="E79" s="11"/>
      <c r="F79" s="11"/>
      <c r="G79" s="6"/>
      <c r="H79" s="6"/>
      <c r="I79" s="6"/>
      <c r="J79" s="6"/>
      <c r="K79" s="11"/>
      <c r="L79" s="8"/>
      <c r="M79" s="8"/>
      <c r="N79" s="9"/>
      <c r="O79" s="8"/>
      <c r="P79" s="8"/>
    </row>
    <row r="80" spans="1:16" ht="19.95" customHeight="1" x14ac:dyDescent="0.25">
      <c r="A80" s="5"/>
      <c r="B80" s="6"/>
      <c r="C80" s="6"/>
      <c r="D80" s="7"/>
      <c r="E80" s="11"/>
      <c r="F80" s="11"/>
      <c r="G80" s="6"/>
      <c r="H80" s="6"/>
      <c r="I80" s="6"/>
      <c r="J80" s="6"/>
      <c r="K80" s="11"/>
      <c r="L80" s="8"/>
      <c r="M80" s="8"/>
      <c r="N80" s="9"/>
      <c r="O80" s="8"/>
      <c r="P80" s="8"/>
    </row>
    <row r="81" spans="1:16" ht="19.95" customHeight="1" x14ac:dyDescent="0.25">
      <c r="A81" s="5"/>
      <c r="B81" s="6"/>
      <c r="C81" s="6"/>
      <c r="D81" s="7"/>
      <c r="E81" s="11"/>
      <c r="F81" s="11"/>
      <c r="G81" s="6"/>
      <c r="H81" s="6"/>
      <c r="I81" s="6"/>
      <c r="J81" s="6"/>
      <c r="K81" s="11"/>
      <c r="L81" s="8"/>
      <c r="M81" s="8"/>
      <c r="N81" s="9"/>
      <c r="O81" s="8"/>
      <c r="P81" s="8"/>
    </row>
    <row r="82" spans="1:16" ht="19.95" customHeight="1" x14ac:dyDescent="0.25">
      <c r="A82" s="5"/>
      <c r="B82" s="6"/>
      <c r="C82" s="6"/>
      <c r="D82" s="7"/>
      <c r="E82" s="11"/>
      <c r="F82" s="11"/>
      <c r="G82" s="6"/>
      <c r="H82" s="6"/>
      <c r="I82" s="6"/>
      <c r="J82" s="6"/>
      <c r="K82" s="11"/>
      <c r="L82" s="8"/>
      <c r="M82" s="8"/>
      <c r="N82" s="9"/>
      <c r="O82" s="8"/>
      <c r="P82" s="8"/>
    </row>
    <row r="83" spans="1:16" ht="19.95" customHeight="1" x14ac:dyDescent="0.25">
      <c r="A83" s="5"/>
      <c r="B83" s="6"/>
      <c r="C83" s="6"/>
      <c r="D83" s="7"/>
      <c r="E83" s="11"/>
      <c r="F83" s="11"/>
      <c r="G83" s="6"/>
      <c r="H83" s="6"/>
      <c r="I83" s="6"/>
      <c r="J83" s="6"/>
      <c r="K83" s="11"/>
      <c r="L83" s="8"/>
      <c r="M83" s="8"/>
      <c r="N83" s="9"/>
      <c r="O83" s="8"/>
      <c r="P83" s="8"/>
    </row>
    <row r="84" spans="1:16" ht="19.95" customHeight="1" x14ac:dyDescent="0.25">
      <c r="A84" s="5"/>
      <c r="B84" s="6"/>
      <c r="C84" s="6"/>
      <c r="D84" s="7"/>
      <c r="E84" s="11"/>
      <c r="F84" s="11"/>
      <c r="G84" s="6"/>
      <c r="H84" s="6"/>
      <c r="I84" s="6"/>
      <c r="J84" s="6"/>
      <c r="K84" s="11"/>
      <c r="L84" s="8"/>
      <c r="M84" s="8"/>
      <c r="N84" s="9"/>
      <c r="O84" s="8"/>
      <c r="P84" s="8"/>
    </row>
    <row r="85" spans="1:16" ht="19.95" customHeight="1" x14ac:dyDescent="0.25">
      <c r="A85" s="5"/>
      <c r="B85" s="6"/>
      <c r="C85" s="6"/>
      <c r="D85" s="7"/>
      <c r="E85" s="11"/>
      <c r="F85" s="11"/>
      <c r="G85" s="6"/>
      <c r="H85" s="6"/>
      <c r="I85" s="6"/>
      <c r="J85" s="6"/>
      <c r="K85" s="11"/>
      <c r="L85" s="8"/>
      <c r="M85" s="8"/>
      <c r="N85" s="9"/>
      <c r="O85" s="8"/>
      <c r="P85" s="8"/>
    </row>
    <row r="86" spans="1:16" ht="19.95" customHeight="1" x14ac:dyDescent="0.25">
      <c r="A86" s="5"/>
      <c r="B86" s="6"/>
      <c r="C86" s="6"/>
      <c r="D86" s="7"/>
      <c r="E86" s="11"/>
      <c r="F86" s="11"/>
      <c r="G86" s="6"/>
      <c r="H86" s="6"/>
      <c r="I86" s="6"/>
      <c r="J86" s="6"/>
      <c r="K86" s="11"/>
      <c r="L86" s="8"/>
      <c r="M86" s="8"/>
      <c r="N86" s="9"/>
      <c r="O86" s="8"/>
      <c r="P86" s="8"/>
    </row>
    <row r="87" spans="1:16" ht="19.95" customHeight="1" x14ac:dyDescent="0.25">
      <c r="A87" s="5"/>
      <c r="B87" s="6"/>
      <c r="C87" s="6"/>
      <c r="D87" s="7"/>
      <c r="E87" s="11"/>
      <c r="F87" s="11"/>
      <c r="G87" s="6"/>
      <c r="H87" s="6"/>
      <c r="I87" s="6"/>
      <c r="J87" s="6"/>
      <c r="K87" s="11"/>
      <c r="L87" s="8"/>
      <c r="M87" s="8"/>
      <c r="N87" s="9"/>
      <c r="O87" s="8"/>
      <c r="P87" s="8"/>
    </row>
    <row r="88" spans="1:16" ht="19.95" customHeight="1" x14ac:dyDescent="0.25">
      <c r="A88" s="5"/>
      <c r="B88" s="6"/>
      <c r="C88" s="6"/>
      <c r="D88" s="7"/>
      <c r="E88" s="11"/>
      <c r="F88" s="11"/>
      <c r="G88" s="6"/>
      <c r="H88" s="6"/>
      <c r="I88" s="6"/>
      <c r="J88" s="6"/>
      <c r="K88" s="11"/>
      <c r="L88" s="8"/>
      <c r="M88" s="8"/>
      <c r="N88" s="9"/>
      <c r="O88" s="8"/>
      <c r="P88" s="8"/>
    </row>
    <row r="89" spans="1:16" ht="19.95" customHeight="1" x14ac:dyDescent="0.25">
      <c r="A89" s="5"/>
      <c r="B89" s="6"/>
      <c r="C89" s="6"/>
      <c r="D89" s="7"/>
      <c r="E89" s="11"/>
      <c r="F89" s="11"/>
      <c r="G89" s="6"/>
      <c r="H89" s="6"/>
      <c r="I89" s="6"/>
      <c r="J89" s="6"/>
      <c r="K89" s="11"/>
      <c r="L89" s="8"/>
      <c r="M89" s="8"/>
      <c r="N89" s="9"/>
      <c r="O89" s="8"/>
      <c r="P89" s="8"/>
    </row>
    <row r="90" spans="1:16" ht="19.95" customHeight="1" x14ac:dyDescent="0.25">
      <c r="A90" s="5"/>
      <c r="B90" s="6"/>
      <c r="C90" s="6"/>
      <c r="D90" s="7"/>
      <c r="E90" s="11"/>
      <c r="F90" s="11"/>
      <c r="G90" s="6"/>
      <c r="H90" s="6"/>
      <c r="I90" s="6"/>
      <c r="J90" s="6"/>
      <c r="K90" s="11"/>
      <c r="L90" s="8"/>
      <c r="M90" s="8"/>
      <c r="N90" s="9"/>
      <c r="O90" s="8"/>
      <c r="P90" s="8"/>
    </row>
    <row r="91" spans="1:16" ht="19.95" customHeight="1" x14ac:dyDescent="0.25">
      <c r="A91" s="5"/>
      <c r="B91" s="6"/>
      <c r="C91" s="6"/>
      <c r="D91" s="7"/>
      <c r="E91" s="11"/>
      <c r="F91" s="11"/>
      <c r="G91" s="6"/>
      <c r="H91" s="6"/>
      <c r="I91" s="6"/>
      <c r="J91" s="6"/>
      <c r="K91" s="11"/>
      <c r="L91" s="8"/>
      <c r="M91" s="8"/>
      <c r="N91" s="9"/>
      <c r="O91" s="8"/>
      <c r="P91" s="8"/>
    </row>
    <row r="92" spans="1:16" ht="19.95" customHeight="1" x14ac:dyDescent="0.25">
      <c r="A92" s="5"/>
      <c r="B92" s="6"/>
      <c r="C92" s="6"/>
      <c r="D92" s="7"/>
      <c r="E92" s="11"/>
      <c r="F92" s="11"/>
      <c r="G92" s="6"/>
      <c r="H92" s="6"/>
      <c r="I92" s="6"/>
      <c r="J92" s="6"/>
      <c r="K92" s="11"/>
      <c r="L92" s="8"/>
      <c r="M92" s="8"/>
      <c r="N92" s="9"/>
      <c r="O92" s="8"/>
      <c r="P92" s="8"/>
    </row>
    <row r="93" spans="1:16" ht="19.95" customHeight="1" x14ac:dyDescent="0.25">
      <c r="A93" s="5"/>
      <c r="B93" s="6"/>
      <c r="C93" s="6"/>
      <c r="D93" s="7"/>
      <c r="E93" s="11"/>
      <c r="F93" s="11"/>
      <c r="G93" s="6"/>
      <c r="H93" s="6"/>
      <c r="I93" s="6"/>
      <c r="J93" s="6"/>
      <c r="K93" s="11"/>
      <c r="L93" s="8"/>
      <c r="M93" s="8"/>
      <c r="N93" s="9"/>
      <c r="O93" s="8"/>
      <c r="P93" s="8"/>
    </row>
    <row r="94" spans="1:16" ht="19.95" customHeight="1" x14ac:dyDescent="0.25">
      <c r="A94" s="5"/>
      <c r="B94" s="6"/>
      <c r="C94" s="6"/>
      <c r="D94" s="7"/>
      <c r="E94" s="11"/>
      <c r="F94" s="11"/>
      <c r="G94" s="6"/>
      <c r="H94" s="6"/>
      <c r="I94" s="6"/>
      <c r="J94" s="6"/>
      <c r="K94" s="11"/>
      <c r="L94" s="8"/>
      <c r="M94" s="8"/>
      <c r="N94" s="9"/>
      <c r="O94" s="8"/>
      <c r="P94" s="8"/>
    </row>
    <row r="95" spans="1:16" ht="19.95" customHeight="1" x14ac:dyDescent="0.25">
      <c r="A95" s="5"/>
      <c r="B95" s="6"/>
      <c r="C95" s="6"/>
      <c r="D95" s="7"/>
      <c r="E95" s="11"/>
      <c r="F95" s="11"/>
      <c r="G95" s="6"/>
      <c r="H95" s="6"/>
      <c r="I95" s="6"/>
      <c r="J95" s="6"/>
      <c r="K95" s="11"/>
      <c r="L95" s="8"/>
      <c r="M95" s="8"/>
      <c r="N95" s="9"/>
      <c r="O95" s="8"/>
      <c r="P95" s="8"/>
    </row>
    <row r="96" spans="1:16" ht="19.95" customHeight="1" x14ac:dyDescent="0.25">
      <c r="A96" s="5"/>
      <c r="B96" s="6"/>
      <c r="C96" s="6"/>
      <c r="D96" s="7"/>
      <c r="E96" s="11"/>
      <c r="F96" s="11"/>
      <c r="G96" s="6"/>
      <c r="H96" s="6"/>
      <c r="I96" s="6"/>
      <c r="J96" s="6"/>
      <c r="K96" s="11"/>
      <c r="L96" s="8"/>
      <c r="M96" s="8"/>
      <c r="N96" s="9"/>
      <c r="O96" s="8"/>
      <c r="P96" s="8"/>
    </row>
    <row r="97" spans="1:16" ht="19.95" customHeight="1" x14ac:dyDescent="0.25">
      <c r="A97" s="5"/>
      <c r="B97" s="6"/>
      <c r="C97" s="6"/>
      <c r="D97" s="7"/>
      <c r="E97" s="11"/>
      <c r="F97" s="11"/>
      <c r="G97" s="6"/>
      <c r="H97" s="6"/>
      <c r="I97" s="6"/>
      <c r="J97" s="6"/>
      <c r="K97" s="11"/>
      <c r="L97" s="8"/>
      <c r="M97" s="8"/>
      <c r="N97" s="9"/>
      <c r="O97" s="8"/>
      <c r="P97" s="8"/>
    </row>
    <row r="98" spans="1:16" ht="19.95" customHeight="1" x14ac:dyDescent="0.25">
      <c r="A98" s="5"/>
      <c r="B98" s="6"/>
      <c r="C98" s="6"/>
      <c r="D98" s="7"/>
      <c r="E98" s="11"/>
      <c r="F98" s="11"/>
      <c r="G98" s="6"/>
      <c r="H98" s="6"/>
      <c r="I98" s="6"/>
      <c r="J98" s="6"/>
      <c r="K98" s="11"/>
      <c r="L98" s="8"/>
      <c r="M98" s="8"/>
      <c r="N98" s="9"/>
      <c r="O98" s="8"/>
      <c r="P98" s="8"/>
    </row>
    <row r="99" spans="1:16" ht="19.95" customHeight="1" x14ac:dyDescent="0.25">
      <c r="A99" s="5"/>
      <c r="B99" s="6"/>
      <c r="C99" s="6"/>
      <c r="D99" s="7"/>
      <c r="E99" s="11"/>
      <c r="F99" s="11"/>
      <c r="G99" s="6"/>
      <c r="H99" s="6"/>
      <c r="I99" s="6"/>
      <c r="J99" s="6"/>
      <c r="K99" s="11"/>
      <c r="L99" s="8"/>
      <c r="M99" s="8"/>
      <c r="N99" s="9"/>
      <c r="O99" s="8"/>
      <c r="P99" s="8"/>
    </row>
    <row r="100" spans="1:16" ht="19.95" customHeight="1" x14ac:dyDescent="0.25">
      <c r="A100" s="5"/>
      <c r="B100" s="6"/>
      <c r="C100" s="6"/>
      <c r="D100" s="7"/>
      <c r="E100" s="11"/>
      <c r="F100" s="11"/>
      <c r="G100" s="6"/>
      <c r="H100" s="6"/>
      <c r="I100" s="6"/>
      <c r="J100" s="6"/>
      <c r="K100" s="11"/>
      <c r="L100" s="8"/>
      <c r="M100" s="8"/>
      <c r="N100" s="9"/>
      <c r="O100" s="8"/>
      <c r="P100" s="8"/>
    </row>
    <row r="101" spans="1:16" ht="19.95" customHeight="1" x14ac:dyDescent="0.25">
      <c r="A101" s="5"/>
      <c r="B101" s="6"/>
      <c r="C101" s="6"/>
      <c r="D101" s="7"/>
      <c r="E101" s="11"/>
      <c r="F101" s="11"/>
      <c r="G101" s="6"/>
      <c r="H101" s="6"/>
      <c r="I101" s="6"/>
      <c r="J101" s="6"/>
      <c r="K101" s="11"/>
      <c r="L101" s="8"/>
      <c r="M101" s="8"/>
      <c r="N101" s="9"/>
      <c r="O101" s="8"/>
      <c r="P101" s="8"/>
    </row>
    <row r="102" spans="1:16" ht="19.95" customHeight="1" x14ac:dyDescent="0.25">
      <c r="A102" s="5"/>
      <c r="B102" s="6"/>
      <c r="C102" s="6"/>
      <c r="D102" s="7"/>
      <c r="E102" s="11"/>
      <c r="F102" s="11"/>
      <c r="G102" s="6"/>
      <c r="H102" s="6"/>
      <c r="I102" s="6"/>
      <c r="J102" s="6"/>
      <c r="K102" s="11"/>
      <c r="L102" s="8"/>
      <c r="M102" s="8"/>
      <c r="N102" s="9"/>
      <c r="O102" s="8"/>
      <c r="P102" s="8"/>
    </row>
    <row r="103" spans="1:16" ht="19.95" customHeight="1" x14ac:dyDescent="0.25">
      <c r="A103" s="5"/>
      <c r="B103" s="6"/>
      <c r="C103" s="6"/>
      <c r="D103" s="7"/>
      <c r="E103" s="11"/>
      <c r="F103" s="11"/>
      <c r="G103" s="6"/>
      <c r="H103" s="6"/>
      <c r="I103" s="6"/>
      <c r="J103" s="6"/>
      <c r="K103" s="11"/>
      <c r="L103" s="8"/>
      <c r="M103" s="8"/>
      <c r="N103" s="9"/>
      <c r="O103" s="8"/>
      <c r="P103" s="8"/>
    </row>
    <row r="104" spans="1:16" ht="19.95" customHeight="1" x14ac:dyDescent="0.25">
      <c r="A104" s="5"/>
      <c r="B104" s="6"/>
      <c r="C104" s="6"/>
      <c r="D104" s="7"/>
      <c r="E104" s="11"/>
      <c r="F104" s="11"/>
      <c r="G104" s="6"/>
      <c r="H104" s="6"/>
      <c r="I104" s="6"/>
      <c r="J104" s="6"/>
      <c r="K104" s="11"/>
      <c r="L104" s="8"/>
      <c r="M104" s="8"/>
      <c r="N104" s="9"/>
      <c r="O104" s="8"/>
      <c r="P104" s="8"/>
    </row>
    <row r="105" spans="1:16" ht="19.95" customHeight="1" x14ac:dyDescent="0.25">
      <c r="A105" s="5"/>
      <c r="B105" s="6"/>
      <c r="C105" s="6"/>
      <c r="D105" s="7"/>
      <c r="E105" s="11"/>
      <c r="F105" s="11"/>
      <c r="G105" s="6"/>
      <c r="H105" s="6"/>
      <c r="I105" s="6"/>
      <c r="J105" s="6"/>
      <c r="K105" s="11"/>
      <c r="L105" s="8"/>
      <c r="M105" s="8"/>
      <c r="N105" s="9"/>
      <c r="O105" s="8"/>
      <c r="P105" s="8"/>
    </row>
    <row r="106" spans="1:16" ht="19.95" customHeight="1" x14ac:dyDescent="0.25">
      <c r="A106" s="5"/>
      <c r="B106" s="6"/>
      <c r="C106" s="6"/>
      <c r="D106" s="7"/>
      <c r="E106" s="11"/>
      <c r="F106" s="11"/>
      <c r="G106" s="6"/>
      <c r="H106" s="6"/>
      <c r="I106" s="6"/>
      <c r="J106" s="6"/>
      <c r="K106" s="11"/>
      <c r="L106" s="8"/>
      <c r="M106" s="8"/>
      <c r="N106" s="9"/>
      <c r="O106" s="8"/>
      <c r="P106" s="8"/>
    </row>
    <row r="107" spans="1:16" ht="19.95" customHeight="1" x14ac:dyDescent="0.25">
      <c r="A107" s="5"/>
      <c r="B107" s="6"/>
      <c r="C107" s="6"/>
      <c r="D107" s="7"/>
      <c r="E107" s="11"/>
      <c r="F107" s="11"/>
      <c r="G107" s="6"/>
      <c r="H107" s="6"/>
      <c r="I107" s="6"/>
      <c r="J107" s="6"/>
      <c r="K107" s="11"/>
      <c r="L107" s="8"/>
      <c r="M107" s="8"/>
      <c r="N107" s="9"/>
      <c r="O107" s="8"/>
      <c r="P107" s="8"/>
    </row>
    <row r="108" spans="1:16" ht="19.95" customHeight="1" x14ac:dyDescent="0.25">
      <c r="A108" s="5"/>
      <c r="B108" s="6"/>
      <c r="C108" s="6"/>
      <c r="D108" s="7"/>
      <c r="E108" s="11"/>
      <c r="F108" s="11"/>
      <c r="G108" s="6"/>
      <c r="H108" s="6"/>
      <c r="I108" s="6"/>
      <c r="J108" s="6"/>
      <c r="K108" s="11"/>
      <c r="L108" s="8"/>
      <c r="M108" s="8"/>
      <c r="N108" s="9"/>
      <c r="O108" s="8"/>
      <c r="P108" s="8"/>
    </row>
    <row r="109" spans="1:16" ht="19.95" customHeight="1" x14ac:dyDescent="0.25">
      <c r="A109" s="5"/>
      <c r="B109" s="6"/>
      <c r="C109" s="6"/>
      <c r="D109" s="7"/>
      <c r="E109" s="11"/>
      <c r="F109" s="11"/>
      <c r="G109" s="6"/>
      <c r="H109" s="6"/>
      <c r="I109" s="6"/>
      <c r="J109" s="6"/>
      <c r="K109" s="11"/>
      <c r="L109" s="8"/>
      <c r="M109" s="8"/>
      <c r="N109" s="9"/>
      <c r="O109" s="8"/>
      <c r="P109" s="8"/>
    </row>
    <row r="110" spans="1:16" ht="19.95" customHeight="1" x14ac:dyDescent="0.25">
      <c r="A110" s="5"/>
      <c r="B110" s="6"/>
      <c r="C110" s="6"/>
      <c r="D110" s="7"/>
      <c r="E110" s="11"/>
      <c r="F110" s="11"/>
      <c r="G110" s="6"/>
      <c r="H110" s="6"/>
      <c r="I110" s="6"/>
      <c r="J110" s="6"/>
      <c r="K110" s="11"/>
      <c r="L110" s="8"/>
      <c r="M110" s="8"/>
      <c r="N110" s="9"/>
      <c r="O110" s="8"/>
      <c r="P110" s="8"/>
    </row>
    <row r="111" spans="1:16" ht="19.95" customHeight="1" x14ac:dyDescent="0.25">
      <c r="A111" s="5"/>
      <c r="B111" s="6"/>
      <c r="C111" s="6"/>
      <c r="D111" s="7"/>
      <c r="E111" s="11"/>
      <c r="F111" s="11"/>
      <c r="G111" s="6"/>
      <c r="H111" s="6"/>
      <c r="I111" s="6"/>
      <c r="J111" s="6"/>
      <c r="K111" s="11"/>
      <c r="L111" s="8"/>
      <c r="M111" s="8"/>
      <c r="N111" s="9"/>
      <c r="O111" s="8"/>
      <c r="P111" s="8"/>
    </row>
    <row r="112" spans="1:16" ht="19.95" customHeight="1" x14ac:dyDescent="0.25">
      <c r="A112" s="5"/>
      <c r="B112" s="6"/>
      <c r="C112" s="6"/>
      <c r="D112" s="7"/>
      <c r="E112" s="11"/>
      <c r="F112" s="11"/>
      <c r="G112" s="6"/>
      <c r="H112" s="6"/>
      <c r="I112" s="6"/>
      <c r="J112" s="6"/>
      <c r="K112" s="11"/>
      <c r="L112" s="8"/>
      <c r="M112" s="8"/>
      <c r="N112" s="9"/>
      <c r="O112" s="8"/>
      <c r="P112" s="8"/>
    </row>
    <row r="113" spans="1:16" ht="19.95" customHeight="1" x14ac:dyDescent="0.25">
      <c r="A113" s="5"/>
      <c r="B113" s="6"/>
      <c r="C113" s="6"/>
      <c r="D113" s="7"/>
      <c r="E113" s="11"/>
      <c r="F113" s="11"/>
      <c r="G113" s="6"/>
      <c r="H113" s="6"/>
      <c r="I113" s="6"/>
      <c r="J113" s="6"/>
      <c r="K113" s="11"/>
      <c r="L113" s="8"/>
      <c r="M113" s="8"/>
      <c r="N113" s="9"/>
      <c r="O113" s="8"/>
      <c r="P113" s="8"/>
    </row>
    <row r="114" spans="1:16" ht="19.95" customHeight="1" x14ac:dyDescent="0.25">
      <c r="A114" s="5"/>
      <c r="B114" s="6"/>
      <c r="C114" s="6"/>
      <c r="D114" s="7"/>
      <c r="E114" s="11"/>
      <c r="F114" s="11"/>
      <c r="G114" s="6"/>
      <c r="H114" s="6"/>
      <c r="I114" s="6"/>
      <c r="J114" s="6"/>
      <c r="K114" s="11"/>
      <c r="L114" s="8"/>
      <c r="M114" s="8"/>
      <c r="N114" s="9"/>
      <c r="O114" s="8"/>
      <c r="P114" s="8"/>
    </row>
    <row r="115" spans="1:16" ht="19.95" customHeight="1" x14ac:dyDescent="0.25">
      <c r="A115" s="5"/>
      <c r="B115" s="6"/>
      <c r="C115" s="6"/>
      <c r="D115" s="7"/>
      <c r="E115" s="11"/>
      <c r="F115" s="11"/>
      <c r="G115" s="6"/>
      <c r="H115" s="6"/>
      <c r="I115" s="6"/>
      <c r="J115" s="6"/>
      <c r="K115" s="11"/>
      <c r="L115" s="8"/>
      <c r="M115" s="8"/>
      <c r="N115" s="9"/>
      <c r="O115" s="8"/>
      <c r="P115" s="8"/>
    </row>
    <row r="116" spans="1:16" ht="19.95" customHeight="1" x14ac:dyDescent="0.25">
      <c r="A116" s="5"/>
      <c r="B116" s="6"/>
      <c r="C116" s="6"/>
      <c r="D116" s="7"/>
      <c r="E116" s="11"/>
      <c r="F116" s="11"/>
      <c r="G116" s="6"/>
      <c r="H116" s="6"/>
      <c r="I116" s="6"/>
      <c r="J116" s="6"/>
      <c r="K116" s="11"/>
      <c r="L116" s="8"/>
      <c r="M116" s="8"/>
      <c r="N116" s="9"/>
      <c r="O116" s="8"/>
      <c r="P116" s="8"/>
    </row>
    <row r="117" spans="1:16" ht="19.95" customHeight="1" x14ac:dyDescent="0.25">
      <c r="A117" s="5"/>
      <c r="B117" s="6"/>
      <c r="C117" s="6"/>
      <c r="D117" s="7"/>
      <c r="E117" s="11"/>
      <c r="F117" s="11"/>
      <c r="G117" s="6"/>
      <c r="H117" s="6"/>
      <c r="I117" s="6"/>
      <c r="J117" s="6"/>
      <c r="K117" s="11"/>
      <c r="L117" s="8"/>
      <c r="M117" s="8"/>
      <c r="N117" s="9"/>
      <c r="O117" s="8"/>
      <c r="P117" s="8"/>
    </row>
    <row r="118" spans="1:16" ht="19.95" customHeight="1" x14ac:dyDescent="0.25">
      <c r="A118" s="5"/>
      <c r="B118" s="6"/>
      <c r="C118" s="6"/>
      <c r="D118" s="7"/>
      <c r="E118" s="11"/>
      <c r="F118" s="11"/>
      <c r="G118" s="6"/>
      <c r="H118" s="6"/>
      <c r="I118" s="6"/>
      <c r="J118" s="6"/>
      <c r="K118" s="11"/>
      <c r="L118" s="8"/>
      <c r="M118" s="8"/>
      <c r="N118" s="9"/>
      <c r="O118" s="8"/>
      <c r="P118" s="8"/>
    </row>
    <row r="119" spans="1:16" ht="19.95" customHeight="1" x14ac:dyDescent="0.25">
      <c r="A119" s="5"/>
      <c r="B119" s="6"/>
      <c r="C119" s="6"/>
      <c r="D119" s="7"/>
      <c r="E119" s="11"/>
      <c r="F119" s="11"/>
      <c r="G119" s="6"/>
      <c r="H119" s="6"/>
      <c r="I119" s="6"/>
      <c r="J119" s="6"/>
      <c r="K119" s="11"/>
      <c r="L119" s="8"/>
      <c r="M119" s="8"/>
      <c r="N119" s="9"/>
      <c r="O119" s="8"/>
      <c r="P119" s="8"/>
    </row>
    <row r="120" spans="1:16" ht="19.95" customHeight="1" x14ac:dyDescent="0.25">
      <c r="A120" s="5"/>
      <c r="B120" s="6"/>
      <c r="C120" s="6"/>
      <c r="D120" s="7"/>
      <c r="E120" s="11"/>
      <c r="F120" s="11"/>
      <c r="G120" s="6"/>
      <c r="H120" s="6"/>
      <c r="I120" s="6"/>
      <c r="J120" s="6"/>
      <c r="K120" s="11"/>
      <c r="L120" s="8"/>
      <c r="M120" s="8"/>
      <c r="N120" s="9"/>
      <c r="O120" s="8"/>
      <c r="P120" s="8"/>
    </row>
    <row r="121" spans="1:16" ht="19.95" customHeight="1" x14ac:dyDescent="0.25">
      <c r="A121" s="5"/>
      <c r="B121" s="6"/>
      <c r="C121" s="6"/>
      <c r="D121" s="7"/>
      <c r="E121" s="11"/>
      <c r="F121" s="11"/>
      <c r="G121" s="6"/>
      <c r="H121" s="6"/>
      <c r="I121" s="6"/>
      <c r="J121" s="6"/>
      <c r="K121" s="11"/>
      <c r="L121" s="8"/>
      <c r="M121" s="8"/>
      <c r="N121" s="9"/>
      <c r="O121" s="8"/>
      <c r="P121" s="8"/>
    </row>
    <row r="122" spans="1:16" ht="19.95" customHeight="1" x14ac:dyDescent="0.25">
      <c r="A122" s="5"/>
      <c r="B122" s="6"/>
      <c r="C122" s="6"/>
      <c r="D122" s="7"/>
      <c r="E122" s="11"/>
      <c r="F122" s="11"/>
      <c r="G122" s="6"/>
      <c r="H122" s="6"/>
      <c r="I122" s="6"/>
      <c r="J122" s="6"/>
      <c r="K122" s="11"/>
      <c r="L122" s="8"/>
      <c r="M122" s="8"/>
      <c r="N122" s="9"/>
      <c r="O122" s="8"/>
      <c r="P122" s="8"/>
    </row>
    <row r="123" spans="1:16" ht="19.95" customHeight="1" x14ac:dyDescent="0.25">
      <c r="A123" s="5"/>
      <c r="B123" s="6"/>
      <c r="C123" s="6"/>
      <c r="D123" s="7"/>
      <c r="E123" s="11"/>
      <c r="F123" s="11"/>
      <c r="G123" s="6"/>
      <c r="H123" s="6"/>
      <c r="I123" s="6"/>
      <c r="J123" s="6"/>
      <c r="K123" s="11"/>
      <c r="L123" s="8"/>
      <c r="M123" s="8"/>
      <c r="N123" s="9"/>
      <c r="O123" s="8"/>
      <c r="P123" s="8"/>
    </row>
    <row r="124" spans="1:16" ht="19.95" customHeight="1" x14ac:dyDescent="0.25">
      <c r="A124" s="5"/>
      <c r="B124" s="6"/>
      <c r="C124" s="6"/>
      <c r="D124" s="7"/>
      <c r="E124" s="11"/>
      <c r="F124" s="11"/>
      <c r="G124" s="6"/>
      <c r="H124" s="6"/>
      <c r="I124" s="6"/>
      <c r="J124" s="6"/>
      <c r="K124" s="11"/>
      <c r="L124" s="8"/>
      <c r="M124" s="8"/>
      <c r="N124" s="9"/>
      <c r="O124" s="8"/>
      <c r="P124" s="8"/>
    </row>
    <row r="125" spans="1:16" ht="19.95" customHeight="1" x14ac:dyDescent="0.25">
      <c r="A125" s="5"/>
      <c r="B125" s="6"/>
      <c r="C125" s="6"/>
      <c r="D125" s="7"/>
      <c r="E125" s="11"/>
      <c r="F125" s="11"/>
      <c r="G125" s="6"/>
      <c r="H125" s="6"/>
      <c r="I125" s="6"/>
      <c r="J125" s="6"/>
      <c r="K125" s="11"/>
      <c r="L125" s="8"/>
      <c r="M125" s="8"/>
      <c r="N125" s="9"/>
      <c r="O125" s="8"/>
      <c r="P125" s="8"/>
    </row>
    <row r="126" spans="1:16" ht="19.95" customHeight="1" x14ac:dyDescent="0.25">
      <c r="A126" s="5"/>
      <c r="B126" s="6"/>
      <c r="C126" s="6"/>
      <c r="D126" s="7"/>
      <c r="E126" s="11"/>
      <c r="F126" s="11"/>
      <c r="G126" s="6"/>
      <c r="H126" s="6"/>
      <c r="I126" s="6"/>
      <c r="J126" s="6"/>
      <c r="K126" s="11"/>
      <c r="L126" s="8"/>
      <c r="M126" s="8"/>
      <c r="N126" s="9"/>
      <c r="O126" s="8"/>
      <c r="P126" s="8"/>
    </row>
    <row r="127" spans="1:16" ht="19.95" customHeight="1" x14ac:dyDescent="0.25">
      <c r="A127" s="5"/>
      <c r="B127" s="6"/>
      <c r="C127" s="6"/>
      <c r="D127" s="7"/>
      <c r="E127" s="11"/>
      <c r="F127" s="11"/>
      <c r="G127" s="6"/>
      <c r="H127" s="6"/>
      <c r="I127" s="6"/>
      <c r="J127" s="6"/>
      <c r="K127" s="11"/>
      <c r="L127" s="8"/>
      <c r="M127" s="8"/>
      <c r="N127" s="9"/>
      <c r="O127" s="8"/>
      <c r="P127" s="8"/>
    </row>
    <row r="128" spans="1:16" ht="19.95" customHeight="1" x14ac:dyDescent="0.25">
      <c r="A128" s="5"/>
      <c r="B128" s="6"/>
      <c r="C128" s="6"/>
      <c r="D128" s="7"/>
      <c r="E128" s="11"/>
      <c r="F128" s="11"/>
      <c r="G128" s="6"/>
      <c r="H128" s="6"/>
      <c r="I128" s="6"/>
      <c r="J128" s="6"/>
      <c r="K128" s="11"/>
      <c r="L128" s="8"/>
      <c r="M128" s="8"/>
      <c r="N128" s="9"/>
      <c r="O128" s="8"/>
      <c r="P128" s="8"/>
    </row>
    <row r="129" spans="1:16" ht="19.95" customHeight="1" x14ac:dyDescent="0.25">
      <c r="A129" s="5"/>
      <c r="B129" s="6"/>
      <c r="C129" s="6"/>
      <c r="D129" s="7"/>
      <c r="E129" s="11"/>
      <c r="F129" s="11"/>
      <c r="G129" s="6"/>
      <c r="H129" s="6"/>
      <c r="I129" s="6"/>
      <c r="J129" s="6"/>
      <c r="K129" s="11"/>
      <c r="L129" s="8"/>
      <c r="M129" s="8"/>
      <c r="N129" s="9"/>
      <c r="O129" s="8"/>
      <c r="P129" s="8"/>
    </row>
    <row r="130" spans="1:16" ht="19.95" customHeight="1" x14ac:dyDescent="0.25">
      <c r="A130" s="5"/>
      <c r="B130" s="6"/>
      <c r="C130" s="6"/>
      <c r="D130" s="7"/>
      <c r="E130" s="11"/>
      <c r="F130" s="11"/>
      <c r="G130" s="6"/>
      <c r="H130" s="6"/>
      <c r="I130" s="6"/>
      <c r="J130" s="6"/>
      <c r="K130" s="11"/>
      <c r="L130" s="8"/>
      <c r="M130" s="8"/>
      <c r="N130" s="9"/>
      <c r="O130" s="8"/>
      <c r="P130" s="8"/>
    </row>
    <row r="131" spans="1:16" ht="19.95" customHeight="1" x14ac:dyDescent="0.25">
      <c r="A131" s="5"/>
      <c r="B131" s="6"/>
      <c r="C131" s="6"/>
      <c r="D131" s="7"/>
      <c r="E131" s="11"/>
      <c r="F131" s="11"/>
      <c r="G131" s="6"/>
      <c r="H131" s="6"/>
      <c r="I131" s="6"/>
      <c r="J131" s="6"/>
      <c r="K131" s="11"/>
      <c r="L131" s="8"/>
      <c r="M131" s="8"/>
      <c r="N131" s="9"/>
      <c r="O131" s="8"/>
      <c r="P131" s="8"/>
    </row>
    <row r="132" spans="1:16" ht="19.95" customHeight="1" x14ac:dyDescent="0.25">
      <c r="A132" s="5"/>
      <c r="B132" s="6"/>
      <c r="C132" s="6"/>
      <c r="D132" s="7"/>
      <c r="E132" s="11"/>
      <c r="F132" s="11"/>
      <c r="G132" s="6"/>
      <c r="H132" s="6"/>
      <c r="I132" s="6"/>
      <c r="J132" s="6"/>
      <c r="K132" s="11"/>
      <c r="L132" s="8"/>
      <c r="M132" s="8"/>
      <c r="N132" s="9"/>
      <c r="O132" s="8"/>
      <c r="P132" s="8"/>
    </row>
    <row r="133" spans="1:16" ht="19.95" customHeight="1" x14ac:dyDescent="0.25">
      <c r="A133" s="5"/>
      <c r="B133" s="6"/>
      <c r="C133" s="6"/>
      <c r="D133" s="7"/>
      <c r="E133" s="11"/>
      <c r="F133" s="11"/>
      <c r="G133" s="6"/>
      <c r="H133" s="6"/>
      <c r="I133" s="6"/>
      <c r="J133" s="6"/>
      <c r="K133" s="11"/>
      <c r="L133" s="8"/>
      <c r="M133" s="8"/>
      <c r="N133" s="9"/>
      <c r="O133" s="8"/>
      <c r="P133" s="8"/>
    </row>
    <row r="134" spans="1:16" ht="19.95" customHeight="1" x14ac:dyDescent="0.25">
      <c r="A134" s="5"/>
      <c r="B134" s="6"/>
      <c r="C134" s="6"/>
      <c r="D134" s="7"/>
      <c r="E134" s="11"/>
      <c r="F134" s="11"/>
      <c r="G134" s="6"/>
      <c r="H134" s="6"/>
      <c r="I134" s="6"/>
      <c r="J134" s="6"/>
      <c r="K134" s="11"/>
      <c r="L134" s="8"/>
      <c r="M134" s="8"/>
      <c r="N134" s="9"/>
      <c r="O134" s="8"/>
      <c r="P134" s="8"/>
    </row>
    <row r="135" spans="1:16" ht="19.95" customHeight="1" x14ac:dyDescent="0.25">
      <c r="A135" s="5"/>
      <c r="B135" s="6"/>
      <c r="C135" s="6"/>
      <c r="D135" s="7"/>
      <c r="E135" s="11"/>
      <c r="F135" s="11"/>
      <c r="G135" s="6"/>
      <c r="H135" s="6"/>
      <c r="I135" s="6"/>
      <c r="J135" s="6"/>
      <c r="K135" s="11"/>
      <c r="L135" s="8"/>
      <c r="M135" s="8"/>
      <c r="N135" s="9"/>
      <c r="O135" s="8"/>
      <c r="P135" s="8"/>
    </row>
    <row r="136" spans="1:16" ht="19.95" customHeight="1" x14ac:dyDescent="0.25">
      <c r="A136" s="5"/>
      <c r="B136" s="6"/>
      <c r="C136" s="6"/>
      <c r="D136" s="7"/>
      <c r="E136" s="11"/>
      <c r="F136" s="11"/>
      <c r="G136" s="6"/>
      <c r="H136" s="6"/>
      <c r="I136" s="6"/>
      <c r="J136" s="6"/>
      <c r="K136" s="11"/>
      <c r="L136" s="8"/>
      <c r="M136" s="8"/>
      <c r="N136" s="9"/>
      <c r="O136" s="8"/>
      <c r="P136" s="8"/>
    </row>
    <row r="137" spans="1:16" ht="19.95" customHeight="1" x14ac:dyDescent="0.25">
      <c r="A137" s="5"/>
      <c r="B137" s="6"/>
      <c r="C137" s="6"/>
      <c r="D137" s="7"/>
      <c r="E137" s="11"/>
      <c r="F137" s="11"/>
      <c r="G137" s="6"/>
      <c r="H137" s="6"/>
      <c r="I137" s="6"/>
      <c r="J137" s="6"/>
      <c r="K137" s="11"/>
      <c r="L137" s="8"/>
      <c r="M137" s="8"/>
      <c r="N137" s="9"/>
      <c r="O137" s="8"/>
      <c r="P137" s="8"/>
    </row>
    <row r="138" spans="1:16" ht="19.95" customHeight="1" x14ac:dyDescent="0.25">
      <c r="A138" s="5"/>
      <c r="B138" s="6"/>
      <c r="C138" s="6"/>
      <c r="D138" s="7"/>
      <c r="E138" s="11"/>
      <c r="F138" s="11"/>
      <c r="G138" s="6"/>
      <c r="H138" s="6"/>
      <c r="I138" s="6"/>
      <c r="J138" s="6"/>
      <c r="K138" s="11"/>
      <c r="L138" s="8"/>
      <c r="M138" s="8"/>
      <c r="N138" s="9"/>
      <c r="O138" s="8"/>
      <c r="P138" s="8"/>
    </row>
    <row r="139" spans="1:16" ht="19.95" customHeight="1" x14ac:dyDescent="0.25">
      <c r="A139" s="5"/>
      <c r="B139" s="6"/>
      <c r="C139" s="6"/>
      <c r="D139" s="7"/>
      <c r="E139" s="11"/>
      <c r="F139" s="11"/>
      <c r="G139" s="6"/>
      <c r="H139" s="6"/>
      <c r="I139" s="6"/>
      <c r="J139" s="6"/>
      <c r="K139" s="11"/>
      <c r="L139" s="8"/>
      <c r="M139" s="8"/>
      <c r="N139" s="9"/>
      <c r="O139" s="8"/>
      <c r="P139" s="8"/>
    </row>
    <row r="140" spans="1:16" ht="19.95" customHeight="1" x14ac:dyDescent="0.25">
      <c r="A140" s="5"/>
      <c r="B140" s="6"/>
      <c r="C140" s="6"/>
      <c r="D140" s="7"/>
      <c r="E140" s="11"/>
      <c r="F140" s="11"/>
      <c r="G140" s="6"/>
      <c r="H140" s="6"/>
      <c r="I140" s="6"/>
      <c r="J140" s="6"/>
      <c r="K140" s="11"/>
      <c r="L140" s="8"/>
      <c r="M140" s="8"/>
      <c r="N140" s="9"/>
      <c r="O140" s="8"/>
      <c r="P140" s="8"/>
    </row>
    <row r="141" spans="1:16" ht="19.95" customHeight="1" x14ac:dyDescent="0.25">
      <c r="A141" s="5"/>
      <c r="B141" s="6"/>
      <c r="C141" s="6"/>
      <c r="D141" s="7"/>
      <c r="E141" s="11"/>
      <c r="F141" s="11"/>
      <c r="G141" s="6"/>
      <c r="H141" s="6"/>
      <c r="I141" s="6"/>
      <c r="J141" s="6"/>
      <c r="K141" s="11"/>
      <c r="L141" s="8"/>
      <c r="M141" s="8"/>
      <c r="N141" s="9"/>
      <c r="O141" s="8"/>
      <c r="P141" s="8"/>
    </row>
    <row r="142" spans="1:16" ht="19.95" customHeight="1" x14ac:dyDescent="0.25">
      <c r="A142" s="5"/>
      <c r="B142" s="6"/>
      <c r="C142" s="6"/>
      <c r="D142" s="7"/>
      <c r="E142" s="11"/>
      <c r="F142" s="11"/>
      <c r="G142" s="6"/>
      <c r="H142" s="6"/>
      <c r="I142" s="6"/>
      <c r="J142" s="6"/>
      <c r="K142" s="11"/>
      <c r="L142" s="8"/>
      <c r="M142" s="8"/>
      <c r="N142" s="9"/>
      <c r="O142" s="8"/>
      <c r="P142" s="8"/>
    </row>
    <row r="143" spans="1:16" ht="19.95" customHeight="1" x14ac:dyDescent="0.25">
      <c r="A143" s="5"/>
      <c r="B143" s="6"/>
      <c r="C143" s="6"/>
      <c r="D143" s="7"/>
      <c r="E143" s="11"/>
      <c r="F143" s="11"/>
      <c r="G143" s="6"/>
      <c r="H143" s="6"/>
      <c r="I143" s="6"/>
      <c r="J143" s="6"/>
      <c r="K143" s="11"/>
      <c r="L143" s="8"/>
      <c r="M143" s="8"/>
      <c r="N143" s="9"/>
      <c r="O143" s="8"/>
      <c r="P143" s="8"/>
    </row>
    <row r="144" spans="1:16" ht="19.95" customHeight="1" x14ac:dyDescent="0.25">
      <c r="A144" s="5"/>
      <c r="B144" s="6"/>
      <c r="C144" s="6"/>
      <c r="D144" s="7"/>
      <c r="E144" s="11"/>
      <c r="F144" s="11"/>
      <c r="G144" s="6"/>
      <c r="H144" s="6"/>
      <c r="I144" s="6"/>
      <c r="J144" s="6"/>
      <c r="K144" s="11"/>
      <c r="L144" s="8"/>
      <c r="M144" s="8"/>
      <c r="N144" s="9"/>
      <c r="O144" s="8"/>
      <c r="P144" s="8"/>
    </row>
    <row r="145" spans="1:16" ht="19.95" customHeight="1" x14ac:dyDescent="0.25">
      <c r="A145" s="5"/>
      <c r="B145" s="6"/>
      <c r="C145" s="6"/>
      <c r="D145" s="7"/>
      <c r="E145" s="11"/>
      <c r="F145" s="11"/>
      <c r="G145" s="6"/>
      <c r="H145" s="6"/>
      <c r="I145" s="6"/>
      <c r="J145" s="6"/>
      <c r="K145" s="11"/>
      <c r="L145" s="8"/>
      <c r="M145" s="8"/>
      <c r="N145" s="9"/>
      <c r="O145" s="8"/>
      <c r="P145" s="8"/>
    </row>
    <row r="146" spans="1:16" ht="19.95" customHeight="1" x14ac:dyDescent="0.25">
      <c r="A146" s="5"/>
      <c r="B146" s="6"/>
      <c r="C146" s="6"/>
      <c r="D146" s="7"/>
      <c r="E146" s="11"/>
      <c r="F146" s="11"/>
      <c r="G146" s="6"/>
      <c r="H146" s="6"/>
      <c r="I146" s="6"/>
      <c r="J146" s="6"/>
      <c r="K146" s="11"/>
      <c r="L146" s="8"/>
      <c r="M146" s="8"/>
      <c r="N146" s="9"/>
      <c r="O146" s="8"/>
      <c r="P146" s="8"/>
    </row>
    <row r="147" spans="1:16" ht="19.95" customHeight="1" x14ac:dyDescent="0.25">
      <c r="A147" s="5"/>
      <c r="B147" s="6"/>
      <c r="C147" s="6"/>
      <c r="D147" s="7"/>
      <c r="E147" s="11"/>
      <c r="F147" s="11"/>
      <c r="G147" s="6"/>
      <c r="H147" s="6"/>
      <c r="I147" s="6"/>
      <c r="J147" s="6"/>
      <c r="K147" s="11"/>
      <c r="L147" s="8"/>
      <c r="M147" s="8"/>
      <c r="N147" s="9"/>
      <c r="O147" s="8"/>
      <c r="P147" s="8"/>
    </row>
    <row r="148" spans="1:16" ht="19.95" customHeight="1" x14ac:dyDescent="0.25">
      <c r="A148" s="5"/>
      <c r="B148" s="6"/>
      <c r="C148" s="6"/>
      <c r="D148" s="7"/>
      <c r="E148" s="11"/>
      <c r="F148" s="11"/>
      <c r="G148" s="6"/>
      <c r="H148" s="6"/>
      <c r="I148" s="6"/>
      <c r="J148" s="6"/>
      <c r="K148" s="11"/>
      <c r="L148" s="8"/>
      <c r="M148" s="8"/>
      <c r="N148" s="9"/>
      <c r="O148" s="8"/>
      <c r="P148" s="8"/>
    </row>
    <row r="149" spans="1:16" ht="19.95" customHeight="1" x14ac:dyDescent="0.25">
      <c r="A149" s="5"/>
      <c r="B149" s="6"/>
      <c r="C149" s="6"/>
      <c r="D149" s="7"/>
      <c r="E149" s="11"/>
      <c r="F149" s="11"/>
      <c r="G149" s="6"/>
      <c r="H149" s="6"/>
      <c r="I149" s="6"/>
      <c r="J149" s="6"/>
      <c r="K149" s="11"/>
      <c r="L149" s="8"/>
      <c r="M149" s="8"/>
      <c r="N149" s="9"/>
      <c r="O149" s="8"/>
      <c r="P149" s="8"/>
    </row>
    <row r="150" spans="1:16" ht="19.95" customHeight="1" x14ac:dyDescent="0.25">
      <c r="A150" s="5"/>
      <c r="B150" s="6"/>
      <c r="C150" s="6"/>
      <c r="D150" s="7"/>
      <c r="E150" s="11"/>
      <c r="F150" s="11"/>
      <c r="G150" s="6"/>
      <c r="H150" s="6"/>
      <c r="I150" s="6"/>
      <c r="J150" s="6"/>
      <c r="K150" s="11"/>
      <c r="L150" s="8"/>
      <c r="M150" s="8"/>
      <c r="N150" s="9"/>
      <c r="O150" s="8"/>
      <c r="P150" s="8"/>
    </row>
    <row r="151" spans="1:16" ht="19.95" customHeight="1" x14ac:dyDescent="0.25">
      <c r="A151" s="5"/>
      <c r="B151" s="6"/>
      <c r="C151" s="6"/>
      <c r="D151" s="7"/>
      <c r="E151" s="11"/>
      <c r="F151" s="11"/>
      <c r="G151" s="6"/>
      <c r="H151" s="6"/>
      <c r="I151" s="6"/>
      <c r="J151" s="6"/>
      <c r="K151" s="11"/>
      <c r="L151" s="8"/>
      <c r="M151" s="8"/>
      <c r="N151" s="9"/>
      <c r="O151" s="8"/>
      <c r="P151" s="8"/>
    </row>
    <row r="152" spans="1:16" ht="19.95" customHeight="1" x14ac:dyDescent="0.25">
      <c r="A152" s="5"/>
      <c r="B152" s="6"/>
      <c r="C152" s="6"/>
      <c r="D152" s="7"/>
      <c r="E152" s="11"/>
      <c r="F152" s="11"/>
      <c r="G152" s="6"/>
      <c r="H152" s="6"/>
      <c r="I152" s="6"/>
      <c r="J152" s="6"/>
      <c r="K152" s="11"/>
      <c r="L152" s="8"/>
      <c r="M152" s="8"/>
      <c r="N152" s="9"/>
      <c r="O152" s="8"/>
      <c r="P152" s="8"/>
    </row>
    <row r="153" spans="1:16" ht="19.95" customHeight="1" x14ac:dyDescent="0.25">
      <c r="A153" s="5"/>
      <c r="B153" s="6"/>
      <c r="C153" s="6"/>
      <c r="D153" s="7"/>
      <c r="E153" s="11"/>
      <c r="F153" s="11"/>
      <c r="G153" s="6"/>
      <c r="H153" s="6"/>
      <c r="I153" s="6"/>
      <c r="J153" s="6"/>
      <c r="K153" s="11"/>
      <c r="L153" s="8"/>
      <c r="M153" s="8"/>
      <c r="N153" s="9"/>
      <c r="O153" s="8"/>
      <c r="P153" s="8"/>
    </row>
    <row r="154" spans="1:16" ht="19.95" customHeight="1" x14ac:dyDescent="0.25">
      <c r="A154" s="5"/>
      <c r="B154" s="6"/>
      <c r="C154" s="6"/>
      <c r="D154" s="7"/>
      <c r="E154" s="11"/>
      <c r="F154" s="11"/>
      <c r="G154" s="6"/>
      <c r="H154" s="6"/>
      <c r="I154" s="6"/>
      <c r="J154" s="6"/>
      <c r="K154" s="11"/>
      <c r="L154" s="8"/>
      <c r="M154" s="8"/>
      <c r="N154" s="9"/>
      <c r="O154" s="8"/>
      <c r="P154" s="8"/>
    </row>
    <row r="155" spans="1:16" ht="19.95" customHeight="1" x14ac:dyDescent="0.25">
      <c r="A155" s="5"/>
      <c r="B155" s="6"/>
      <c r="C155" s="6"/>
      <c r="D155" s="7"/>
      <c r="E155" s="11"/>
      <c r="F155" s="11"/>
      <c r="G155" s="6"/>
      <c r="H155" s="6"/>
      <c r="I155" s="6"/>
      <c r="J155" s="6"/>
      <c r="K155" s="11"/>
      <c r="L155" s="8"/>
      <c r="M155" s="8"/>
      <c r="N155" s="9"/>
      <c r="O155" s="8"/>
      <c r="P155" s="8"/>
    </row>
    <row r="156" spans="1:16" ht="19.95" customHeight="1" x14ac:dyDescent="0.25">
      <c r="A156" s="5"/>
      <c r="B156" s="6"/>
      <c r="C156" s="6"/>
      <c r="D156" s="7"/>
      <c r="E156" s="11"/>
      <c r="F156" s="11"/>
      <c r="G156" s="6"/>
      <c r="H156" s="6"/>
      <c r="I156" s="6"/>
      <c r="J156" s="6"/>
      <c r="K156" s="11"/>
      <c r="L156" s="8"/>
      <c r="M156" s="8"/>
      <c r="N156" s="9"/>
      <c r="O156" s="8"/>
      <c r="P156" s="8"/>
    </row>
    <row r="157" spans="1:16" ht="19.95" customHeight="1" x14ac:dyDescent="0.25">
      <c r="A157" s="5"/>
      <c r="B157" s="6"/>
      <c r="C157" s="6"/>
      <c r="D157" s="7"/>
      <c r="E157" s="11"/>
      <c r="F157" s="11"/>
      <c r="G157" s="6"/>
      <c r="H157" s="6"/>
      <c r="I157" s="6"/>
      <c r="J157" s="6"/>
      <c r="K157" s="11"/>
      <c r="L157" s="8"/>
      <c r="M157" s="8"/>
      <c r="N157" s="9"/>
      <c r="O157" s="8"/>
      <c r="P157" s="8"/>
    </row>
    <row r="158" spans="1:16" ht="19.95" customHeight="1" x14ac:dyDescent="0.25">
      <c r="A158" s="5"/>
      <c r="B158" s="6"/>
      <c r="C158" s="6"/>
      <c r="D158" s="7"/>
      <c r="E158" s="11"/>
      <c r="F158" s="11"/>
      <c r="G158" s="6"/>
      <c r="H158" s="6"/>
      <c r="I158" s="6"/>
      <c r="J158" s="6"/>
      <c r="K158" s="11"/>
      <c r="L158" s="8"/>
      <c r="M158" s="8"/>
      <c r="N158" s="9"/>
      <c r="O158" s="8"/>
      <c r="P158" s="8"/>
    </row>
    <row r="159" spans="1:16" ht="19.95" customHeight="1" x14ac:dyDescent="0.25">
      <c r="A159" s="5"/>
      <c r="B159" s="6"/>
      <c r="C159" s="6"/>
      <c r="D159" s="7"/>
      <c r="E159" s="11"/>
      <c r="F159" s="11"/>
      <c r="G159" s="6"/>
      <c r="H159" s="6"/>
      <c r="I159" s="6"/>
      <c r="J159" s="6"/>
      <c r="K159" s="11"/>
      <c r="L159" s="8"/>
      <c r="M159" s="8"/>
      <c r="N159" s="9"/>
      <c r="O159" s="8"/>
      <c r="P159" s="8"/>
    </row>
    <row r="160" spans="1:16" ht="19.95" customHeight="1" x14ac:dyDescent="0.25">
      <c r="A160" s="5"/>
      <c r="B160" s="6"/>
      <c r="C160" s="6"/>
      <c r="D160" s="7"/>
      <c r="E160" s="11"/>
      <c r="F160" s="11"/>
      <c r="G160" s="6"/>
      <c r="H160" s="6"/>
      <c r="I160" s="6"/>
      <c r="J160" s="6"/>
      <c r="K160" s="11"/>
      <c r="L160" s="8"/>
      <c r="M160" s="8"/>
      <c r="N160" s="9"/>
      <c r="O160" s="8"/>
      <c r="P160" s="8"/>
    </row>
    <row r="161" spans="1:16" ht="19.95" customHeight="1" x14ac:dyDescent="0.25">
      <c r="A161" s="5"/>
      <c r="B161" s="6"/>
      <c r="C161" s="6"/>
      <c r="D161" s="7"/>
      <c r="E161" s="11"/>
      <c r="F161" s="11"/>
      <c r="G161" s="6"/>
      <c r="H161" s="6"/>
      <c r="I161" s="6"/>
      <c r="J161" s="6"/>
      <c r="K161" s="11"/>
      <c r="L161" s="8"/>
      <c r="M161" s="8"/>
      <c r="N161" s="9"/>
      <c r="O161" s="8"/>
      <c r="P161" s="8"/>
    </row>
    <row r="162" spans="1:16" ht="19.95" customHeight="1" x14ac:dyDescent="0.25">
      <c r="A162" s="5"/>
      <c r="B162" s="6"/>
      <c r="C162" s="6"/>
      <c r="D162" s="7"/>
      <c r="E162" s="11"/>
      <c r="F162" s="11"/>
      <c r="G162" s="6"/>
      <c r="H162" s="6"/>
      <c r="I162" s="6"/>
      <c r="J162" s="6"/>
      <c r="K162" s="11"/>
      <c r="L162" s="8"/>
      <c r="M162" s="8"/>
      <c r="N162" s="9"/>
      <c r="O162" s="8"/>
      <c r="P162" s="8"/>
    </row>
    <row r="163" spans="1:16" ht="19.95" customHeight="1" x14ac:dyDescent="0.25">
      <c r="A163" s="5"/>
      <c r="B163" s="6"/>
      <c r="C163" s="6"/>
      <c r="D163" s="7"/>
      <c r="E163" s="11"/>
      <c r="F163" s="11"/>
      <c r="G163" s="6"/>
      <c r="H163" s="6"/>
      <c r="I163" s="6"/>
      <c r="J163" s="6"/>
      <c r="K163" s="11"/>
      <c r="L163" s="8"/>
      <c r="M163" s="8"/>
      <c r="N163" s="9"/>
      <c r="O163" s="8"/>
      <c r="P163" s="8"/>
    </row>
    <row r="164" spans="1:16" ht="19.95" customHeight="1" x14ac:dyDescent="0.25">
      <c r="A164" s="5"/>
      <c r="B164" s="6"/>
      <c r="C164" s="6"/>
      <c r="D164" s="7"/>
      <c r="E164" s="11"/>
      <c r="F164" s="11"/>
      <c r="G164" s="6"/>
      <c r="H164" s="6"/>
      <c r="I164" s="6"/>
      <c r="J164" s="6"/>
      <c r="K164" s="11"/>
      <c r="L164" s="8"/>
      <c r="M164" s="8"/>
      <c r="N164" s="9"/>
      <c r="O164" s="8"/>
      <c r="P164" s="8"/>
    </row>
    <row r="165" spans="1:16" ht="19.95" customHeight="1" x14ac:dyDescent="0.25">
      <c r="A165" s="5"/>
      <c r="B165" s="6"/>
      <c r="C165" s="6"/>
      <c r="D165" s="7"/>
      <c r="E165" s="11"/>
      <c r="F165" s="11"/>
      <c r="G165" s="6"/>
      <c r="H165" s="6"/>
      <c r="I165" s="6"/>
      <c r="J165" s="6"/>
      <c r="K165" s="11"/>
      <c r="L165" s="8"/>
      <c r="M165" s="8"/>
      <c r="N165" s="9"/>
      <c r="O165" s="8"/>
      <c r="P165" s="8"/>
    </row>
    <row r="166" spans="1:16" ht="19.95" customHeight="1" x14ac:dyDescent="0.25">
      <c r="A166" s="5"/>
      <c r="B166" s="6"/>
      <c r="C166" s="6"/>
      <c r="D166" s="7"/>
      <c r="E166" s="11"/>
      <c r="F166" s="11"/>
      <c r="G166" s="6"/>
      <c r="H166" s="6"/>
      <c r="I166" s="6"/>
      <c r="J166" s="6"/>
      <c r="K166" s="11"/>
      <c r="L166" s="8"/>
      <c r="M166" s="8"/>
      <c r="N166" s="9"/>
      <c r="O166" s="8"/>
      <c r="P166" s="8"/>
    </row>
    <row r="167" spans="1:16" ht="19.95" customHeight="1" x14ac:dyDescent="0.25">
      <c r="A167" s="5"/>
      <c r="B167" s="6"/>
      <c r="C167" s="6"/>
      <c r="D167" s="7"/>
      <c r="E167" s="11"/>
      <c r="F167" s="11"/>
      <c r="G167" s="6"/>
      <c r="H167" s="6"/>
      <c r="I167" s="6"/>
      <c r="J167" s="6"/>
      <c r="K167" s="11"/>
      <c r="L167" s="8"/>
      <c r="M167" s="8"/>
      <c r="N167" s="9"/>
      <c r="O167" s="8"/>
      <c r="P167" s="8"/>
    </row>
    <row r="168" spans="1:16" ht="19.95" customHeight="1" x14ac:dyDescent="0.25">
      <c r="A168" s="5"/>
      <c r="B168" s="6"/>
      <c r="C168" s="6"/>
      <c r="D168" s="7"/>
      <c r="E168" s="11"/>
      <c r="F168" s="11"/>
      <c r="G168" s="6"/>
      <c r="H168" s="6"/>
      <c r="I168" s="6"/>
      <c r="J168" s="6"/>
      <c r="K168" s="11"/>
      <c r="L168" s="8"/>
      <c r="M168" s="8"/>
      <c r="N168" s="9"/>
      <c r="O168" s="8"/>
      <c r="P168" s="8"/>
    </row>
    <row r="169" spans="1:16" ht="19.95" customHeight="1" x14ac:dyDescent="0.25">
      <c r="A169" s="5"/>
      <c r="B169" s="6"/>
      <c r="C169" s="6"/>
      <c r="D169" s="7"/>
      <c r="E169" s="11"/>
      <c r="F169" s="11"/>
      <c r="G169" s="6"/>
      <c r="H169" s="6"/>
      <c r="I169" s="6"/>
      <c r="J169" s="6"/>
      <c r="K169" s="11"/>
      <c r="L169" s="8"/>
      <c r="M169" s="8"/>
      <c r="N169" s="9"/>
      <c r="O169" s="8"/>
      <c r="P169" s="8"/>
    </row>
    <row r="170" spans="1:16" ht="19.95" customHeight="1" x14ac:dyDescent="0.25">
      <c r="A170" s="5"/>
      <c r="B170" s="6"/>
      <c r="C170" s="6"/>
      <c r="D170" s="7"/>
      <c r="E170" s="11"/>
      <c r="F170" s="11"/>
      <c r="G170" s="6"/>
      <c r="H170" s="6"/>
      <c r="I170" s="6"/>
      <c r="J170" s="6"/>
      <c r="K170" s="11"/>
      <c r="L170" s="8"/>
      <c r="M170" s="8"/>
      <c r="N170" s="9"/>
      <c r="O170" s="8"/>
      <c r="P170" s="8"/>
    </row>
    <row r="171" spans="1:16" ht="19.95" customHeight="1" x14ac:dyDescent="0.25">
      <c r="A171" s="5"/>
      <c r="B171" s="6"/>
      <c r="C171" s="6"/>
      <c r="D171" s="7"/>
      <c r="E171" s="11"/>
      <c r="F171" s="11"/>
      <c r="G171" s="6"/>
      <c r="H171" s="6"/>
      <c r="I171" s="6"/>
      <c r="J171" s="6"/>
      <c r="K171" s="11"/>
      <c r="L171" s="8"/>
      <c r="M171" s="8"/>
      <c r="N171" s="9"/>
      <c r="O171" s="8"/>
      <c r="P171" s="8"/>
    </row>
    <row r="172" spans="1:16" ht="19.95" customHeight="1" x14ac:dyDescent="0.25">
      <c r="A172" s="5"/>
      <c r="B172" s="6"/>
      <c r="C172" s="6"/>
      <c r="D172" s="7"/>
      <c r="E172" s="11"/>
      <c r="F172" s="11"/>
      <c r="G172" s="6"/>
      <c r="H172" s="6"/>
      <c r="I172" s="6"/>
      <c r="J172" s="6"/>
      <c r="K172" s="11"/>
      <c r="L172" s="8"/>
      <c r="M172" s="8"/>
      <c r="N172" s="9"/>
      <c r="O172" s="8"/>
      <c r="P172" s="8"/>
    </row>
    <row r="173" spans="1:16" ht="19.95" customHeight="1" x14ac:dyDescent="0.25">
      <c r="A173" s="5"/>
      <c r="B173" s="6"/>
      <c r="C173" s="6"/>
      <c r="D173" s="7"/>
      <c r="E173" s="11"/>
      <c r="F173" s="11"/>
      <c r="G173" s="6"/>
      <c r="H173" s="6"/>
      <c r="I173" s="6"/>
      <c r="J173" s="6"/>
      <c r="K173" s="11"/>
      <c r="L173" s="8"/>
      <c r="M173" s="8"/>
      <c r="N173" s="9"/>
      <c r="O173" s="8"/>
      <c r="P173" s="8"/>
    </row>
    <row r="174" spans="1:16" ht="19.95" customHeight="1" x14ac:dyDescent="0.25">
      <c r="A174" s="5"/>
      <c r="B174" s="6"/>
      <c r="C174" s="6"/>
      <c r="D174" s="7"/>
      <c r="E174" s="11"/>
      <c r="F174" s="11"/>
      <c r="G174" s="6"/>
      <c r="H174" s="6"/>
      <c r="I174" s="6"/>
      <c r="J174" s="6"/>
      <c r="K174" s="11"/>
      <c r="L174" s="8"/>
      <c r="M174" s="8"/>
      <c r="N174" s="9"/>
      <c r="O174" s="8"/>
      <c r="P174" s="8"/>
    </row>
    <row r="175" spans="1:16" ht="19.95" customHeight="1" x14ac:dyDescent="0.25">
      <c r="A175" s="5"/>
      <c r="B175" s="6"/>
      <c r="C175" s="6"/>
      <c r="D175" s="7"/>
      <c r="E175" s="11"/>
      <c r="F175" s="11"/>
      <c r="G175" s="6"/>
      <c r="H175" s="6"/>
      <c r="I175" s="6"/>
      <c r="J175" s="6"/>
      <c r="K175" s="11"/>
      <c r="L175" s="8"/>
      <c r="M175" s="8"/>
      <c r="N175" s="9"/>
      <c r="O175" s="8"/>
      <c r="P175" s="8"/>
    </row>
    <row r="176" spans="1:16" ht="19.95" customHeight="1" x14ac:dyDescent="0.25">
      <c r="A176" s="5"/>
      <c r="B176" s="6"/>
      <c r="C176" s="6"/>
      <c r="D176" s="7"/>
      <c r="E176" s="11"/>
      <c r="F176" s="11"/>
      <c r="G176" s="6"/>
      <c r="H176" s="6"/>
      <c r="I176" s="6"/>
      <c r="J176" s="6"/>
      <c r="K176" s="11"/>
      <c r="L176" s="8"/>
      <c r="M176" s="8"/>
      <c r="N176" s="9"/>
      <c r="O176" s="8"/>
      <c r="P176" s="8"/>
    </row>
    <row r="177" spans="1:16" ht="19.95" customHeight="1" x14ac:dyDescent="0.25">
      <c r="A177" s="5"/>
      <c r="B177" s="6"/>
      <c r="C177" s="6"/>
      <c r="D177" s="7"/>
      <c r="E177" s="11"/>
      <c r="F177" s="11"/>
      <c r="G177" s="6"/>
      <c r="H177" s="6"/>
      <c r="I177" s="6"/>
      <c r="J177" s="6"/>
      <c r="K177" s="11"/>
      <c r="L177" s="8"/>
      <c r="M177" s="8"/>
      <c r="N177" s="9"/>
      <c r="O177" s="8"/>
      <c r="P177" s="8"/>
    </row>
    <row r="178" spans="1:16" ht="19.95" customHeight="1" x14ac:dyDescent="0.25">
      <c r="A178" s="5"/>
      <c r="B178" s="6"/>
      <c r="C178" s="6"/>
      <c r="D178" s="7"/>
      <c r="E178" s="11"/>
      <c r="F178" s="11"/>
      <c r="G178" s="6"/>
      <c r="H178" s="6"/>
      <c r="I178" s="6"/>
      <c r="J178" s="6"/>
      <c r="K178" s="11"/>
      <c r="L178" s="8"/>
      <c r="M178" s="8"/>
      <c r="N178" s="9"/>
      <c r="O178" s="8"/>
      <c r="P178" s="8"/>
    </row>
    <row r="179" spans="1:16" ht="19.95" customHeight="1" x14ac:dyDescent="0.25">
      <c r="A179" s="5"/>
      <c r="B179" s="6"/>
      <c r="C179" s="6"/>
      <c r="D179" s="7"/>
      <c r="E179" s="11"/>
      <c r="F179" s="11"/>
      <c r="G179" s="6"/>
      <c r="H179" s="6"/>
      <c r="I179" s="6"/>
      <c r="J179" s="6"/>
      <c r="K179" s="11"/>
      <c r="L179" s="8"/>
      <c r="M179" s="8"/>
      <c r="N179" s="9"/>
      <c r="O179" s="8"/>
      <c r="P179" s="8"/>
    </row>
    <row r="180" spans="1:16" ht="19.95" customHeight="1" x14ac:dyDescent="0.25">
      <c r="A180" s="5"/>
      <c r="B180" s="6"/>
      <c r="C180" s="6"/>
      <c r="D180" s="7"/>
      <c r="E180" s="11"/>
      <c r="F180" s="11"/>
      <c r="G180" s="6"/>
      <c r="H180" s="6"/>
      <c r="I180" s="6"/>
      <c r="J180" s="6"/>
      <c r="K180" s="11"/>
      <c r="L180" s="8"/>
      <c r="M180" s="8"/>
      <c r="N180" s="9"/>
      <c r="O180" s="8"/>
      <c r="P180" s="8"/>
    </row>
    <row r="181" spans="1:16" ht="19.95" customHeight="1" x14ac:dyDescent="0.25">
      <c r="A181" s="5"/>
      <c r="B181" s="6"/>
      <c r="C181" s="6"/>
      <c r="D181" s="7"/>
      <c r="E181" s="11"/>
      <c r="F181" s="11"/>
      <c r="G181" s="6"/>
      <c r="H181" s="6"/>
      <c r="I181" s="6"/>
      <c r="J181" s="6"/>
      <c r="K181" s="11"/>
      <c r="L181" s="8"/>
      <c r="M181" s="8"/>
      <c r="N181" s="9"/>
      <c r="O181" s="8"/>
      <c r="P181" s="8"/>
    </row>
    <row r="182" spans="1:16" ht="19.95" customHeight="1" x14ac:dyDescent="0.25">
      <c r="A182" s="5"/>
      <c r="B182" s="6"/>
      <c r="C182" s="6"/>
      <c r="D182" s="7"/>
      <c r="E182" s="11"/>
      <c r="F182" s="11"/>
      <c r="G182" s="6"/>
      <c r="H182" s="6"/>
      <c r="I182" s="6"/>
      <c r="J182" s="6"/>
      <c r="K182" s="11"/>
      <c r="L182" s="8"/>
      <c r="M182" s="8"/>
      <c r="N182" s="9"/>
      <c r="O182" s="8"/>
      <c r="P182" s="8"/>
    </row>
    <row r="183" spans="1:16" ht="19.95" customHeight="1" x14ac:dyDescent="0.25">
      <c r="A183" s="5"/>
      <c r="B183" s="6"/>
      <c r="C183" s="6"/>
      <c r="D183" s="7"/>
      <c r="E183" s="11"/>
      <c r="F183" s="11"/>
      <c r="G183" s="6"/>
      <c r="H183" s="6"/>
      <c r="I183" s="6"/>
      <c r="J183" s="6"/>
      <c r="K183" s="11"/>
      <c r="L183" s="8"/>
      <c r="M183" s="8"/>
      <c r="N183" s="9"/>
      <c r="O183" s="8"/>
      <c r="P183" s="8"/>
    </row>
    <row r="184" spans="1:16" ht="19.95" customHeight="1" x14ac:dyDescent="0.25">
      <c r="A184" s="5"/>
      <c r="B184" s="6"/>
      <c r="C184" s="6"/>
      <c r="D184" s="7"/>
      <c r="E184" s="11"/>
      <c r="F184" s="11"/>
      <c r="G184" s="6"/>
      <c r="H184" s="6"/>
      <c r="I184" s="6"/>
      <c r="J184" s="6"/>
      <c r="K184" s="11"/>
      <c r="L184" s="8"/>
      <c r="M184" s="8"/>
      <c r="N184" s="9"/>
      <c r="O184" s="8"/>
      <c r="P184" s="8"/>
    </row>
    <row r="185" spans="1:16" ht="19.95" customHeight="1" x14ac:dyDescent="0.25">
      <c r="A185" s="5"/>
      <c r="B185" s="6"/>
      <c r="C185" s="6"/>
      <c r="D185" s="7"/>
      <c r="E185" s="11"/>
      <c r="F185" s="11"/>
      <c r="G185" s="6"/>
      <c r="H185" s="6"/>
      <c r="I185" s="6"/>
      <c r="J185" s="6"/>
      <c r="K185" s="11"/>
      <c r="L185" s="8"/>
      <c r="M185" s="8"/>
      <c r="N185" s="9"/>
      <c r="O185" s="8"/>
      <c r="P185" s="8"/>
    </row>
    <row r="186" spans="1:16" ht="19.95" customHeight="1" x14ac:dyDescent="0.25">
      <c r="A186" s="5"/>
      <c r="B186" s="6"/>
      <c r="C186" s="6"/>
      <c r="D186" s="7"/>
      <c r="E186" s="11"/>
      <c r="F186" s="11"/>
      <c r="G186" s="6"/>
      <c r="H186" s="6"/>
      <c r="I186" s="6"/>
      <c r="J186" s="6"/>
      <c r="K186" s="11"/>
      <c r="L186" s="8"/>
      <c r="M186" s="8"/>
      <c r="N186" s="9"/>
      <c r="O186" s="8"/>
      <c r="P186" s="8"/>
    </row>
    <row r="187" spans="1:16" ht="19.95" customHeight="1" x14ac:dyDescent="0.25">
      <c r="A187" s="5"/>
      <c r="B187" s="6"/>
      <c r="C187" s="6"/>
      <c r="D187" s="7"/>
      <c r="E187" s="11"/>
      <c r="F187" s="11"/>
      <c r="G187" s="6"/>
      <c r="H187" s="6"/>
      <c r="I187" s="6"/>
      <c r="J187" s="6"/>
      <c r="K187" s="11"/>
      <c r="L187" s="8"/>
      <c r="M187" s="8"/>
      <c r="N187" s="9"/>
      <c r="O187" s="8"/>
      <c r="P187" s="8"/>
    </row>
    <row r="188" spans="1:16" ht="19.95" customHeight="1" x14ac:dyDescent="0.25">
      <c r="A188" s="5"/>
      <c r="B188" s="6"/>
      <c r="C188" s="6"/>
      <c r="D188" s="7"/>
      <c r="E188" s="11"/>
      <c r="F188" s="11"/>
      <c r="G188" s="6"/>
      <c r="H188" s="6"/>
      <c r="I188" s="6"/>
      <c r="J188" s="6"/>
      <c r="K188" s="11"/>
      <c r="L188" s="8"/>
      <c r="M188" s="8"/>
      <c r="N188" s="9"/>
      <c r="O188" s="8"/>
      <c r="P188" s="8"/>
    </row>
    <row r="189" spans="1:16" ht="19.95" customHeight="1" x14ac:dyDescent="0.25">
      <c r="A189" s="5"/>
      <c r="B189" s="6"/>
      <c r="C189" s="6"/>
      <c r="D189" s="7"/>
      <c r="E189" s="11"/>
      <c r="F189" s="11"/>
      <c r="G189" s="6"/>
      <c r="H189" s="6"/>
      <c r="I189" s="6"/>
      <c r="J189" s="6"/>
      <c r="K189" s="11"/>
      <c r="L189" s="8"/>
      <c r="M189" s="8"/>
      <c r="N189" s="9"/>
      <c r="O189" s="8"/>
      <c r="P189" s="8"/>
    </row>
    <row r="190" spans="1:16" ht="19.95" customHeight="1" x14ac:dyDescent="0.25">
      <c r="A190" s="5"/>
      <c r="B190" s="6"/>
      <c r="C190" s="6"/>
      <c r="D190" s="7"/>
      <c r="E190" s="11"/>
      <c r="F190" s="11"/>
      <c r="G190" s="6"/>
      <c r="H190" s="6"/>
      <c r="I190" s="6"/>
      <c r="J190" s="6"/>
      <c r="K190" s="11"/>
      <c r="L190" s="8"/>
      <c r="M190" s="8"/>
      <c r="N190" s="9"/>
      <c r="O190" s="8"/>
      <c r="P190" s="8"/>
    </row>
    <row r="191" spans="1:16" ht="19.95" customHeight="1" x14ac:dyDescent="0.25">
      <c r="A191" s="5"/>
      <c r="B191" s="6"/>
      <c r="C191" s="6"/>
      <c r="D191" s="7"/>
      <c r="E191" s="11"/>
      <c r="F191" s="11"/>
      <c r="G191" s="6"/>
      <c r="H191" s="6"/>
      <c r="I191" s="6"/>
      <c r="J191" s="6"/>
      <c r="K191" s="11"/>
      <c r="L191" s="8"/>
      <c r="M191" s="8"/>
      <c r="N191" s="9"/>
      <c r="O191" s="8"/>
      <c r="P191" s="8"/>
    </row>
    <row r="192" spans="1:16" ht="19.95" customHeight="1" x14ac:dyDescent="0.25">
      <c r="A192" s="5"/>
      <c r="B192" s="6"/>
      <c r="C192" s="6"/>
      <c r="D192" s="7"/>
      <c r="E192" s="11"/>
      <c r="F192" s="11"/>
      <c r="G192" s="6"/>
      <c r="H192" s="6"/>
      <c r="I192" s="6"/>
      <c r="J192" s="6"/>
      <c r="K192" s="11"/>
      <c r="L192" s="8"/>
      <c r="M192" s="8"/>
      <c r="N192" s="9"/>
      <c r="O192" s="8"/>
      <c r="P192" s="8"/>
    </row>
    <row r="193" spans="1:16" ht="19.95" customHeight="1" x14ac:dyDescent="0.25">
      <c r="A193" s="5"/>
      <c r="B193" s="6"/>
      <c r="C193" s="6"/>
      <c r="D193" s="7"/>
      <c r="E193" s="11"/>
      <c r="F193" s="11"/>
      <c r="G193" s="6"/>
      <c r="H193" s="6"/>
      <c r="I193" s="6"/>
      <c r="J193" s="6"/>
      <c r="K193" s="11"/>
      <c r="L193" s="8"/>
      <c r="M193" s="8"/>
      <c r="N193" s="9"/>
      <c r="O193" s="8"/>
      <c r="P193" s="8"/>
    </row>
    <row r="194" spans="1:16" ht="19.95" customHeight="1" x14ac:dyDescent="0.25">
      <c r="A194" s="5"/>
      <c r="B194" s="6"/>
      <c r="C194" s="6"/>
      <c r="D194" s="7"/>
      <c r="E194" s="11"/>
      <c r="F194" s="11"/>
      <c r="G194" s="6"/>
      <c r="H194" s="6"/>
      <c r="I194" s="6"/>
      <c r="J194" s="6"/>
      <c r="K194" s="11"/>
      <c r="L194" s="8"/>
      <c r="M194" s="8"/>
      <c r="N194" s="9"/>
      <c r="O194" s="8"/>
      <c r="P194" s="8"/>
    </row>
    <row r="195" spans="1:16" ht="19.95" customHeight="1" x14ac:dyDescent="0.25">
      <c r="A195" s="5"/>
      <c r="B195" s="6"/>
      <c r="C195" s="6"/>
      <c r="D195" s="7"/>
      <c r="E195" s="11"/>
      <c r="F195" s="11"/>
      <c r="G195" s="6"/>
      <c r="H195" s="6"/>
      <c r="I195" s="6"/>
      <c r="J195" s="6"/>
      <c r="K195" s="11"/>
      <c r="L195" s="8"/>
      <c r="M195" s="8"/>
      <c r="N195" s="9"/>
      <c r="O195" s="8"/>
      <c r="P195" s="8"/>
    </row>
    <row r="196" spans="1:16" ht="19.95" customHeight="1" x14ac:dyDescent="0.25">
      <c r="A196" s="5"/>
      <c r="B196" s="6"/>
      <c r="C196" s="6"/>
      <c r="D196" s="7"/>
      <c r="E196" s="11"/>
      <c r="F196" s="11"/>
      <c r="G196" s="6"/>
      <c r="H196" s="6"/>
      <c r="I196" s="6"/>
      <c r="J196" s="6"/>
      <c r="K196" s="11"/>
      <c r="L196" s="8"/>
      <c r="M196" s="8"/>
      <c r="N196" s="9"/>
      <c r="O196" s="8"/>
      <c r="P196" s="8"/>
    </row>
    <row r="197" spans="1:16" ht="19.95" customHeight="1" x14ac:dyDescent="0.25">
      <c r="A197" s="5"/>
      <c r="B197" s="6"/>
      <c r="C197" s="6"/>
      <c r="D197" s="7"/>
      <c r="E197" s="11"/>
      <c r="F197" s="11"/>
      <c r="G197" s="6"/>
      <c r="H197" s="6"/>
      <c r="I197" s="6"/>
      <c r="J197" s="6"/>
      <c r="K197" s="11"/>
      <c r="L197" s="8"/>
      <c r="M197" s="8"/>
      <c r="N197" s="9"/>
      <c r="O197" s="8"/>
      <c r="P197" s="8"/>
    </row>
    <row r="198" spans="1:16" ht="19.95" customHeight="1" x14ac:dyDescent="0.25">
      <c r="A198" s="5"/>
      <c r="B198" s="6"/>
      <c r="C198" s="6"/>
      <c r="D198" s="7"/>
      <c r="E198" s="11"/>
      <c r="F198" s="11"/>
      <c r="G198" s="6"/>
      <c r="H198" s="6"/>
      <c r="I198" s="6"/>
      <c r="J198" s="6"/>
      <c r="K198" s="11"/>
      <c r="L198" s="8"/>
      <c r="M198" s="8"/>
      <c r="N198" s="9"/>
      <c r="O198" s="8"/>
      <c r="P198" s="8"/>
    </row>
    <row r="199" spans="1:16" ht="19.95" customHeight="1" x14ac:dyDescent="0.25">
      <c r="A199" s="5"/>
      <c r="B199" s="6"/>
      <c r="C199" s="6"/>
      <c r="D199" s="7"/>
      <c r="E199" s="11"/>
      <c r="F199" s="11"/>
      <c r="G199" s="6"/>
      <c r="H199" s="6"/>
      <c r="I199" s="6"/>
      <c r="J199" s="6"/>
      <c r="K199" s="11"/>
      <c r="L199" s="8"/>
      <c r="M199" s="8"/>
      <c r="N199" s="9"/>
      <c r="O199" s="8"/>
      <c r="P199" s="8"/>
    </row>
    <row r="200" spans="1:16" ht="19.95" customHeight="1" x14ac:dyDescent="0.25">
      <c r="A200" s="5"/>
      <c r="B200" s="6"/>
      <c r="C200" s="6"/>
      <c r="D200" s="7"/>
      <c r="E200" s="11"/>
      <c r="F200" s="11"/>
      <c r="G200" s="6"/>
      <c r="H200" s="6"/>
      <c r="I200" s="6"/>
      <c r="J200" s="6"/>
      <c r="K200" s="11"/>
      <c r="L200" s="8"/>
      <c r="M200" s="8"/>
      <c r="N200" s="9"/>
      <c r="O200" s="8"/>
      <c r="P200" s="8"/>
    </row>
    <row r="201" spans="1:16" ht="19.95" customHeight="1" x14ac:dyDescent="0.25">
      <c r="A201" s="5"/>
      <c r="B201" s="6"/>
      <c r="C201" s="6"/>
      <c r="D201" s="7"/>
      <c r="E201" s="11"/>
      <c r="F201" s="11"/>
      <c r="G201" s="6"/>
      <c r="H201" s="6"/>
      <c r="I201" s="6"/>
      <c r="J201" s="6"/>
      <c r="K201" s="11"/>
      <c r="L201" s="8"/>
      <c r="M201" s="8"/>
      <c r="N201" s="9"/>
      <c r="O201" s="8"/>
      <c r="P201" s="8"/>
    </row>
    <row r="202" spans="1:16" ht="19.95" customHeight="1" x14ac:dyDescent="0.25">
      <c r="A202" s="5"/>
      <c r="B202" s="6"/>
      <c r="C202" s="6"/>
      <c r="D202" s="7"/>
      <c r="E202" s="11"/>
      <c r="F202" s="11"/>
      <c r="G202" s="6"/>
      <c r="H202" s="6"/>
      <c r="I202" s="6"/>
      <c r="J202" s="6"/>
      <c r="K202" s="11"/>
      <c r="L202" s="8"/>
      <c r="M202" s="8"/>
      <c r="N202" s="9"/>
      <c r="O202" s="8"/>
      <c r="P202" s="8"/>
    </row>
    <row r="203" spans="1:16" ht="19.95" customHeight="1" x14ac:dyDescent="0.25">
      <c r="A203" s="5"/>
      <c r="B203" s="6"/>
      <c r="C203" s="6"/>
      <c r="D203" s="7"/>
      <c r="E203" s="11"/>
      <c r="F203" s="11"/>
      <c r="G203" s="6"/>
      <c r="H203" s="6"/>
      <c r="I203" s="6"/>
      <c r="J203" s="6"/>
      <c r="K203" s="11"/>
      <c r="L203" s="8"/>
      <c r="M203" s="8"/>
      <c r="N203" s="9"/>
      <c r="O203" s="8"/>
      <c r="P203" s="8"/>
    </row>
    <row r="204" spans="1:16" ht="19.95" customHeight="1" x14ac:dyDescent="0.25">
      <c r="A204" s="5"/>
      <c r="B204" s="6"/>
      <c r="C204" s="6"/>
      <c r="D204" s="7"/>
      <c r="E204" s="11"/>
      <c r="F204" s="11"/>
      <c r="G204" s="6"/>
      <c r="H204" s="6"/>
      <c r="I204" s="6"/>
      <c r="J204" s="6"/>
      <c r="K204" s="11"/>
      <c r="L204" s="8"/>
      <c r="M204" s="8"/>
      <c r="N204" s="9"/>
      <c r="O204" s="8"/>
      <c r="P204" s="8"/>
    </row>
    <row r="205" spans="1:16" ht="19.95" customHeight="1" x14ac:dyDescent="0.25">
      <c r="A205" s="5"/>
      <c r="B205" s="6"/>
      <c r="C205" s="6"/>
      <c r="D205" s="7"/>
      <c r="E205" s="11"/>
      <c r="F205" s="11"/>
      <c r="G205" s="6"/>
      <c r="H205" s="6"/>
      <c r="I205" s="6"/>
      <c r="J205" s="6"/>
      <c r="K205" s="11"/>
      <c r="L205" s="8"/>
      <c r="M205" s="8"/>
      <c r="N205" s="9"/>
      <c r="O205" s="8"/>
      <c r="P205" s="8"/>
    </row>
    <row r="206" spans="1:16" ht="19.95" customHeight="1" x14ac:dyDescent="0.25">
      <c r="A206" s="5"/>
      <c r="B206" s="6"/>
      <c r="C206" s="6"/>
      <c r="D206" s="7"/>
      <c r="E206" s="11"/>
      <c r="F206" s="11"/>
      <c r="G206" s="6"/>
      <c r="H206" s="6"/>
      <c r="I206" s="6"/>
      <c r="J206" s="6"/>
      <c r="K206" s="11"/>
      <c r="L206" s="8"/>
      <c r="M206" s="8"/>
      <c r="N206" s="9"/>
      <c r="O206" s="8"/>
      <c r="P206" s="8"/>
    </row>
    <row r="207" spans="1:16" ht="19.95" customHeight="1" x14ac:dyDescent="0.25">
      <c r="A207" s="5"/>
      <c r="B207" s="6"/>
      <c r="C207" s="6"/>
      <c r="D207" s="7"/>
      <c r="E207" s="11"/>
      <c r="F207" s="11"/>
      <c r="G207" s="6"/>
      <c r="H207" s="6"/>
      <c r="I207" s="6"/>
      <c r="J207" s="6"/>
      <c r="K207" s="11"/>
      <c r="L207" s="8"/>
      <c r="M207" s="8"/>
      <c r="N207" s="9"/>
      <c r="O207" s="8"/>
      <c r="P207" s="8"/>
    </row>
    <row r="208" spans="1:16" ht="19.95" customHeight="1" x14ac:dyDescent="0.25">
      <c r="A208" s="5"/>
      <c r="B208" s="6"/>
      <c r="C208" s="6"/>
      <c r="D208" s="7"/>
      <c r="E208" s="11"/>
      <c r="F208" s="11"/>
      <c r="G208" s="6"/>
      <c r="H208" s="6"/>
      <c r="I208" s="6"/>
      <c r="J208" s="6"/>
      <c r="K208" s="11"/>
      <c r="L208" s="8"/>
      <c r="M208" s="8"/>
      <c r="N208" s="9"/>
      <c r="O208" s="8"/>
      <c r="P208" s="8"/>
    </row>
    <row r="209" spans="1:16" ht="19.95" customHeight="1" x14ac:dyDescent="0.25">
      <c r="A209" s="5"/>
      <c r="B209" s="6"/>
      <c r="C209" s="6"/>
      <c r="D209" s="7"/>
      <c r="E209" s="11"/>
      <c r="F209" s="11"/>
      <c r="G209" s="6"/>
      <c r="H209" s="6"/>
      <c r="I209" s="6"/>
      <c r="J209" s="6"/>
      <c r="K209" s="11"/>
      <c r="L209" s="8"/>
      <c r="M209" s="8"/>
      <c r="N209" s="9"/>
      <c r="O209" s="8"/>
      <c r="P209" s="8"/>
    </row>
    <row r="210" spans="1:16" ht="19.95" customHeight="1" x14ac:dyDescent="0.25">
      <c r="A210" s="5"/>
      <c r="B210" s="6"/>
      <c r="C210" s="6"/>
      <c r="D210" s="7"/>
      <c r="E210" s="11"/>
      <c r="F210" s="11"/>
      <c r="G210" s="6"/>
      <c r="H210" s="6"/>
      <c r="I210" s="6"/>
      <c r="J210" s="6"/>
      <c r="K210" s="11"/>
      <c r="L210" s="8"/>
      <c r="M210" s="8"/>
      <c r="N210" s="9"/>
      <c r="O210" s="8"/>
      <c r="P210" s="8"/>
    </row>
    <row r="211" spans="1:16" ht="19.95" customHeight="1" x14ac:dyDescent="0.25">
      <c r="A211" s="5"/>
      <c r="B211" s="6"/>
      <c r="C211" s="6"/>
      <c r="D211" s="7"/>
      <c r="E211" s="11"/>
      <c r="F211" s="11"/>
      <c r="G211" s="6"/>
      <c r="H211" s="6"/>
      <c r="I211" s="6"/>
      <c r="J211" s="6"/>
      <c r="K211" s="11"/>
      <c r="L211" s="8"/>
      <c r="M211" s="8"/>
      <c r="N211" s="9"/>
      <c r="O211" s="8"/>
      <c r="P211" s="8"/>
    </row>
    <row r="212" spans="1:16" ht="19.95" customHeight="1" x14ac:dyDescent="0.25">
      <c r="A212" s="5"/>
      <c r="B212" s="6"/>
      <c r="C212" s="6"/>
      <c r="D212" s="7"/>
      <c r="E212" s="11"/>
      <c r="F212" s="11"/>
      <c r="G212" s="6"/>
      <c r="H212" s="6"/>
      <c r="I212" s="6"/>
      <c r="J212" s="6"/>
      <c r="K212" s="11"/>
      <c r="L212" s="8"/>
      <c r="M212" s="8"/>
      <c r="N212" s="9"/>
      <c r="O212" s="8"/>
      <c r="P212" s="8"/>
    </row>
    <row r="213" spans="1:16" ht="19.95" customHeight="1" x14ac:dyDescent="0.25">
      <c r="A213" s="5"/>
      <c r="B213" s="6"/>
      <c r="C213" s="6"/>
      <c r="D213" s="7"/>
      <c r="E213" s="11"/>
      <c r="F213" s="11"/>
      <c r="G213" s="6"/>
      <c r="H213" s="6"/>
      <c r="I213" s="6"/>
      <c r="J213" s="6"/>
      <c r="K213" s="11"/>
      <c r="L213" s="8"/>
      <c r="M213" s="8"/>
      <c r="N213" s="9"/>
      <c r="O213" s="8"/>
      <c r="P213" s="8"/>
    </row>
    <row r="214" spans="1:16" ht="19.95" customHeight="1" x14ac:dyDescent="0.25">
      <c r="A214" s="5"/>
      <c r="B214" s="6"/>
      <c r="C214" s="6"/>
      <c r="D214" s="7"/>
      <c r="E214" s="11"/>
      <c r="F214" s="11"/>
      <c r="G214" s="6"/>
      <c r="H214" s="6"/>
      <c r="I214" s="6"/>
      <c r="J214" s="6"/>
      <c r="K214" s="11"/>
      <c r="L214" s="8"/>
      <c r="M214" s="8"/>
      <c r="N214" s="9"/>
      <c r="O214" s="8"/>
      <c r="P214" s="8"/>
    </row>
    <row r="215" spans="1:16" ht="19.95" customHeight="1" x14ac:dyDescent="0.25">
      <c r="A215" s="5"/>
      <c r="B215" s="6"/>
      <c r="C215" s="6"/>
      <c r="D215" s="7"/>
      <c r="E215" s="11"/>
      <c r="F215" s="11"/>
      <c r="G215" s="6"/>
      <c r="H215" s="6"/>
      <c r="I215" s="6"/>
      <c r="J215" s="6"/>
      <c r="K215" s="11"/>
      <c r="L215" s="8"/>
      <c r="M215" s="8"/>
      <c r="N215" s="9"/>
      <c r="O215" s="8"/>
      <c r="P215" s="8"/>
    </row>
    <row r="216" spans="1:16" ht="19.95" customHeight="1" x14ac:dyDescent="0.25">
      <c r="A216" s="5"/>
      <c r="B216" s="6"/>
      <c r="C216" s="6"/>
      <c r="D216" s="7"/>
      <c r="E216" s="11"/>
      <c r="F216" s="11"/>
      <c r="G216" s="6"/>
      <c r="H216" s="6"/>
      <c r="I216" s="6"/>
      <c r="J216" s="6"/>
      <c r="K216" s="11"/>
      <c r="L216" s="8"/>
      <c r="M216" s="8"/>
      <c r="N216" s="9"/>
      <c r="O216" s="8"/>
      <c r="P216" s="8"/>
    </row>
    <row r="217" spans="1:16" ht="19.95" customHeight="1" x14ac:dyDescent="0.25">
      <c r="A217" s="5"/>
      <c r="B217" s="6"/>
      <c r="C217" s="6"/>
      <c r="D217" s="7"/>
      <c r="E217" s="11"/>
      <c r="F217" s="11"/>
      <c r="G217" s="6"/>
      <c r="H217" s="6"/>
      <c r="I217" s="6"/>
      <c r="J217" s="6"/>
      <c r="K217" s="11"/>
      <c r="L217" s="8"/>
      <c r="M217" s="8"/>
      <c r="N217" s="9"/>
      <c r="O217" s="8"/>
      <c r="P217" s="8"/>
    </row>
    <row r="218" spans="1:16" ht="19.95" customHeight="1" x14ac:dyDescent="0.25">
      <c r="A218" s="5"/>
      <c r="B218" s="6"/>
      <c r="C218" s="6"/>
      <c r="D218" s="7"/>
      <c r="E218" s="11"/>
      <c r="F218" s="11"/>
      <c r="G218" s="6"/>
      <c r="H218" s="6"/>
      <c r="I218" s="6"/>
      <c r="J218" s="6"/>
      <c r="K218" s="11"/>
      <c r="L218" s="8"/>
      <c r="M218" s="8"/>
      <c r="N218" s="9"/>
      <c r="O218" s="8"/>
      <c r="P218" s="8"/>
    </row>
    <row r="219" spans="1:16" ht="19.95" customHeight="1" x14ac:dyDescent="0.25">
      <c r="A219" s="5"/>
      <c r="B219" s="6"/>
      <c r="C219" s="6"/>
      <c r="D219" s="7"/>
      <c r="E219" s="11"/>
      <c r="F219" s="11"/>
      <c r="G219" s="6"/>
      <c r="H219" s="6"/>
      <c r="I219" s="6"/>
      <c r="J219" s="6"/>
      <c r="K219" s="11"/>
      <c r="L219" s="8"/>
      <c r="M219" s="8"/>
      <c r="N219" s="9"/>
      <c r="O219" s="8"/>
      <c r="P219" s="8"/>
    </row>
    <row r="220" spans="1:16" ht="19.95" customHeight="1" x14ac:dyDescent="0.25">
      <c r="A220" s="5"/>
      <c r="B220" s="6"/>
      <c r="C220" s="6"/>
      <c r="D220" s="7"/>
      <c r="E220" s="11"/>
      <c r="F220" s="11"/>
      <c r="G220" s="6"/>
      <c r="H220" s="6"/>
      <c r="I220" s="6"/>
      <c r="J220" s="6"/>
      <c r="K220" s="11"/>
      <c r="L220" s="8"/>
      <c r="M220" s="8"/>
      <c r="N220" s="9"/>
      <c r="O220" s="8"/>
      <c r="P220" s="8"/>
    </row>
    <row r="221" spans="1:16" ht="19.95" customHeight="1" x14ac:dyDescent="0.25">
      <c r="A221" s="5"/>
      <c r="B221" s="6"/>
      <c r="C221" s="6"/>
      <c r="D221" s="7"/>
      <c r="E221" s="11"/>
      <c r="F221" s="11"/>
      <c r="G221" s="6"/>
      <c r="H221" s="6"/>
      <c r="I221" s="6"/>
      <c r="J221" s="6"/>
      <c r="K221" s="11"/>
      <c r="L221" s="8"/>
      <c r="M221" s="8"/>
      <c r="N221" s="9"/>
      <c r="O221" s="8"/>
      <c r="P221" s="8"/>
    </row>
    <row r="222" spans="1:16" ht="19.95" customHeight="1" x14ac:dyDescent="0.25">
      <c r="A222" s="5"/>
      <c r="B222" s="6"/>
      <c r="C222" s="6"/>
      <c r="D222" s="7"/>
      <c r="E222" s="11"/>
      <c r="F222" s="11"/>
      <c r="G222" s="6"/>
      <c r="H222" s="6"/>
      <c r="I222" s="6"/>
      <c r="J222" s="6"/>
      <c r="K222" s="11"/>
      <c r="L222" s="8"/>
      <c r="M222" s="8"/>
      <c r="N222" s="9"/>
      <c r="O222" s="8"/>
      <c r="P222" s="8"/>
    </row>
    <row r="223" spans="1:16" ht="19.95" customHeight="1" x14ac:dyDescent="0.25">
      <c r="A223" s="5"/>
      <c r="B223" s="6"/>
      <c r="C223" s="6"/>
      <c r="D223" s="7"/>
      <c r="E223" s="11"/>
      <c r="F223" s="11"/>
      <c r="G223" s="6"/>
      <c r="H223" s="6"/>
      <c r="I223" s="6"/>
      <c r="J223" s="6"/>
      <c r="K223" s="11"/>
      <c r="L223" s="8"/>
      <c r="M223" s="8"/>
      <c r="N223" s="9"/>
      <c r="O223" s="8"/>
      <c r="P223" s="8"/>
    </row>
    <row r="224" spans="1:16" ht="19.95" customHeight="1" x14ac:dyDescent="0.25">
      <c r="A224" s="5"/>
      <c r="B224" s="6"/>
      <c r="C224" s="6"/>
      <c r="D224" s="7"/>
      <c r="E224" s="11"/>
      <c r="F224" s="11"/>
      <c r="G224" s="6"/>
      <c r="H224" s="6"/>
      <c r="I224" s="6"/>
      <c r="J224" s="6"/>
      <c r="K224" s="11"/>
      <c r="L224" s="8"/>
      <c r="M224" s="8"/>
      <c r="N224" s="9"/>
      <c r="O224" s="8"/>
      <c r="P224" s="8"/>
    </row>
    <row r="225" spans="1:16" ht="19.95" customHeight="1" x14ac:dyDescent="0.25">
      <c r="A225" s="5"/>
      <c r="B225" s="6"/>
      <c r="C225" s="6"/>
      <c r="D225" s="7"/>
      <c r="E225" s="11"/>
      <c r="F225" s="11"/>
      <c r="G225" s="6"/>
      <c r="H225" s="6"/>
      <c r="I225" s="6"/>
      <c r="J225" s="6"/>
      <c r="K225" s="11"/>
      <c r="L225" s="8"/>
      <c r="M225" s="8"/>
      <c r="N225" s="9"/>
      <c r="O225" s="8"/>
      <c r="P225" s="8"/>
    </row>
    <row r="226" spans="1:16" ht="19.95" customHeight="1" x14ac:dyDescent="0.25">
      <c r="A226" s="5"/>
      <c r="B226" s="6"/>
      <c r="C226" s="6"/>
      <c r="D226" s="7"/>
      <c r="E226" s="11"/>
      <c r="F226" s="11"/>
      <c r="G226" s="6"/>
      <c r="H226" s="6"/>
      <c r="I226" s="6"/>
      <c r="J226" s="6"/>
      <c r="K226" s="11"/>
      <c r="L226" s="8"/>
      <c r="M226" s="8"/>
      <c r="N226" s="9"/>
      <c r="O226" s="8"/>
      <c r="P226" s="8"/>
    </row>
    <row r="227" spans="1:16" ht="19.95" customHeight="1" x14ac:dyDescent="0.25">
      <c r="A227" s="5"/>
      <c r="B227" s="6"/>
      <c r="C227" s="6"/>
      <c r="D227" s="7"/>
      <c r="E227" s="11"/>
      <c r="F227" s="11"/>
      <c r="G227" s="6"/>
      <c r="H227" s="6"/>
      <c r="I227" s="6"/>
      <c r="J227" s="6"/>
      <c r="K227" s="11"/>
      <c r="L227" s="8"/>
      <c r="M227" s="8"/>
      <c r="N227" s="9"/>
      <c r="O227" s="8"/>
      <c r="P227" s="8"/>
    </row>
    <row r="228" spans="1:16" ht="19.95" customHeight="1" x14ac:dyDescent="0.25">
      <c r="A228" s="5"/>
      <c r="B228" s="6"/>
      <c r="C228" s="6"/>
      <c r="D228" s="7"/>
      <c r="E228" s="11"/>
      <c r="F228" s="11"/>
      <c r="G228" s="6"/>
      <c r="H228" s="6"/>
      <c r="I228" s="6"/>
      <c r="J228" s="6"/>
      <c r="K228" s="11"/>
      <c r="L228" s="8"/>
      <c r="M228" s="8"/>
      <c r="N228" s="9"/>
      <c r="O228" s="8"/>
      <c r="P228" s="8"/>
    </row>
  </sheetData>
  <autoFilter ref="A1:P9" xr:uid="{7E99A6E2-2E47-4A91-89E4-7AD29D7FCFF6}"/>
  <sortState xmlns:xlrd2="http://schemas.microsoft.com/office/spreadsheetml/2017/richdata2" ref="A2:P228">
    <sortCondition ref="D1:D228"/>
  </sortState>
  <phoneticPr fontId="10" type="noConversion"/>
  <conditionalFormatting sqref="B1:C1">
    <cfRule type="containsText" dxfId="251" priority="753" operator="containsText" text="yarı zamanlı">
      <formula>NOT(ISERROR(SEARCH("yarı zamanlı",B1)))</formula>
    </cfRule>
  </conditionalFormatting>
  <conditionalFormatting sqref="C3:C5">
    <cfRule type="containsText" dxfId="7" priority="7" operator="containsText" text="yarı zamanlı">
      <formula>NOT(ISERROR(SEARCH("yarı zamanlı",C3)))</formula>
    </cfRule>
  </conditionalFormatting>
  <conditionalFormatting sqref="C8">
    <cfRule type="containsText" dxfId="6" priority="6" operator="containsText" text="yarı zamanlı">
      <formula>NOT(ISERROR(SEARCH("yarı zamanlı",C8)))</formula>
    </cfRule>
  </conditionalFormatting>
  <conditionalFormatting sqref="C12">
    <cfRule type="containsText" dxfId="5" priority="5" operator="containsText" text="yarı zamanlı">
      <formula>NOT(ISERROR(SEARCH("yarı zamanlı",C12)))</formula>
    </cfRule>
  </conditionalFormatting>
  <conditionalFormatting sqref="C16:C17">
    <cfRule type="containsText" dxfId="4" priority="3" operator="containsText" text="yarı zamanlı">
      <formula>NOT(ISERROR(SEARCH("yarı zamanlı",C16)))</formula>
    </cfRule>
  </conditionalFormatting>
  <conditionalFormatting sqref="C19:C21">
    <cfRule type="containsText" dxfId="3" priority="1" operator="containsText" text="yarı zamanlı">
      <formula>NOT(ISERROR(SEARCH("yarı zamanlı",C19)))</formula>
    </cfRule>
  </conditionalFormatting>
  <pageMargins left="0.7" right="0.7" top="0.75" bottom="0.75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B6563-C95E-4D3E-AFFB-616FEFFE3BC2}">
  <sheetPr filterMode="1"/>
  <dimension ref="A1:AA1075"/>
  <sheetViews>
    <sheetView zoomScale="67" zoomScaleNormal="112" workbookViewId="0">
      <pane ySplit="1" topLeftCell="A119" activePane="bottomLeft" state="frozen"/>
      <selection activeCell="I862" sqref="I862"/>
      <selection pane="bottomLeft" activeCell="D133" sqref="D133"/>
    </sheetView>
  </sheetViews>
  <sheetFormatPr defaultColWidth="8" defaultRowHeight="15" x14ac:dyDescent="0.25"/>
  <cols>
    <col min="1" max="1" width="7.09765625" style="73" bestFit="1" customWidth="1"/>
    <col min="2" max="2" width="21.59765625" style="71" customWidth="1"/>
    <col min="3" max="3" width="23" style="71" bestFit="1" customWidth="1"/>
    <col min="4" max="4" width="8.69921875" style="71" customWidth="1"/>
    <col min="5" max="5" width="20.09765625" style="71" customWidth="1"/>
    <col min="6" max="6" width="33.8984375" style="71" customWidth="1"/>
    <col min="7" max="7" width="15.19921875" style="71" customWidth="1"/>
    <col min="8" max="8" width="11.59765625" style="71" customWidth="1"/>
    <col min="9" max="9" width="13.69921875" style="71" customWidth="1"/>
    <col min="10" max="10" width="14.19921875" style="71" customWidth="1"/>
    <col min="11" max="11" width="12.09765625" style="72" customWidth="1"/>
    <col min="12" max="12" width="11" style="72" customWidth="1"/>
    <col min="13" max="13" width="12.5" style="71" customWidth="1"/>
    <col min="14" max="14" width="11.8984375" style="71" customWidth="1"/>
    <col min="15" max="15" width="14.09765625" style="71" customWidth="1"/>
    <col min="16" max="17" width="11.59765625" style="71" customWidth="1"/>
    <col min="18" max="18" width="13" style="71" customWidth="1"/>
    <col min="19" max="19" width="8.69921875" style="73" customWidth="1"/>
    <col min="20" max="20" width="9.19921875" style="73" customWidth="1"/>
    <col min="21" max="21" width="10.5" style="73" customWidth="1"/>
    <col min="22" max="22" width="14.69921875" style="73" customWidth="1"/>
    <col min="23" max="23" width="19" style="71" customWidth="1"/>
    <col min="24" max="24" width="23" style="71" customWidth="1"/>
    <col min="25" max="25" width="13.69921875" style="162" customWidth="1"/>
    <col min="26" max="26" width="11" style="31" bestFit="1" customWidth="1"/>
    <col min="27" max="27" width="9.59765625" style="31" bestFit="1" customWidth="1"/>
    <col min="28" max="16384" width="8" style="31"/>
  </cols>
  <sheetData>
    <row r="1" spans="1:27" s="41" customFormat="1" ht="43.2" x14ac:dyDescent="0.25">
      <c r="A1" s="43" t="s">
        <v>296</v>
      </c>
      <c r="B1" s="44" t="s">
        <v>9</v>
      </c>
      <c r="C1" s="44" t="s">
        <v>297</v>
      </c>
      <c r="D1" s="44" t="s">
        <v>298</v>
      </c>
      <c r="E1" s="44" t="s">
        <v>299</v>
      </c>
      <c r="F1" s="44" t="s">
        <v>0</v>
      </c>
      <c r="G1" s="44" t="s">
        <v>300</v>
      </c>
      <c r="H1" s="44" t="s">
        <v>301</v>
      </c>
      <c r="I1" s="44" t="s">
        <v>302</v>
      </c>
      <c r="J1" s="45" t="s">
        <v>303</v>
      </c>
      <c r="K1" s="46" t="s">
        <v>295</v>
      </c>
      <c r="L1" s="46" t="s">
        <v>304</v>
      </c>
      <c r="M1" s="47" t="s">
        <v>305</v>
      </c>
      <c r="N1" s="47" t="s">
        <v>306</v>
      </c>
      <c r="O1" s="48" t="s">
        <v>307</v>
      </c>
      <c r="P1" s="48" t="s">
        <v>308</v>
      </c>
      <c r="Q1" s="49" t="s">
        <v>309</v>
      </c>
      <c r="R1" s="49" t="s">
        <v>310</v>
      </c>
      <c r="S1" s="50" t="s">
        <v>311</v>
      </c>
      <c r="T1" s="50" t="s">
        <v>312</v>
      </c>
      <c r="U1" s="50" t="s">
        <v>313</v>
      </c>
      <c r="V1" s="51" t="s">
        <v>314</v>
      </c>
      <c r="W1" s="51" t="s">
        <v>315</v>
      </c>
      <c r="X1" s="51" t="s">
        <v>316</v>
      </c>
      <c r="Y1" s="160" t="s">
        <v>317</v>
      </c>
    </row>
    <row r="2" spans="1:27" s="30" customFormat="1" ht="19.95" hidden="1" customHeight="1" x14ac:dyDescent="0.25">
      <c r="A2" s="15">
        <v>1</v>
      </c>
      <c r="B2" s="53" t="s">
        <v>20</v>
      </c>
      <c r="C2" s="119" t="s">
        <v>19</v>
      </c>
      <c r="D2" s="13" t="s">
        <v>21</v>
      </c>
      <c r="E2" s="13" t="s">
        <v>318</v>
      </c>
      <c r="F2" s="13" t="s">
        <v>16</v>
      </c>
      <c r="G2" s="13" t="s">
        <v>17</v>
      </c>
      <c r="H2" s="13" t="s">
        <v>319</v>
      </c>
      <c r="I2" s="13" t="s">
        <v>320</v>
      </c>
      <c r="J2" s="13" t="e">
        <f t="shared" ref="J2:J65" si="0">+IF(V2=1,"Tamamlandı","Devam Ediyor")</f>
        <v>#REF!</v>
      </c>
      <c r="K2" s="19" t="e">
        <f>VLOOKUP(B2,#REF!,2,0)</f>
        <v>#REF!</v>
      </c>
      <c r="L2" s="24" t="e">
        <f t="shared" ref="L2:L33" si="1">YEAR(K2)</f>
        <v>#REF!</v>
      </c>
      <c r="M2" s="19" t="e">
        <f t="shared" ref="M2:M33" si="2">+K2+O2</f>
        <v>#REF!</v>
      </c>
      <c r="N2" s="19" t="e">
        <f>VLOOKUP(B2,#REF!,2,0)</f>
        <v>#REF!</v>
      </c>
      <c r="O2" s="24">
        <v>150</v>
      </c>
      <c r="P2" s="24" t="e">
        <f t="shared" ref="P2:P33" si="3">+N2-K2</f>
        <v>#REF!</v>
      </c>
      <c r="Q2" s="24" t="e">
        <f t="shared" ref="Q2:Q33" si="4">+YEAR(N2)</f>
        <v>#REF!</v>
      </c>
      <c r="R2" s="36" t="e">
        <f t="shared" ref="R2:R33" si="5">IF(P2&lt;O2,1,1-(ABS(O2-P2)/O2))</f>
        <v>#REF!</v>
      </c>
      <c r="S2" s="16">
        <v>20</v>
      </c>
      <c r="T2" s="16" t="e">
        <f>+SUMIF(#REF!,'Özet Durum'!B2,#REF!)</f>
        <v>#REF!</v>
      </c>
      <c r="U2" s="17" t="e">
        <f t="shared" ref="U2:U33" si="6">+S2-T2</f>
        <v>#REF!</v>
      </c>
      <c r="V2" s="20" t="e">
        <f t="shared" ref="V2:V33" si="7">+T2/S2</f>
        <v>#REF!</v>
      </c>
      <c r="W2" s="14">
        <v>12000000</v>
      </c>
      <c r="X2" s="29" t="e">
        <f t="shared" ref="X2:X33" si="8">IF(T2&lt;S2/2," ",IF(T2=S2/2,"1.Anket Zamanı Geldi",IF(T2&gt;S2/2,"2.Anket Zamanı Geldi")))</f>
        <v>#REF!</v>
      </c>
      <c r="Y2" s="161">
        <v>0.99</v>
      </c>
    </row>
    <row r="3" spans="1:27" s="30" customFormat="1" ht="19.95" hidden="1" customHeight="1" x14ac:dyDescent="0.25">
      <c r="A3" s="15">
        <v>2</v>
      </c>
      <c r="B3" s="53" t="s">
        <v>31</v>
      </c>
      <c r="C3" s="119" t="s">
        <v>30</v>
      </c>
      <c r="D3" s="13" t="s">
        <v>21</v>
      </c>
      <c r="E3" s="13" t="s">
        <v>321</v>
      </c>
      <c r="F3" s="13" t="s">
        <v>27</v>
      </c>
      <c r="G3" s="13" t="s">
        <v>17</v>
      </c>
      <c r="H3" s="13" t="s">
        <v>319</v>
      </c>
      <c r="I3" s="13" t="s">
        <v>320</v>
      </c>
      <c r="J3" s="13" t="e">
        <f t="shared" si="0"/>
        <v>#REF!</v>
      </c>
      <c r="K3" s="19" t="e">
        <f>VLOOKUP(B3,#REF!,2,0)</f>
        <v>#REF!</v>
      </c>
      <c r="L3" s="24" t="e">
        <f t="shared" si="1"/>
        <v>#REF!</v>
      </c>
      <c r="M3" s="19" t="e">
        <f t="shared" si="2"/>
        <v>#REF!</v>
      </c>
      <c r="N3" s="19" t="e">
        <f>VLOOKUP(B3,#REF!,2,0)</f>
        <v>#REF!</v>
      </c>
      <c r="O3" s="24">
        <v>150</v>
      </c>
      <c r="P3" s="24" t="e">
        <f t="shared" si="3"/>
        <v>#REF!</v>
      </c>
      <c r="Q3" s="24" t="e">
        <f t="shared" si="4"/>
        <v>#REF!</v>
      </c>
      <c r="R3" s="36" t="e">
        <f t="shared" si="5"/>
        <v>#REF!</v>
      </c>
      <c r="S3" s="17">
        <v>15</v>
      </c>
      <c r="T3" s="16" t="e">
        <f>+SUMIF(#REF!,'Özet Durum'!B3,#REF!)</f>
        <v>#REF!</v>
      </c>
      <c r="U3" s="17" t="e">
        <f t="shared" si="6"/>
        <v>#REF!</v>
      </c>
      <c r="V3" s="20" t="e">
        <f t="shared" si="7"/>
        <v>#REF!</v>
      </c>
      <c r="W3" s="14">
        <v>4200000</v>
      </c>
      <c r="X3" s="29" t="e">
        <f t="shared" si="8"/>
        <v>#REF!</v>
      </c>
      <c r="Y3" s="161">
        <v>0.95</v>
      </c>
    </row>
    <row r="4" spans="1:27" s="30" customFormat="1" ht="19.95" hidden="1" customHeight="1" x14ac:dyDescent="0.25">
      <c r="A4" s="15">
        <v>3</v>
      </c>
      <c r="B4" s="53" t="s">
        <v>24</v>
      </c>
      <c r="C4" s="119" t="s">
        <v>23</v>
      </c>
      <c r="D4" s="13" t="s">
        <v>21</v>
      </c>
      <c r="E4" s="13" t="s">
        <v>322</v>
      </c>
      <c r="F4" s="13" t="s">
        <v>22</v>
      </c>
      <c r="G4" s="13" t="s">
        <v>17</v>
      </c>
      <c r="H4" s="13" t="s">
        <v>319</v>
      </c>
      <c r="I4" s="13" t="s">
        <v>320</v>
      </c>
      <c r="J4" s="13" t="e">
        <f t="shared" si="0"/>
        <v>#REF!</v>
      </c>
      <c r="K4" s="19" t="e">
        <f>VLOOKUP(B4,#REF!,2,0)</f>
        <v>#REF!</v>
      </c>
      <c r="L4" s="24" t="e">
        <f t="shared" si="1"/>
        <v>#REF!</v>
      </c>
      <c r="M4" s="19" t="e">
        <f t="shared" si="2"/>
        <v>#REF!</v>
      </c>
      <c r="N4" s="19" t="e">
        <f>VLOOKUP(B4,#REF!,2,0)</f>
        <v>#REF!</v>
      </c>
      <c r="O4" s="24">
        <v>150</v>
      </c>
      <c r="P4" s="24" t="e">
        <f t="shared" si="3"/>
        <v>#REF!</v>
      </c>
      <c r="Q4" s="24" t="e">
        <f t="shared" si="4"/>
        <v>#REF!</v>
      </c>
      <c r="R4" s="36" t="e">
        <f t="shared" si="5"/>
        <v>#REF!</v>
      </c>
      <c r="S4" s="15">
        <v>17</v>
      </c>
      <c r="T4" s="16" t="e">
        <f>+SUMIF(#REF!,'Özet Durum'!B4,#REF!)</f>
        <v>#REF!</v>
      </c>
      <c r="U4" s="17" t="e">
        <f t="shared" si="6"/>
        <v>#REF!</v>
      </c>
      <c r="V4" s="20" t="e">
        <f t="shared" si="7"/>
        <v>#REF!</v>
      </c>
      <c r="W4" s="14">
        <v>1620000</v>
      </c>
      <c r="X4" s="29" t="e">
        <f t="shared" si="8"/>
        <v>#REF!</v>
      </c>
      <c r="Y4" s="161">
        <v>1</v>
      </c>
    </row>
    <row r="5" spans="1:27" s="30" customFormat="1" ht="19.95" hidden="1" customHeight="1" x14ac:dyDescent="0.25">
      <c r="A5" s="15">
        <v>4</v>
      </c>
      <c r="B5" s="53" t="s">
        <v>26</v>
      </c>
      <c r="C5" s="119" t="s">
        <v>25</v>
      </c>
      <c r="D5" s="13" t="s">
        <v>21</v>
      </c>
      <c r="E5" s="13" t="s">
        <v>322</v>
      </c>
      <c r="F5" s="13" t="s">
        <v>22</v>
      </c>
      <c r="G5" s="13" t="s">
        <v>17</v>
      </c>
      <c r="H5" s="13" t="s">
        <v>319</v>
      </c>
      <c r="I5" s="13" t="s">
        <v>320</v>
      </c>
      <c r="J5" s="13" t="e">
        <f t="shared" si="0"/>
        <v>#REF!</v>
      </c>
      <c r="K5" s="19" t="e">
        <f>VLOOKUP(B5,#REF!,2,0)</f>
        <v>#REF!</v>
      </c>
      <c r="L5" s="24" t="e">
        <f t="shared" si="1"/>
        <v>#REF!</v>
      </c>
      <c r="M5" s="19" t="e">
        <f t="shared" si="2"/>
        <v>#REF!</v>
      </c>
      <c r="N5" s="19" t="e">
        <f>VLOOKUP(B5,#REF!,2,0)</f>
        <v>#REF!</v>
      </c>
      <c r="O5" s="24">
        <v>150</v>
      </c>
      <c r="P5" s="24" t="e">
        <f t="shared" si="3"/>
        <v>#REF!</v>
      </c>
      <c r="Q5" s="24" t="e">
        <f t="shared" si="4"/>
        <v>#REF!</v>
      </c>
      <c r="R5" s="36" t="e">
        <f t="shared" si="5"/>
        <v>#REF!</v>
      </c>
      <c r="S5" s="15">
        <v>15</v>
      </c>
      <c r="T5" s="16" t="e">
        <f>+SUMIF(#REF!,'Özet Durum'!B5,#REF!)</f>
        <v>#REF!</v>
      </c>
      <c r="U5" s="17" t="e">
        <f t="shared" si="6"/>
        <v>#REF!</v>
      </c>
      <c r="V5" s="20" t="e">
        <f t="shared" si="7"/>
        <v>#REF!</v>
      </c>
      <c r="W5" s="14">
        <v>7290000</v>
      </c>
      <c r="X5" s="29" t="e">
        <f t="shared" si="8"/>
        <v>#REF!</v>
      </c>
      <c r="Y5" s="161">
        <v>0.93</v>
      </c>
    </row>
    <row r="6" spans="1:27" s="30" customFormat="1" ht="19.95" hidden="1" customHeight="1" x14ac:dyDescent="0.25">
      <c r="A6" s="15">
        <v>5</v>
      </c>
      <c r="B6" s="53" t="s">
        <v>33</v>
      </c>
      <c r="C6" s="119" t="s">
        <v>32</v>
      </c>
      <c r="D6" s="13" t="s">
        <v>21</v>
      </c>
      <c r="E6" s="13" t="s">
        <v>323</v>
      </c>
      <c r="F6" s="13" t="s">
        <v>16</v>
      </c>
      <c r="G6" s="13" t="s">
        <v>17</v>
      </c>
      <c r="H6" s="13" t="s">
        <v>319</v>
      </c>
      <c r="I6" s="13" t="s">
        <v>320</v>
      </c>
      <c r="J6" s="13" t="e">
        <f t="shared" si="0"/>
        <v>#REF!</v>
      </c>
      <c r="K6" s="19" t="e">
        <f>VLOOKUP(B6,#REF!,2,0)</f>
        <v>#REF!</v>
      </c>
      <c r="L6" s="24" t="e">
        <f t="shared" si="1"/>
        <v>#REF!</v>
      </c>
      <c r="M6" s="19" t="e">
        <f t="shared" si="2"/>
        <v>#REF!</v>
      </c>
      <c r="N6" s="19" t="e">
        <f>VLOOKUP(B6,#REF!,2,0)</f>
        <v>#REF!</v>
      </c>
      <c r="O6" s="24">
        <v>150</v>
      </c>
      <c r="P6" s="24" t="e">
        <f t="shared" si="3"/>
        <v>#REF!</v>
      </c>
      <c r="Q6" s="24" t="e">
        <f t="shared" si="4"/>
        <v>#REF!</v>
      </c>
      <c r="R6" s="36" t="e">
        <f t="shared" si="5"/>
        <v>#REF!</v>
      </c>
      <c r="S6" s="17">
        <v>16</v>
      </c>
      <c r="T6" s="16" t="e">
        <f>+SUMIF(#REF!,'Özet Durum'!B6,#REF!)</f>
        <v>#REF!</v>
      </c>
      <c r="U6" s="17" t="e">
        <f t="shared" si="6"/>
        <v>#REF!</v>
      </c>
      <c r="V6" s="20" t="e">
        <f t="shared" si="7"/>
        <v>#REF!</v>
      </c>
      <c r="W6" s="14">
        <v>1875000</v>
      </c>
      <c r="X6" s="29" t="e">
        <f t="shared" si="8"/>
        <v>#REF!</v>
      </c>
      <c r="Y6" s="161"/>
    </row>
    <row r="7" spans="1:27" s="30" customFormat="1" ht="19.95" hidden="1" customHeight="1" x14ac:dyDescent="0.25">
      <c r="A7" s="15">
        <v>6</v>
      </c>
      <c r="B7" s="53" t="s">
        <v>29</v>
      </c>
      <c r="C7" s="119" t="s">
        <v>28</v>
      </c>
      <c r="D7" s="13" t="s">
        <v>21</v>
      </c>
      <c r="E7" s="13" t="s">
        <v>324</v>
      </c>
      <c r="F7" s="13" t="s">
        <v>27</v>
      </c>
      <c r="G7" s="13" t="s">
        <v>17</v>
      </c>
      <c r="H7" s="13" t="s">
        <v>319</v>
      </c>
      <c r="I7" s="13" t="s">
        <v>320</v>
      </c>
      <c r="J7" s="13" t="e">
        <f t="shared" si="0"/>
        <v>#REF!</v>
      </c>
      <c r="K7" s="19" t="e">
        <f>VLOOKUP(B7,#REF!,2,0)</f>
        <v>#REF!</v>
      </c>
      <c r="L7" s="24" t="e">
        <f t="shared" si="1"/>
        <v>#REF!</v>
      </c>
      <c r="M7" s="19" t="e">
        <f t="shared" si="2"/>
        <v>#REF!</v>
      </c>
      <c r="N7" s="19" t="e">
        <f>VLOOKUP(B7,#REF!,2,0)</f>
        <v>#REF!</v>
      </c>
      <c r="O7" s="24">
        <v>150</v>
      </c>
      <c r="P7" s="24" t="e">
        <f t="shared" si="3"/>
        <v>#REF!</v>
      </c>
      <c r="Q7" s="24" t="e">
        <f t="shared" si="4"/>
        <v>#REF!</v>
      </c>
      <c r="R7" s="36" t="e">
        <f t="shared" si="5"/>
        <v>#REF!</v>
      </c>
      <c r="S7" s="17">
        <v>17</v>
      </c>
      <c r="T7" s="16" t="e">
        <f>+SUMIF(#REF!,'Özet Durum'!B7,#REF!)</f>
        <v>#REF!</v>
      </c>
      <c r="U7" s="17" t="e">
        <f t="shared" si="6"/>
        <v>#REF!</v>
      </c>
      <c r="V7" s="20" t="e">
        <f t="shared" si="7"/>
        <v>#REF!</v>
      </c>
      <c r="W7" s="14">
        <v>7800000</v>
      </c>
      <c r="X7" s="29" t="e">
        <f t="shared" si="8"/>
        <v>#REF!</v>
      </c>
      <c r="Y7" s="161">
        <v>0.98</v>
      </c>
    </row>
    <row r="8" spans="1:27" s="30" customFormat="1" ht="19.95" hidden="1" customHeight="1" x14ac:dyDescent="0.25">
      <c r="A8" s="15">
        <v>7</v>
      </c>
      <c r="B8" s="53" t="s">
        <v>47</v>
      </c>
      <c r="C8" s="119" t="s">
        <v>46</v>
      </c>
      <c r="D8" s="13" t="s">
        <v>21</v>
      </c>
      <c r="E8" s="13" t="s">
        <v>321</v>
      </c>
      <c r="F8" s="13" t="s">
        <v>45</v>
      </c>
      <c r="G8" s="13" t="s">
        <v>37</v>
      </c>
      <c r="H8" s="13" t="s">
        <v>325</v>
      </c>
      <c r="I8" s="13" t="s">
        <v>326</v>
      </c>
      <c r="J8" s="13" t="e">
        <f t="shared" si="0"/>
        <v>#REF!</v>
      </c>
      <c r="K8" s="19" t="e">
        <f>VLOOKUP(B8,#REF!,2,0)</f>
        <v>#REF!</v>
      </c>
      <c r="L8" s="24" t="e">
        <f t="shared" si="1"/>
        <v>#REF!</v>
      </c>
      <c r="M8" s="19" t="e">
        <f t="shared" si="2"/>
        <v>#REF!</v>
      </c>
      <c r="N8" s="19" t="e">
        <f>VLOOKUP(B8,#REF!,2,0)</f>
        <v>#REF!</v>
      </c>
      <c r="O8" s="24">
        <v>90</v>
      </c>
      <c r="P8" s="24" t="e">
        <f t="shared" si="3"/>
        <v>#REF!</v>
      </c>
      <c r="Q8" s="24" t="e">
        <f t="shared" si="4"/>
        <v>#REF!</v>
      </c>
      <c r="R8" s="36" t="e">
        <f t="shared" si="5"/>
        <v>#REF!</v>
      </c>
      <c r="S8" s="15">
        <v>12</v>
      </c>
      <c r="T8" s="16" t="e">
        <f>+SUMIF(#REF!,'Özet Durum'!B8,#REF!)</f>
        <v>#REF!</v>
      </c>
      <c r="U8" s="17" t="e">
        <f t="shared" si="6"/>
        <v>#REF!</v>
      </c>
      <c r="V8" s="20" t="e">
        <f t="shared" si="7"/>
        <v>#REF!</v>
      </c>
      <c r="W8" s="14">
        <v>1347500</v>
      </c>
      <c r="X8" s="29" t="e">
        <f t="shared" si="8"/>
        <v>#REF!</v>
      </c>
      <c r="Y8" s="161">
        <v>0.73</v>
      </c>
    </row>
    <row r="9" spans="1:27" s="30" customFormat="1" ht="19.95" hidden="1" customHeight="1" x14ac:dyDescent="0.25">
      <c r="A9" s="15">
        <v>8</v>
      </c>
      <c r="B9" s="53" t="s">
        <v>49</v>
      </c>
      <c r="C9" s="119" t="s">
        <v>48</v>
      </c>
      <c r="D9" s="13" t="s">
        <v>21</v>
      </c>
      <c r="E9" s="13" t="s">
        <v>321</v>
      </c>
      <c r="F9" s="13" t="s">
        <v>27</v>
      </c>
      <c r="G9" s="13" t="s">
        <v>17</v>
      </c>
      <c r="H9" s="13" t="s">
        <v>327</v>
      </c>
      <c r="I9" s="13" t="s">
        <v>326</v>
      </c>
      <c r="J9" s="13" t="e">
        <f t="shared" si="0"/>
        <v>#REF!</v>
      </c>
      <c r="K9" s="19" t="e">
        <f>VLOOKUP(B9,#REF!,2,0)</f>
        <v>#REF!</v>
      </c>
      <c r="L9" s="24" t="e">
        <f t="shared" si="1"/>
        <v>#REF!</v>
      </c>
      <c r="M9" s="19" t="e">
        <f t="shared" si="2"/>
        <v>#REF!</v>
      </c>
      <c r="N9" s="19" t="e">
        <f>VLOOKUP(B9,#REF!,2,0)</f>
        <v>#REF!</v>
      </c>
      <c r="O9" s="24">
        <v>90</v>
      </c>
      <c r="P9" s="24" t="e">
        <f t="shared" si="3"/>
        <v>#REF!</v>
      </c>
      <c r="Q9" s="24" t="e">
        <f t="shared" si="4"/>
        <v>#REF!</v>
      </c>
      <c r="R9" s="36" t="e">
        <f t="shared" si="5"/>
        <v>#REF!</v>
      </c>
      <c r="S9" s="15">
        <v>12</v>
      </c>
      <c r="T9" s="16" t="e">
        <f>+SUMIF(#REF!,'Özet Durum'!B9,#REF!)</f>
        <v>#REF!</v>
      </c>
      <c r="U9" s="17" t="e">
        <f t="shared" si="6"/>
        <v>#REF!</v>
      </c>
      <c r="V9" s="20" t="e">
        <f t="shared" si="7"/>
        <v>#REF!</v>
      </c>
      <c r="W9" s="14">
        <v>313932</v>
      </c>
      <c r="X9" s="29" t="e">
        <f t="shared" si="8"/>
        <v>#REF!</v>
      </c>
      <c r="Y9" s="161">
        <v>1</v>
      </c>
    </row>
    <row r="10" spans="1:27" s="30" customFormat="1" ht="19.95" hidden="1" customHeight="1" x14ac:dyDescent="0.25">
      <c r="A10" s="15">
        <v>9</v>
      </c>
      <c r="B10" s="53" t="s">
        <v>39</v>
      </c>
      <c r="C10" s="119" t="s">
        <v>38</v>
      </c>
      <c r="D10" s="13" t="s">
        <v>21</v>
      </c>
      <c r="E10" s="13" t="s">
        <v>321</v>
      </c>
      <c r="F10" s="13" t="s">
        <v>22</v>
      </c>
      <c r="G10" s="13" t="s">
        <v>17</v>
      </c>
      <c r="H10" s="13" t="s">
        <v>325</v>
      </c>
      <c r="I10" s="13" t="s">
        <v>326</v>
      </c>
      <c r="J10" s="13" t="e">
        <f t="shared" si="0"/>
        <v>#REF!</v>
      </c>
      <c r="K10" s="19" t="e">
        <f>VLOOKUP(B10,#REF!,2,0)</f>
        <v>#REF!</v>
      </c>
      <c r="L10" s="24" t="e">
        <f t="shared" si="1"/>
        <v>#REF!</v>
      </c>
      <c r="M10" s="19" t="e">
        <f t="shared" si="2"/>
        <v>#REF!</v>
      </c>
      <c r="N10" s="19" t="e">
        <f>VLOOKUP(B10,#REF!,2,0)</f>
        <v>#REF!</v>
      </c>
      <c r="O10" s="24">
        <v>90</v>
      </c>
      <c r="P10" s="24" t="e">
        <f t="shared" si="3"/>
        <v>#REF!</v>
      </c>
      <c r="Q10" s="24" t="e">
        <f t="shared" si="4"/>
        <v>#REF!</v>
      </c>
      <c r="R10" s="36" t="e">
        <f t="shared" si="5"/>
        <v>#REF!</v>
      </c>
      <c r="S10" s="15">
        <v>12</v>
      </c>
      <c r="T10" s="16" t="e">
        <f>+SUMIF(#REF!,'Özet Durum'!B10,#REF!)</f>
        <v>#REF!</v>
      </c>
      <c r="U10" s="17" t="e">
        <f t="shared" si="6"/>
        <v>#REF!</v>
      </c>
      <c r="V10" s="20" t="e">
        <f t="shared" si="7"/>
        <v>#REF!</v>
      </c>
      <c r="W10" s="14">
        <v>534000</v>
      </c>
      <c r="X10" s="29" t="e">
        <f t="shared" si="8"/>
        <v>#REF!</v>
      </c>
      <c r="Y10" s="161">
        <v>0.96</v>
      </c>
    </row>
    <row r="11" spans="1:27" s="30" customFormat="1" ht="19.95" hidden="1" customHeight="1" x14ac:dyDescent="0.25">
      <c r="A11" s="15">
        <v>10</v>
      </c>
      <c r="B11" s="53" t="s">
        <v>44</v>
      </c>
      <c r="C11" s="119" t="s">
        <v>43</v>
      </c>
      <c r="D11" s="13" t="s">
        <v>21</v>
      </c>
      <c r="E11" s="13" t="s">
        <v>321</v>
      </c>
      <c r="F11" s="13" t="s">
        <v>42</v>
      </c>
      <c r="G11" s="13" t="s">
        <v>17</v>
      </c>
      <c r="H11" s="13" t="s">
        <v>327</v>
      </c>
      <c r="I11" s="13" t="s">
        <v>326</v>
      </c>
      <c r="J11" s="13" t="e">
        <f t="shared" si="0"/>
        <v>#REF!</v>
      </c>
      <c r="K11" s="19" t="e">
        <f>VLOOKUP(B11,#REF!,2,0)</f>
        <v>#REF!</v>
      </c>
      <c r="L11" s="24" t="e">
        <f t="shared" si="1"/>
        <v>#REF!</v>
      </c>
      <c r="M11" s="19" t="e">
        <f t="shared" si="2"/>
        <v>#REF!</v>
      </c>
      <c r="N11" s="19" t="e">
        <f>VLOOKUP(B11,#REF!,2,0)</f>
        <v>#REF!</v>
      </c>
      <c r="O11" s="24">
        <v>90</v>
      </c>
      <c r="P11" s="24" t="e">
        <f t="shared" si="3"/>
        <v>#REF!</v>
      </c>
      <c r="Q11" s="24" t="e">
        <f t="shared" si="4"/>
        <v>#REF!</v>
      </c>
      <c r="R11" s="36" t="e">
        <f t="shared" si="5"/>
        <v>#REF!</v>
      </c>
      <c r="S11" s="15">
        <v>12</v>
      </c>
      <c r="T11" s="16" t="e">
        <f>+SUMIF(#REF!,'Özet Durum'!B11,#REF!)</f>
        <v>#REF!</v>
      </c>
      <c r="U11" s="17" t="e">
        <f t="shared" si="6"/>
        <v>#REF!</v>
      </c>
      <c r="V11" s="20" t="e">
        <f t="shared" si="7"/>
        <v>#REF!</v>
      </c>
      <c r="W11" s="14">
        <v>0</v>
      </c>
      <c r="X11" s="29" t="e">
        <f t="shared" si="8"/>
        <v>#REF!</v>
      </c>
      <c r="Y11" s="161">
        <v>0.84</v>
      </c>
      <c r="Z11" s="31"/>
      <c r="AA11" s="31"/>
    </row>
    <row r="12" spans="1:27" s="30" customFormat="1" ht="19.95" hidden="1" customHeight="1" x14ac:dyDescent="0.25">
      <c r="A12" s="15">
        <v>11</v>
      </c>
      <c r="B12" s="53" t="s">
        <v>52</v>
      </c>
      <c r="C12" s="119" t="s">
        <v>51</v>
      </c>
      <c r="D12" s="13" t="s">
        <v>21</v>
      </c>
      <c r="E12" s="13" t="s">
        <v>321</v>
      </c>
      <c r="F12" s="13" t="s">
        <v>66</v>
      </c>
      <c r="G12" s="13" t="s">
        <v>37</v>
      </c>
      <c r="H12" s="13" t="s">
        <v>325</v>
      </c>
      <c r="I12" s="13" t="s">
        <v>326</v>
      </c>
      <c r="J12" s="13" t="e">
        <f t="shared" si="0"/>
        <v>#REF!</v>
      </c>
      <c r="K12" s="19" t="e">
        <f>VLOOKUP(B12,#REF!,2,0)</f>
        <v>#REF!</v>
      </c>
      <c r="L12" s="24" t="e">
        <f t="shared" si="1"/>
        <v>#REF!</v>
      </c>
      <c r="M12" s="19" t="e">
        <f t="shared" si="2"/>
        <v>#REF!</v>
      </c>
      <c r="N12" s="19" t="e">
        <f>VLOOKUP(B12,#REF!,2,0)</f>
        <v>#REF!</v>
      </c>
      <c r="O12" s="24">
        <v>90</v>
      </c>
      <c r="P12" s="24" t="e">
        <f t="shared" si="3"/>
        <v>#REF!</v>
      </c>
      <c r="Q12" s="24" t="e">
        <f t="shared" si="4"/>
        <v>#REF!</v>
      </c>
      <c r="R12" s="36" t="e">
        <f t="shared" si="5"/>
        <v>#REF!</v>
      </c>
      <c r="S12" s="15">
        <v>12</v>
      </c>
      <c r="T12" s="16" t="e">
        <f>+SUMIF(#REF!,'Özet Durum'!B12,#REF!)</f>
        <v>#REF!</v>
      </c>
      <c r="U12" s="17" t="e">
        <f t="shared" si="6"/>
        <v>#REF!</v>
      </c>
      <c r="V12" s="20" t="e">
        <f t="shared" si="7"/>
        <v>#REF!</v>
      </c>
      <c r="W12" s="14">
        <v>352000</v>
      </c>
      <c r="X12" s="29" t="e">
        <f t="shared" si="8"/>
        <v>#REF!</v>
      </c>
      <c r="Y12" s="161"/>
    </row>
    <row r="13" spans="1:27" s="30" customFormat="1" ht="19.95" hidden="1" customHeight="1" x14ac:dyDescent="0.25">
      <c r="A13" s="15">
        <v>12</v>
      </c>
      <c r="B13" s="53" t="s">
        <v>41</v>
      </c>
      <c r="C13" s="119" t="s">
        <v>40</v>
      </c>
      <c r="D13" s="13" t="s">
        <v>21</v>
      </c>
      <c r="E13" s="13" t="s">
        <v>321</v>
      </c>
      <c r="F13" s="13" t="s">
        <v>85</v>
      </c>
      <c r="G13" s="13" t="s">
        <v>37</v>
      </c>
      <c r="H13" s="13" t="s">
        <v>327</v>
      </c>
      <c r="I13" s="13" t="s">
        <v>326</v>
      </c>
      <c r="J13" s="13" t="e">
        <f t="shared" si="0"/>
        <v>#REF!</v>
      </c>
      <c r="K13" s="19" t="e">
        <f>VLOOKUP(B13,#REF!,2,0)</f>
        <v>#REF!</v>
      </c>
      <c r="L13" s="24" t="e">
        <f t="shared" si="1"/>
        <v>#REF!</v>
      </c>
      <c r="M13" s="19" t="e">
        <f t="shared" si="2"/>
        <v>#REF!</v>
      </c>
      <c r="N13" s="19" t="e">
        <f>VLOOKUP(B13,#REF!,2,0)</f>
        <v>#REF!</v>
      </c>
      <c r="O13" s="24">
        <v>90</v>
      </c>
      <c r="P13" s="24" t="e">
        <f t="shared" si="3"/>
        <v>#REF!</v>
      </c>
      <c r="Q13" s="24" t="e">
        <f t="shared" si="4"/>
        <v>#REF!</v>
      </c>
      <c r="R13" s="36" t="e">
        <f t="shared" si="5"/>
        <v>#REF!</v>
      </c>
      <c r="S13" s="15">
        <v>12</v>
      </c>
      <c r="T13" s="16" t="e">
        <f>+SUMIF(#REF!,'Özet Durum'!B13,#REF!)</f>
        <v>#REF!</v>
      </c>
      <c r="U13" s="17" t="e">
        <f t="shared" si="6"/>
        <v>#REF!</v>
      </c>
      <c r="V13" s="20" t="e">
        <f t="shared" si="7"/>
        <v>#REF!</v>
      </c>
      <c r="W13" s="14">
        <v>3847000</v>
      </c>
      <c r="X13" s="29" t="e">
        <f t="shared" si="8"/>
        <v>#REF!</v>
      </c>
      <c r="Y13" s="161">
        <v>0.98</v>
      </c>
    </row>
    <row r="14" spans="1:27" s="30" customFormat="1" ht="19.95" hidden="1" customHeight="1" x14ac:dyDescent="0.25">
      <c r="A14" s="15">
        <v>13</v>
      </c>
      <c r="B14" s="53" t="s">
        <v>54</v>
      </c>
      <c r="C14" s="119" t="s">
        <v>53</v>
      </c>
      <c r="D14" s="13" t="s">
        <v>21</v>
      </c>
      <c r="E14" s="13" t="s">
        <v>321</v>
      </c>
      <c r="F14" s="13" t="s">
        <v>16</v>
      </c>
      <c r="G14" s="13" t="s">
        <v>17</v>
      </c>
      <c r="H14" s="13" t="s">
        <v>325</v>
      </c>
      <c r="I14" s="13" t="s">
        <v>326</v>
      </c>
      <c r="J14" s="13" t="e">
        <f t="shared" si="0"/>
        <v>#REF!</v>
      </c>
      <c r="K14" s="19" t="e">
        <f>VLOOKUP(B14,#REF!,2,0)</f>
        <v>#REF!</v>
      </c>
      <c r="L14" s="24" t="e">
        <f t="shared" si="1"/>
        <v>#REF!</v>
      </c>
      <c r="M14" s="19" t="e">
        <f t="shared" si="2"/>
        <v>#REF!</v>
      </c>
      <c r="N14" s="19" t="e">
        <f>VLOOKUP(B14,#REF!,2,0)</f>
        <v>#REF!</v>
      </c>
      <c r="O14" s="24">
        <v>90</v>
      </c>
      <c r="P14" s="24" t="e">
        <f t="shared" si="3"/>
        <v>#REF!</v>
      </c>
      <c r="Q14" s="24" t="e">
        <f t="shared" si="4"/>
        <v>#REF!</v>
      </c>
      <c r="R14" s="36" t="e">
        <f t="shared" si="5"/>
        <v>#REF!</v>
      </c>
      <c r="S14" s="15">
        <v>12</v>
      </c>
      <c r="T14" s="16" t="e">
        <f>+SUMIF(#REF!,'Özet Durum'!B14,#REF!)</f>
        <v>#REF!</v>
      </c>
      <c r="U14" s="17" t="e">
        <f t="shared" si="6"/>
        <v>#REF!</v>
      </c>
      <c r="V14" s="20" t="e">
        <f t="shared" si="7"/>
        <v>#REF!</v>
      </c>
      <c r="W14" s="14">
        <v>3240000</v>
      </c>
      <c r="X14" s="29" t="e">
        <f t="shared" si="8"/>
        <v>#REF!</v>
      </c>
      <c r="Y14" s="161">
        <v>0.98</v>
      </c>
    </row>
    <row r="15" spans="1:27" s="30" customFormat="1" ht="19.95" hidden="1" customHeight="1" x14ac:dyDescent="0.25">
      <c r="A15" s="15">
        <v>14</v>
      </c>
      <c r="B15" s="53" t="s">
        <v>56</v>
      </c>
      <c r="C15" s="119" t="s">
        <v>55</v>
      </c>
      <c r="D15" s="13" t="s">
        <v>57</v>
      </c>
      <c r="E15" s="13" t="s">
        <v>328</v>
      </c>
      <c r="F15" s="13" t="s">
        <v>22</v>
      </c>
      <c r="G15" s="13" t="s">
        <v>17</v>
      </c>
      <c r="H15" s="13" t="s">
        <v>329</v>
      </c>
      <c r="I15" s="13" t="s">
        <v>320</v>
      </c>
      <c r="J15" s="13" t="e">
        <f t="shared" si="0"/>
        <v>#REF!</v>
      </c>
      <c r="K15" s="19" t="e">
        <f>VLOOKUP(B15,#REF!,2,0)</f>
        <v>#REF!</v>
      </c>
      <c r="L15" s="24" t="e">
        <f t="shared" si="1"/>
        <v>#REF!</v>
      </c>
      <c r="M15" s="19" t="e">
        <f t="shared" si="2"/>
        <v>#REF!</v>
      </c>
      <c r="N15" s="19" t="e">
        <f>VLOOKUP(B15,#REF!,2,0)</f>
        <v>#REF!</v>
      </c>
      <c r="O15" s="24">
        <v>150</v>
      </c>
      <c r="P15" s="24" t="e">
        <f t="shared" si="3"/>
        <v>#REF!</v>
      </c>
      <c r="Q15" s="24" t="e">
        <f t="shared" si="4"/>
        <v>#REF!</v>
      </c>
      <c r="R15" s="36" t="e">
        <f t="shared" si="5"/>
        <v>#REF!</v>
      </c>
      <c r="S15" s="15">
        <v>18</v>
      </c>
      <c r="T15" s="16" t="e">
        <f>+SUMIF(#REF!,'Özet Durum'!B15,#REF!)</f>
        <v>#REF!</v>
      </c>
      <c r="U15" s="17" t="e">
        <f t="shared" si="6"/>
        <v>#REF!</v>
      </c>
      <c r="V15" s="20" t="e">
        <f t="shared" si="7"/>
        <v>#REF!</v>
      </c>
      <c r="W15" s="14">
        <v>5352000</v>
      </c>
      <c r="X15" s="29" t="e">
        <f t="shared" si="8"/>
        <v>#REF!</v>
      </c>
      <c r="Y15" s="161">
        <v>0.98</v>
      </c>
    </row>
    <row r="16" spans="1:27" s="30" customFormat="1" ht="19.95" hidden="1" customHeight="1" x14ac:dyDescent="0.25">
      <c r="A16" s="15">
        <v>15</v>
      </c>
      <c r="B16" s="53" t="s">
        <v>80</v>
      </c>
      <c r="C16" s="119" t="s">
        <v>79</v>
      </c>
      <c r="D16" s="13" t="s">
        <v>81</v>
      </c>
      <c r="E16" s="13" t="s">
        <v>330</v>
      </c>
      <c r="F16" s="13" t="s">
        <v>22</v>
      </c>
      <c r="G16" s="13" t="s">
        <v>17</v>
      </c>
      <c r="H16" s="13" t="s">
        <v>331</v>
      </c>
      <c r="I16" s="13" t="s">
        <v>320</v>
      </c>
      <c r="J16" s="13" t="e">
        <f t="shared" si="0"/>
        <v>#REF!</v>
      </c>
      <c r="K16" s="19" t="e">
        <f>VLOOKUP(B16,#REF!,2,0)</f>
        <v>#REF!</v>
      </c>
      <c r="L16" s="24" t="e">
        <f t="shared" si="1"/>
        <v>#REF!</v>
      </c>
      <c r="M16" s="19" t="e">
        <f t="shared" si="2"/>
        <v>#REF!</v>
      </c>
      <c r="N16" s="19" t="e">
        <f>VLOOKUP(B16,#REF!,2,0)</f>
        <v>#REF!</v>
      </c>
      <c r="O16" s="24">
        <v>150</v>
      </c>
      <c r="P16" s="24" t="e">
        <f t="shared" si="3"/>
        <v>#REF!</v>
      </c>
      <c r="Q16" s="24" t="e">
        <f t="shared" si="4"/>
        <v>#REF!</v>
      </c>
      <c r="R16" s="36" t="e">
        <f t="shared" si="5"/>
        <v>#REF!</v>
      </c>
      <c r="S16" s="15">
        <v>20</v>
      </c>
      <c r="T16" s="16" t="e">
        <f>+SUMIF(#REF!,'Özet Durum'!B16,#REF!)</f>
        <v>#REF!</v>
      </c>
      <c r="U16" s="17" t="e">
        <f t="shared" si="6"/>
        <v>#REF!</v>
      </c>
      <c r="V16" s="20" t="e">
        <f t="shared" si="7"/>
        <v>#REF!</v>
      </c>
      <c r="W16" s="14">
        <v>2550000</v>
      </c>
      <c r="X16" s="29" t="e">
        <f t="shared" si="8"/>
        <v>#REF!</v>
      </c>
      <c r="Y16" s="161">
        <v>1</v>
      </c>
    </row>
    <row r="17" spans="1:27" s="30" customFormat="1" ht="19.95" hidden="1" customHeight="1" x14ac:dyDescent="0.25">
      <c r="A17" s="15">
        <v>16</v>
      </c>
      <c r="B17" s="53" t="s">
        <v>73</v>
      </c>
      <c r="C17" s="119" t="s">
        <v>72</v>
      </c>
      <c r="D17" s="13" t="s">
        <v>74</v>
      </c>
      <c r="E17" s="13" t="s">
        <v>318</v>
      </c>
      <c r="F17" s="13" t="s">
        <v>27</v>
      </c>
      <c r="G17" s="13" t="s">
        <v>17</v>
      </c>
      <c r="H17" s="13" t="s">
        <v>331</v>
      </c>
      <c r="I17" s="13" t="s">
        <v>320</v>
      </c>
      <c r="J17" s="13" t="e">
        <f t="shared" si="0"/>
        <v>#REF!</v>
      </c>
      <c r="K17" s="19" t="e">
        <f>VLOOKUP(B17,#REF!,2,0)</f>
        <v>#REF!</v>
      </c>
      <c r="L17" s="24" t="e">
        <f t="shared" si="1"/>
        <v>#REF!</v>
      </c>
      <c r="M17" s="19" t="e">
        <f t="shared" si="2"/>
        <v>#REF!</v>
      </c>
      <c r="N17" s="19" t="e">
        <f>VLOOKUP(B17,#REF!,2,0)</f>
        <v>#REF!</v>
      </c>
      <c r="O17" s="24">
        <v>150</v>
      </c>
      <c r="P17" s="24" t="e">
        <f t="shared" si="3"/>
        <v>#REF!</v>
      </c>
      <c r="Q17" s="24" t="e">
        <f t="shared" si="4"/>
        <v>#REF!</v>
      </c>
      <c r="R17" s="36" t="e">
        <f t="shared" si="5"/>
        <v>#REF!</v>
      </c>
      <c r="S17" s="15">
        <v>20</v>
      </c>
      <c r="T17" s="16" t="e">
        <f>+SUMIF(#REF!,'Özet Durum'!B17,#REF!)</f>
        <v>#REF!</v>
      </c>
      <c r="U17" s="17" t="e">
        <f t="shared" si="6"/>
        <v>#REF!</v>
      </c>
      <c r="V17" s="20" t="e">
        <f t="shared" si="7"/>
        <v>#REF!</v>
      </c>
      <c r="W17" s="14">
        <v>0</v>
      </c>
      <c r="X17" s="29" t="e">
        <f t="shared" si="8"/>
        <v>#REF!</v>
      </c>
      <c r="Y17" s="161">
        <v>1</v>
      </c>
    </row>
    <row r="18" spans="1:27" s="30" customFormat="1" ht="19.95" hidden="1" customHeight="1" x14ac:dyDescent="0.25">
      <c r="A18" s="15">
        <v>17</v>
      </c>
      <c r="B18" s="53" t="s">
        <v>61</v>
      </c>
      <c r="C18" s="119" t="s">
        <v>60</v>
      </c>
      <c r="D18" s="13" t="s">
        <v>21</v>
      </c>
      <c r="E18" s="13" t="s">
        <v>322</v>
      </c>
      <c r="F18" s="13" t="s">
        <v>16</v>
      </c>
      <c r="G18" s="13" t="s">
        <v>17</v>
      </c>
      <c r="H18" s="13" t="s">
        <v>329</v>
      </c>
      <c r="I18" s="13" t="s">
        <v>320</v>
      </c>
      <c r="J18" s="13" t="e">
        <f t="shared" si="0"/>
        <v>#REF!</v>
      </c>
      <c r="K18" s="19" t="e">
        <f>VLOOKUP(B18,#REF!,2,0)</f>
        <v>#REF!</v>
      </c>
      <c r="L18" s="24" t="e">
        <f t="shared" si="1"/>
        <v>#REF!</v>
      </c>
      <c r="M18" s="19" t="e">
        <f t="shared" si="2"/>
        <v>#REF!</v>
      </c>
      <c r="N18" s="19" t="e">
        <f>VLOOKUP(B18,#REF!,2,0)</f>
        <v>#REF!</v>
      </c>
      <c r="O18" s="24">
        <v>150</v>
      </c>
      <c r="P18" s="24" t="e">
        <f t="shared" si="3"/>
        <v>#REF!</v>
      </c>
      <c r="Q18" s="24" t="e">
        <f t="shared" si="4"/>
        <v>#REF!</v>
      </c>
      <c r="R18" s="36" t="e">
        <f t="shared" si="5"/>
        <v>#REF!</v>
      </c>
      <c r="S18" s="17">
        <v>8</v>
      </c>
      <c r="T18" s="16" t="e">
        <f>+SUMIF(#REF!,'Özet Durum'!B18,#REF!)</f>
        <v>#REF!</v>
      </c>
      <c r="U18" s="17" t="e">
        <f t="shared" si="6"/>
        <v>#REF!</v>
      </c>
      <c r="V18" s="20" t="e">
        <f t="shared" si="7"/>
        <v>#REF!</v>
      </c>
      <c r="W18" s="14">
        <v>0</v>
      </c>
      <c r="X18" s="29" t="e">
        <f t="shared" si="8"/>
        <v>#REF!</v>
      </c>
      <c r="Y18" s="161"/>
    </row>
    <row r="19" spans="1:27" s="30" customFormat="1" ht="19.95" hidden="1" customHeight="1" x14ac:dyDescent="0.25">
      <c r="A19" s="15">
        <v>18</v>
      </c>
      <c r="B19" s="53" t="s">
        <v>68</v>
      </c>
      <c r="C19" s="119" t="s">
        <v>64</v>
      </c>
      <c r="D19" s="13" t="s">
        <v>21</v>
      </c>
      <c r="E19" s="13" t="s">
        <v>322</v>
      </c>
      <c r="F19" s="13" t="s">
        <v>22</v>
      </c>
      <c r="G19" s="13" t="s">
        <v>17</v>
      </c>
      <c r="H19" s="13" t="s">
        <v>332</v>
      </c>
      <c r="I19" s="13" t="s">
        <v>320</v>
      </c>
      <c r="J19" s="13" t="e">
        <f t="shared" si="0"/>
        <v>#REF!</v>
      </c>
      <c r="K19" s="19" t="e">
        <f>VLOOKUP(B19,#REF!,2,0)</f>
        <v>#REF!</v>
      </c>
      <c r="L19" s="24" t="e">
        <f t="shared" si="1"/>
        <v>#REF!</v>
      </c>
      <c r="M19" s="19" t="e">
        <f t="shared" si="2"/>
        <v>#REF!</v>
      </c>
      <c r="N19" s="19" t="e">
        <f>VLOOKUP(B19,#REF!,2,0)</f>
        <v>#REF!</v>
      </c>
      <c r="O19" s="24">
        <v>250</v>
      </c>
      <c r="P19" s="24" t="e">
        <f t="shared" si="3"/>
        <v>#REF!</v>
      </c>
      <c r="Q19" s="24" t="e">
        <f t="shared" si="4"/>
        <v>#REF!</v>
      </c>
      <c r="R19" s="36" t="e">
        <f t="shared" si="5"/>
        <v>#REF!</v>
      </c>
      <c r="S19" s="15">
        <v>19</v>
      </c>
      <c r="T19" s="16" t="e">
        <f>+SUMIF(#REF!,'Özet Durum'!B19,#REF!)</f>
        <v>#REF!</v>
      </c>
      <c r="U19" s="17" t="e">
        <f t="shared" si="6"/>
        <v>#REF!</v>
      </c>
      <c r="V19" s="20" t="e">
        <f t="shared" si="7"/>
        <v>#REF!</v>
      </c>
      <c r="W19" s="14">
        <f>18000000-W14</f>
        <v>14760000</v>
      </c>
      <c r="X19" s="29" t="e">
        <f t="shared" si="8"/>
        <v>#REF!</v>
      </c>
      <c r="Y19" s="161">
        <v>1</v>
      </c>
    </row>
    <row r="20" spans="1:27" s="30" customFormat="1" ht="19.95" hidden="1" customHeight="1" x14ac:dyDescent="0.25">
      <c r="A20" s="15">
        <v>19</v>
      </c>
      <c r="B20" s="53" t="s">
        <v>69</v>
      </c>
      <c r="C20" s="119" t="s">
        <v>62</v>
      </c>
      <c r="D20" s="13" t="s">
        <v>21</v>
      </c>
      <c r="E20" s="13" t="s">
        <v>322</v>
      </c>
      <c r="F20" s="13" t="s">
        <v>42</v>
      </c>
      <c r="G20" s="13" t="s">
        <v>17</v>
      </c>
      <c r="H20" s="13" t="s">
        <v>332</v>
      </c>
      <c r="I20" s="13" t="s">
        <v>320</v>
      </c>
      <c r="J20" s="13" t="e">
        <f t="shared" si="0"/>
        <v>#REF!</v>
      </c>
      <c r="K20" s="19" t="e">
        <f>VLOOKUP(B20,#REF!,2,0)</f>
        <v>#REF!</v>
      </c>
      <c r="L20" s="24" t="e">
        <f t="shared" si="1"/>
        <v>#REF!</v>
      </c>
      <c r="M20" s="19" t="e">
        <f t="shared" si="2"/>
        <v>#REF!</v>
      </c>
      <c r="N20" s="19" t="e">
        <f>VLOOKUP(B20,#REF!,2,0)</f>
        <v>#REF!</v>
      </c>
      <c r="O20" s="24">
        <v>150</v>
      </c>
      <c r="P20" s="24" t="e">
        <f t="shared" si="3"/>
        <v>#REF!</v>
      </c>
      <c r="Q20" s="24" t="e">
        <f t="shared" si="4"/>
        <v>#REF!</v>
      </c>
      <c r="R20" s="36" t="e">
        <f t="shared" si="5"/>
        <v>#REF!</v>
      </c>
      <c r="S20" s="17">
        <v>25</v>
      </c>
      <c r="T20" s="16" t="e">
        <f>+SUMIF(#REF!,'Özet Durum'!B20,#REF!)</f>
        <v>#REF!</v>
      </c>
      <c r="U20" s="17" t="e">
        <f t="shared" si="6"/>
        <v>#REF!</v>
      </c>
      <c r="V20" s="20" t="e">
        <f t="shared" si="7"/>
        <v>#REF!</v>
      </c>
      <c r="W20" s="14">
        <v>1213777</v>
      </c>
      <c r="X20" s="29" t="e">
        <f t="shared" si="8"/>
        <v>#REF!</v>
      </c>
      <c r="Y20" s="161">
        <v>0.94</v>
      </c>
    </row>
    <row r="21" spans="1:27" s="30" customFormat="1" ht="19.95" hidden="1" customHeight="1" x14ac:dyDescent="0.25">
      <c r="A21" s="15">
        <v>20</v>
      </c>
      <c r="B21" s="53" t="s">
        <v>67</v>
      </c>
      <c r="C21" s="119" t="s">
        <v>60</v>
      </c>
      <c r="D21" s="13" t="s">
        <v>21</v>
      </c>
      <c r="E21" s="13" t="s">
        <v>322</v>
      </c>
      <c r="F21" s="13" t="s">
        <v>16</v>
      </c>
      <c r="G21" s="13" t="s">
        <v>17</v>
      </c>
      <c r="H21" s="13" t="s">
        <v>332</v>
      </c>
      <c r="I21" s="13" t="s">
        <v>326</v>
      </c>
      <c r="J21" s="13" t="e">
        <f t="shared" si="0"/>
        <v>#REF!</v>
      </c>
      <c r="K21" s="19" t="e">
        <f>VLOOKUP(B21,#REF!,2,0)</f>
        <v>#REF!</v>
      </c>
      <c r="L21" s="24" t="e">
        <f t="shared" si="1"/>
        <v>#REF!</v>
      </c>
      <c r="M21" s="19" t="e">
        <f t="shared" si="2"/>
        <v>#REF!</v>
      </c>
      <c r="N21" s="19" t="e">
        <f>VLOOKUP(B21,#REF!,2,0)</f>
        <v>#REF!</v>
      </c>
      <c r="O21" s="24">
        <v>90</v>
      </c>
      <c r="P21" s="24" t="e">
        <f t="shared" si="3"/>
        <v>#REF!</v>
      </c>
      <c r="Q21" s="24" t="e">
        <f t="shared" si="4"/>
        <v>#REF!</v>
      </c>
      <c r="R21" s="36" t="e">
        <f t="shared" si="5"/>
        <v>#REF!</v>
      </c>
      <c r="S21" s="15">
        <v>12</v>
      </c>
      <c r="T21" s="16" t="e">
        <f>+SUMIF(#REF!,'Özet Durum'!B21,#REF!)</f>
        <v>#REF!</v>
      </c>
      <c r="U21" s="17" t="e">
        <f t="shared" si="6"/>
        <v>#REF!</v>
      </c>
      <c r="V21" s="20" t="e">
        <f t="shared" si="7"/>
        <v>#REF!</v>
      </c>
      <c r="W21" s="14">
        <v>4560000</v>
      </c>
      <c r="X21" s="29" t="e">
        <f t="shared" si="8"/>
        <v>#REF!</v>
      </c>
      <c r="Y21" s="161"/>
    </row>
    <row r="22" spans="1:27" s="30" customFormat="1" ht="19.95" hidden="1" customHeight="1" x14ac:dyDescent="0.25">
      <c r="A22" s="15">
        <v>21</v>
      </c>
      <c r="B22" s="53" t="s">
        <v>65</v>
      </c>
      <c r="C22" s="119" t="s">
        <v>64</v>
      </c>
      <c r="D22" s="13" t="s">
        <v>21</v>
      </c>
      <c r="E22" s="13" t="s">
        <v>322</v>
      </c>
      <c r="F22" s="13" t="s">
        <v>22</v>
      </c>
      <c r="G22" s="13" t="s">
        <v>17</v>
      </c>
      <c r="H22" s="13" t="s">
        <v>329</v>
      </c>
      <c r="I22" s="13" t="s">
        <v>326</v>
      </c>
      <c r="J22" s="13" t="e">
        <f t="shared" si="0"/>
        <v>#REF!</v>
      </c>
      <c r="K22" s="19" t="e">
        <f>VLOOKUP(B22,#REF!,2,0)</f>
        <v>#REF!</v>
      </c>
      <c r="L22" s="24" t="e">
        <f t="shared" si="1"/>
        <v>#REF!</v>
      </c>
      <c r="M22" s="19" t="e">
        <f t="shared" si="2"/>
        <v>#REF!</v>
      </c>
      <c r="N22" s="19" t="e">
        <f>VLOOKUP(B22,#REF!,2,0)</f>
        <v>#REF!</v>
      </c>
      <c r="O22" s="24">
        <v>90</v>
      </c>
      <c r="P22" s="24" t="e">
        <f t="shared" si="3"/>
        <v>#REF!</v>
      </c>
      <c r="Q22" s="24" t="e">
        <f t="shared" si="4"/>
        <v>#REF!</v>
      </c>
      <c r="R22" s="36" t="e">
        <f t="shared" si="5"/>
        <v>#REF!</v>
      </c>
      <c r="S22" s="15">
        <v>15</v>
      </c>
      <c r="T22" s="16" t="e">
        <f>+SUMIF(#REF!,'Özet Durum'!B22,#REF!)</f>
        <v>#REF!</v>
      </c>
      <c r="U22" s="17" t="e">
        <f t="shared" si="6"/>
        <v>#REF!</v>
      </c>
      <c r="V22" s="20" t="e">
        <f t="shared" si="7"/>
        <v>#REF!</v>
      </c>
      <c r="W22" s="14">
        <v>6830000</v>
      </c>
      <c r="X22" s="29" t="e">
        <f t="shared" si="8"/>
        <v>#REF!</v>
      </c>
      <c r="Y22" s="161">
        <v>1</v>
      </c>
    </row>
    <row r="23" spans="1:27" s="30" customFormat="1" ht="19.95" hidden="1" customHeight="1" x14ac:dyDescent="0.25">
      <c r="A23" s="15">
        <v>22</v>
      </c>
      <c r="B23" s="53" t="s">
        <v>63</v>
      </c>
      <c r="C23" s="119" t="s">
        <v>62</v>
      </c>
      <c r="D23" s="13" t="s">
        <v>21</v>
      </c>
      <c r="E23" s="13" t="s">
        <v>322</v>
      </c>
      <c r="F23" s="13" t="s">
        <v>42</v>
      </c>
      <c r="G23" s="13" t="s">
        <v>17</v>
      </c>
      <c r="H23" s="13" t="s">
        <v>329</v>
      </c>
      <c r="I23" s="13" t="s">
        <v>326</v>
      </c>
      <c r="J23" s="13" t="e">
        <f t="shared" si="0"/>
        <v>#REF!</v>
      </c>
      <c r="K23" s="19" t="e">
        <f>VLOOKUP(B23,#REF!,2,0)</f>
        <v>#REF!</v>
      </c>
      <c r="L23" s="24" t="e">
        <f t="shared" si="1"/>
        <v>#REF!</v>
      </c>
      <c r="M23" s="19" t="e">
        <f t="shared" si="2"/>
        <v>#REF!</v>
      </c>
      <c r="N23" s="19" t="e">
        <f>VLOOKUP(B23,#REF!,2,0)</f>
        <v>#REF!</v>
      </c>
      <c r="O23" s="24">
        <v>90</v>
      </c>
      <c r="P23" s="24" t="e">
        <f t="shared" si="3"/>
        <v>#REF!</v>
      </c>
      <c r="Q23" s="24" t="e">
        <f t="shared" si="4"/>
        <v>#REF!</v>
      </c>
      <c r="R23" s="36" t="e">
        <f t="shared" si="5"/>
        <v>#REF!</v>
      </c>
      <c r="S23" s="85">
        <v>12.5</v>
      </c>
      <c r="T23" s="16" t="e">
        <f>+SUMIF(#REF!,'Özet Durum'!B23,#REF!)</f>
        <v>#REF!</v>
      </c>
      <c r="U23" s="17" t="e">
        <f t="shared" si="6"/>
        <v>#REF!</v>
      </c>
      <c r="V23" s="20" t="e">
        <f t="shared" si="7"/>
        <v>#REF!</v>
      </c>
      <c r="W23" s="14">
        <v>969000</v>
      </c>
      <c r="X23" s="29" t="e">
        <f t="shared" si="8"/>
        <v>#REF!</v>
      </c>
      <c r="Y23" s="161">
        <v>0.94</v>
      </c>
      <c r="Z23" s="31"/>
      <c r="AA23" s="31"/>
    </row>
    <row r="24" spans="1:27" s="30" customFormat="1" ht="19.95" hidden="1" customHeight="1" x14ac:dyDescent="0.25">
      <c r="A24" s="15">
        <v>23</v>
      </c>
      <c r="B24" s="53" t="s">
        <v>116</v>
      </c>
      <c r="C24" s="119" t="s">
        <v>92</v>
      </c>
      <c r="D24" s="13" t="s">
        <v>21</v>
      </c>
      <c r="E24" s="13" t="s">
        <v>321</v>
      </c>
      <c r="F24" s="13" t="s">
        <v>16</v>
      </c>
      <c r="G24" s="13" t="s">
        <v>17</v>
      </c>
      <c r="H24" s="13" t="s">
        <v>331</v>
      </c>
      <c r="I24" s="13" t="s">
        <v>320</v>
      </c>
      <c r="J24" s="13" t="e">
        <f t="shared" si="0"/>
        <v>#REF!</v>
      </c>
      <c r="K24" s="19" t="e">
        <f>VLOOKUP(B24,#REF!,2,0)</f>
        <v>#REF!</v>
      </c>
      <c r="L24" s="24" t="e">
        <f t="shared" si="1"/>
        <v>#REF!</v>
      </c>
      <c r="M24" s="19" t="e">
        <f t="shared" si="2"/>
        <v>#REF!</v>
      </c>
      <c r="N24" s="19" t="e">
        <f>VLOOKUP(B24,#REF!,2,0)</f>
        <v>#REF!</v>
      </c>
      <c r="O24" s="24">
        <v>150</v>
      </c>
      <c r="P24" s="24" t="e">
        <f t="shared" si="3"/>
        <v>#REF!</v>
      </c>
      <c r="Q24" s="24" t="e">
        <f t="shared" si="4"/>
        <v>#REF!</v>
      </c>
      <c r="R24" s="36" t="e">
        <f t="shared" si="5"/>
        <v>#REF!</v>
      </c>
      <c r="S24" s="15">
        <v>23</v>
      </c>
      <c r="T24" s="16" t="e">
        <f>+SUMIF(#REF!,'Özet Durum'!B24,#REF!)</f>
        <v>#REF!</v>
      </c>
      <c r="U24" s="17" t="e">
        <f t="shared" si="6"/>
        <v>#REF!</v>
      </c>
      <c r="V24" s="20" t="e">
        <f t="shared" si="7"/>
        <v>#REF!</v>
      </c>
      <c r="W24" s="14">
        <v>5250000</v>
      </c>
      <c r="X24" s="29" t="e">
        <f t="shared" si="8"/>
        <v>#REF!</v>
      </c>
      <c r="Y24" s="161">
        <v>0.98</v>
      </c>
    </row>
    <row r="25" spans="1:27" s="30" customFormat="1" ht="19.95" hidden="1" customHeight="1" x14ac:dyDescent="0.25">
      <c r="A25" s="15">
        <v>24</v>
      </c>
      <c r="B25" s="53" t="s">
        <v>126</v>
      </c>
      <c r="C25" s="119" t="s">
        <v>90</v>
      </c>
      <c r="D25" s="13" t="s">
        <v>21</v>
      </c>
      <c r="E25" s="13" t="s">
        <v>321</v>
      </c>
      <c r="F25" s="13" t="s">
        <v>27</v>
      </c>
      <c r="G25" s="13" t="s">
        <v>17</v>
      </c>
      <c r="H25" s="13" t="s">
        <v>333</v>
      </c>
      <c r="I25" s="13" t="s">
        <v>320</v>
      </c>
      <c r="J25" s="13" t="e">
        <f t="shared" si="0"/>
        <v>#REF!</v>
      </c>
      <c r="K25" s="19" t="e">
        <f>VLOOKUP(B25,#REF!,2,0)</f>
        <v>#REF!</v>
      </c>
      <c r="L25" s="24" t="e">
        <f t="shared" si="1"/>
        <v>#REF!</v>
      </c>
      <c r="M25" s="19" t="e">
        <f t="shared" si="2"/>
        <v>#REF!</v>
      </c>
      <c r="N25" s="19" t="e">
        <f>VLOOKUP(B25,#REF!,2,0)</f>
        <v>#REF!</v>
      </c>
      <c r="O25" s="24">
        <v>150</v>
      </c>
      <c r="P25" s="24" t="e">
        <f t="shared" si="3"/>
        <v>#REF!</v>
      </c>
      <c r="Q25" s="24" t="e">
        <f t="shared" si="4"/>
        <v>#REF!</v>
      </c>
      <c r="R25" s="36" t="e">
        <f t="shared" si="5"/>
        <v>#REF!</v>
      </c>
      <c r="S25" s="15">
        <v>4.5</v>
      </c>
      <c r="T25" s="16" t="e">
        <f>+SUMIF(#REF!,'Özet Durum'!B25,#REF!)</f>
        <v>#REF!</v>
      </c>
      <c r="U25" s="17" t="e">
        <f t="shared" si="6"/>
        <v>#REF!</v>
      </c>
      <c r="V25" s="20" t="e">
        <f t="shared" si="7"/>
        <v>#REF!</v>
      </c>
      <c r="W25" s="14">
        <v>0</v>
      </c>
      <c r="X25" s="29" t="e">
        <f t="shared" si="8"/>
        <v>#REF!</v>
      </c>
      <c r="Y25" s="161">
        <v>1</v>
      </c>
    </row>
    <row r="26" spans="1:27" s="30" customFormat="1" ht="19.95" hidden="1" customHeight="1" x14ac:dyDescent="0.25">
      <c r="A26" s="15">
        <v>25</v>
      </c>
      <c r="B26" s="53" t="s">
        <v>107</v>
      </c>
      <c r="C26" s="119" t="s">
        <v>106</v>
      </c>
      <c r="D26" s="13" t="s">
        <v>74</v>
      </c>
      <c r="E26" s="13" t="s">
        <v>328</v>
      </c>
      <c r="F26" s="13" t="s">
        <v>105</v>
      </c>
      <c r="G26" s="13" t="s">
        <v>37</v>
      </c>
      <c r="H26" s="13" t="s">
        <v>334</v>
      </c>
      <c r="I26" s="13" t="s">
        <v>320</v>
      </c>
      <c r="J26" s="13" t="str">
        <f t="shared" si="0"/>
        <v>Tamamlandı</v>
      </c>
      <c r="K26" s="19" t="e">
        <f>VLOOKUP(B26,#REF!,2,0)</f>
        <v>#REF!</v>
      </c>
      <c r="L26" s="24" t="e">
        <f t="shared" si="1"/>
        <v>#REF!</v>
      </c>
      <c r="M26" s="19" t="e">
        <f t="shared" si="2"/>
        <v>#REF!</v>
      </c>
      <c r="N26" s="19" t="e">
        <f>VLOOKUP(B26,#REF!,2,0)</f>
        <v>#REF!</v>
      </c>
      <c r="O26" s="24">
        <v>150</v>
      </c>
      <c r="P26" s="24" t="e">
        <f t="shared" si="3"/>
        <v>#REF!</v>
      </c>
      <c r="Q26" s="24" t="e">
        <f t="shared" si="4"/>
        <v>#REF!</v>
      </c>
      <c r="R26" s="36" t="e">
        <f t="shared" si="5"/>
        <v>#REF!</v>
      </c>
      <c r="S26" s="15">
        <v>15</v>
      </c>
      <c r="T26" s="16">
        <v>15</v>
      </c>
      <c r="U26" s="17">
        <f t="shared" si="6"/>
        <v>0</v>
      </c>
      <c r="V26" s="20">
        <f t="shared" si="7"/>
        <v>1</v>
      </c>
      <c r="W26" s="14">
        <v>381837</v>
      </c>
      <c r="X26" s="29" t="str">
        <f t="shared" si="8"/>
        <v>2.Anket Zamanı Geldi</v>
      </c>
      <c r="Y26" s="161">
        <v>0.93</v>
      </c>
    </row>
    <row r="27" spans="1:27" s="30" customFormat="1" ht="19.95" hidden="1" customHeight="1" x14ac:dyDescent="0.25">
      <c r="A27" s="15">
        <v>26</v>
      </c>
      <c r="B27" s="53" t="s">
        <v>93</v>
      </c>
      <c r="C27" s="119" t="s">
        <v>92</v>
      </c>
      <c r="D27" s="13" t="s">
        <v>21</v>
      </c>
      <c r="E27" s="13" t="s">
        <v>321</v>
      </c>
      <c r="F27" s="13" t="s">
        <v>16</v>
      </c>
      <c r="G27" s="13" t="s">
        <v>17</v>
      </c>
      <c r="H27" s="13" t="s">
        <v>335</v>
      </c>
      <c r="I27" s="13" t="s">
        <v>326</v>
      </c>
      <c r="J27" s="13" t="e">
        <f t="shared" si="0"/>
        <v>#REF!</v>
      </c>
      <c r="K27" s="19" t="e">
        <f>VLOOKUP(B27,#REF!,2,0)</f>
        <v>#REF!</v>
      </c>
      <c r="L27" s="24" t="e">
        <f t="shared" si="1"/>
        <v>#REF!</v>
      </c>
      <c r="M27" s="19" t="e">
        <f t="shared" si="2"/>
        <v>#REF!</v>
      </c>
      <c r="N27" s="19" t="e">
        <f>VLOOKUP(B27,#REF!,2,0)</f>
        <v>#REF!</v>
      </c>
      <c r="O27" s="24">
        <v>90</v>
      </c>
      <c r="P27" s="24" t="e">
        <f t="shared" si="3"/>
        <v>#REF!</v>
      </c>
      <c r="Q27" s="24" t="e">
        <f t="shared" si="4"/>
        <v>#REF!</v>
      </c>
      <c r="R27" s="36" t="e">
        <f t="shared" si="5"/>
        <v>#REF!</v>
      </c>
      <c r="S27" s="15">
        <v>12</v>
      </c>
      <c r="T27" s="16" t="e">
        <f>+SUMIF(#REF!,'Özet Durum'!B27,#REF!)</f>
        <v>#REF!</v>
      </c>
      <c r="U27" s="17" t="e">
        <f t="shared" si="6"/>
        <v>#REF!</v>
      </c>
      <c r="V27" s="20" t="e">
        <f t="shared" si="7"/>
        <v>#REF!</v>
      </c>
      <c r="W27" s="14">
        <f>793500*2</f>
        <v>1587000</v>
      </c>
      <c r="X27" s="29" t="e">
        <f t="shared" si="8"/>
        <v>#REF!</v>
      </c>
      <c r="Y27" s="161">
        <v>0.98</v>
      </c>
    </row>
    <row r="28" spans="1:27" s="30" customFormat="1" ht="19.95" hidden="1" customHeight="1" x14ac:dyDescent="0.25">
      <c r="A28" s="15">
        <v>27</v>
      </c>
      <c r="B28" s="53" t="s">
        <v>87</v>
      </c>
      <c r="C28" s="119" t="s">
        <v>86</v>
      </c>
      <c r="D28" s="13" t="s">
        <v>21</v>
      </c>
      <c r="E28" s="13" t="s">
        <v>321</v>
      </c>
      <c r="F28" s="13" t="s">
        <v>85</v>
      </c>
      <c r="G28" s="13" t="s">
        <v>37</v>
      </c>
      <c r="H28" s="13" t="s">
        <v>336</v>
      </c>
      <c r="I28" s="13" t="s">
        <v>326</v>
      </c>
      <c r="J28" s="13" t="e">
        <f t="shared" si="0"/>
        <v>#REF!</v>
      </c>
      <c r="K28" s="19" t="e">
        <f>VLOOKUP(B28,#REF!,2,0)</f>
        <v>#REF!</v>
      </c>
      <c r="L28" s="24" t="e">
        <f t="shared" si="1"/>
        <v>#REF!</v>
      </c>
      <c r="M28" s="19" t="e">
        <f t="shared" si="2"/>
        <v>#REF!</v>
      </c>
      <c r="N28" s="19" t="e">
        <f>VLOOKUP(B28,#REF!,2,0)</f>
        <v>#REF!</v>
      </c>
      <c r="O28" s="24">
        <v>90</v>
      </c>
      <c r="P28" s="24" t="e">
        <f t="shared" si="3"/>
        <v>#REF!</v>
      </c>
      <c r="Q28" s="24" t="e">
        <f t="shared" si="4"/>
        <v>#REF!</v>
      </c>
      <c r="R28" s="36" t="e">
        <f t="shared" si="5"/>
        <v>#REF!</v>
      </c>
      <c r="S28" s="15">
        <v>9</v>
      </c>
      <c r="T28" s="16" t="e">
        <f>+SUMIF(#REF!,'Özet Durum'!B28,#REF!)</f>
        <v>#REF!</v>
      </c>
      <c r="U28" s="17" t="e">
        <f t="shared" si="6"/>
        <v>#REF!</v>
      </c>
      <c r="V28" s="20" t="e">
        <f t="shared" si="7"/>
        <v>#REF!</v>
      </c>
      <c r="W28" s="14">
        <v>660000</v>
      </c>
      <c r="X28" s="29" t="e">
        <f t="shared" si="8"/>
        <v>#REF!</v>
      </c>
      <c r="Y28" s="161"/>
    </row>
    <row r="29" spans="1:27" s="30" customFormat="1" ht="19.95" hidden="1" customHeight="1" x14ac:dyDescent="0.25">
      <c r="A29" s="15">
        <v>28</v>
      </c>
      <c r="B29" s="53" t="s">
        <v>97</v>
      </c>
      <c r="C29" s="119" t="s">
        <v>96</v>
      </c>
      <c r="D29" s="13" t="s">
        <v>21</v>
      </c>
      <c r="E29" s="13" t="s">
        <v>321</v>
      </c>
      <c r="F29" s="13" t="s">
        <v>85</v>
      </c>
      <c r="G29" s="13" t="s">
        <v>37</v>
      </c>
      <c r="H29" s="13" t="s">
        <v>335</v>
      </c>
      <c r="I29" s="13" t="s">
        <v>326</v>
      </c>
      <c r="J29" s="13" t="e">
        <f t="shared" si="0"/>
        <v>#REF!</v>
      </c>
      <c r="K29" s="19" t="e">
        <f>VLOOKUP(B29,#REF!,2,0)</f>
        <v>#REF!</v>
      </c>
      <c r="L29" s="24" t="e">
        <f t="shared" si="1"/>
        <v>#REF!</v>
      </c>
      <c r="M29" s="19" t="e">
        <f t="shared" si="2"/>
        <v>#REF!</v>
      </c>
      <c r="N29" s="19" t="e">
        <f>VLOOKUP(B29,#REF!,2,0)</f>
        <v>#REF!</v>
      </c>
      <c r="O29" s="24">
        <v>90</v>
      </c>
      <c r="P29" s="24" t="e">
        <f t="shared" si="3"/>
        <v>#REF!</v>
      </c>
      <c r="Q29" s="24" t="e">
        <f t="shared" si="4"/>
        <v>#REF!</v>
      </c>
      <c r="R29" s="36" t="e">
        <f t="shared" si="5"/>
        <v>#REF!</v>
      </c>
      <c r="S29" s="15">
        <v>9</v>
      </c>
      <c r="T29" s="16" t="e">
        <f>+SUMIF(#REF!,'Özet Durum'!B29,#REF!)</f>
        <v>#REF!</v>
      </c>
      <c r="U29" s="17" t="e">
        <f t="shared" si="6"/>
        <v>#REF!</v>
      </c>
      <c r="V29" s="20" t="e">
        <f t="shared" si="7"/>
        <v>#REF!</v>
      </c>
      <c r="W29" s="14">
        <v>2237440</v>
      </c>
      <c r="X29" s="29" t="e">
        <f t="shared" si="8"/>
        <v>#REF!</v>
      </c>
      <c r="Y29" s="161">
        <v>0.91</v>
      </c>
    </row>
    <row r="30" spans="1:27" s="30" customFormat="1" ht="19.95" hidden="1" customHeight="1" x14ac:dyDescent="0.25">
      <c r="A30" s="15">
        <v>29</v>
      </c>
      <c r="B30" s="53" t="s">
        <v>95</v>
      </c>
      <c r="C30" s="119" t="s">
        <v>94</v>
      </c>
      <c r="D30" s="13" t="s">
        <v>21</v>
      </c>
      <c r="E30" s="13" t="s">
        <v>321</v>
      </c>
      <c r="F30" s="13" t="s">
        <v>45</v>
      </c>
      <c r="G30" s="13" t="s">
        <v>37</v>
      </c>
      <c r="H30" s="13" t="s">
        <v>335</v>
      </c>
      <c r="I30" s="13" t="s">
        <v>326</v>
      </c>
      <c r="J30" s="13" t="e">
        <f t="shared" si="0"/>
        <v>#REF!</v>
      </c>
      <c r="K30" s="19" t="e">
        <f>VLOOKUP(B30,#REF!,2,0)</f>
        <v>#REF!</v>
      </c>
      <c r="L30" s="24" t="e">
        <f t="shared" si="1"/>
        <v>#REF!</v>
      </c>
      <c r="M30" s="19" t="e">
        <f t="shared" si="2"/>
        <v>#REF!</v>
      </c>
      <c r="N30" s="19" t="e">
        <f>VLOOKUP(B30,#REF!,2,0)</f>
        <v>#REF!</v>
      </c>
      <c r="O30" s="24">
        <v>90</v>
      </c>
      <c r="P30" s="24" t="e">
        <f t="shared" si="3"/>
        <v>#REF!</v>
      </c>
      <c r="Q30" s="24" t="e">
        <f t="shared" si="4"/>
        <v>#REF!</v>
      </c>
      <c r="R30" s="36" t="e">
        <f t="shared" si="5"/>
        <v>#REF!</v>
      </c>
      <c r="S30" s="15">
        <v>10</v>
      </c>
      <c r="T30" s="16" t="e">
        <f>+SUMIF(#REF!,'Özet Durum'!B30,#REF!)</f>
        <v>#REF!</v>
      </c>
      <c r="U30" s="17" t="e">
        <f t="shared" si="6"/>
        <v>#REF!</v>
      </c>
      <c r="V30" s="20" t="e">
        <f t="shared" si="7"/>
        <v>#REF!</v>
      </c>
      <c r="W30" s="14">
        <v>0</v>
      </c>
      <c r="X30" s="29" t="e">
        <f t="shared" si="8"/>
        <v>#REF!</v>
      </c>
      <c r="Y30" s="161"/>
    </row>
    <row r="31" spans="1:27" s="30" customFormat="1" ht="19.95" hidden="1" customHeight="1" x14ac:dyDescent="0.25">
      <c r="A31" s="15">
        <v>30</v>
      </c>
      <c r="B31" s="53" t="s">
        <v>71</v>
      </c>
      <c r="C31" s="119" t="s">
        <v>70</v>
      </c>
      <c r="D31" s="13" t="s">
        <v>21</v>
      </c>
      <c r="E31" s="13" t="s">
        <v>321</v>
      </c>
      <c r="F31" s="13" t="s">
        <v>27</v>
      </c>
      <c r="G31" s="13" t="s">
        <v>17</v>
      </c>
      <c r="H31" s="13" t="s">
        <v>335</v>
      </c>
      <c r="I31" s="13" t="s">
        <v>326</v>
      </c>
      <c r="J31" s="13" t="e">
        <f t="shared" si="0"/>
        <v>#REF!</v>
      </c>
      <c r="K31" s="19" t="e">
        <f>VLOOKUP(B31,#REF!,2,0)</f>
        <v>#REF!</v>
      </c>
      <c r="L31" s="24" t="e">
        <f t="shared" si="1"/>
        <v>#REF!</v>
      </c>
      <c r="M31" s="19" t="e">
        <f t="shared" si="2"/>
        <v>#REF!</v>
      </c>
      <c r="N31" s="19" t="e">
        <f>VLOOKUP(B31,#REF!,2,0)</f>
        <v>#REF!</v>
      </c>
      <c r="O31" s="24">
        <v>90</v>
      </c>
      <c r="P31" s="24" t="e">
        <f t="shared" si="3"/>
        <v>#REF!</v>
      </c>
      <c r="Q31" s="24" t="e">
        <f t="shared" si="4"/>
        <v>#REF!</v>
      </c>
      <c r="R31" s="36" t="e">
        <f t="shared" si="5"/>
        <v>#REF!</v>
      </c>
      <c r="S31" s="15">
        <v>12</v>
      </c>
      <c r="T31" s="16" t="e">
        <f>+SUMIF(#REF!,'Özet Durum'!B31,#REF!)</f>
        <v>#REF!</v>
      </c>
      <c r="U31" s="17" t="e">
        <f t="shared" si="6"/>
        <v>#REF!</v>
      </c>
      <c r="V31" s="20" t="e">
        <f t="shared" si="7"/>
        <v>#REF!</v>
      </c>
      <c r="W31" s="14">
        <v>779712</v>
      </c>
      <c r="X31" s="29" t="e">
        <f t="shared" si="8"/>
        <v>#REF!</v>
      </c>
      <c r="Y31" s="161">
        <v>1</v>
      </c>
    </row>
    <row r="32" spans="1:27" s="30" customFormat="1" ht="19.95" hidden="1" customHeight="1" x14ac:dyDescent="0.25">
      <c r="A32" s="15">
        <v>31</v>
      </c>
      <c r="B32" s="53" t="s">
        <v>76</v>
      </c>
      <c r="C32" s="119" t="s">
        <v>75</v>
      </c>
      <c r="D32" s="13" t="s">
        <v>21</v>
      </c>
      <c r="E32" s="13" t="s">
        <v>321</v>
      </c>
      <c r="F32" s="13" t="s">
        <v>16</v>
      </c>
      <c r="G32" s="13" t="s">
        <v>17</v>
      </c>
      <c r="H32" s="13" t="s">
        <v>336</v>
      </c>
      <c r="I32" s="13" t="s">
        <v>326</v>
      </c>
      <c r="J32" s="13" t="e">
        <f t="shared" si="0"/>
        <v>#REF!</v>
      </c>
      <c r="K32" s="19" t="e">
        <f>VLOOKUP(B32,#REF!,2,0)</f>
        <v>#REF!</v>
      </c>
      <c r="L32" s="24" t="e">
        <f t="shared" si="1"/>
        <v>#REF!</v>
      </c>
      <c r="M32" s="19" t="e">
        <f t="shared" si="2"/>
        <v>#REF!</v>
      </c>
      <c r="N32" s="19" t="e">
        <f>VLOOKUP(B32,#REF!,2,0)</f>
        <v>#REF!</v>
      </c>
      <c r="O32" s="24">
        <v>90</v>
      </c>
      <c r="P32" s="24" t="e">
        <f t="shared" si="3"/>
        <v>#REF!</v>
      </c>
      <c r="Q32" s="24" t="e">
        <f t="shared" si="4"/>
        <v>#REF!</v>
      </c>
      <c r="R32" s="36" t="e">
        <f t="shared" si="5"/>
        <v>#REF!</v>
      </c>
      <c r="S32" s="15">
        <v>12</v>
      </c>
      <c r="T32" s="16" t="e">
        <f>+SUMIF(#REF!,'Özet Durum'!B32,#REF!)</f>
        <v>#REF!</v>
      </c>
      <c r="U32" s="17" t="e">
        <f t="shared" si="6"/>
        <v>#REF!</v>
      </c>
      <c r="V32" s="20" t="e">
        <f t="shared" si="7"/>
        <v>#REF!</v>
      </c>
      <c r="W32" s="14">
        <v>881192</v>
      </c>
      <c r="X32" s="29" t="e">
        <f t="shared" si="8"/>
        <v>#REF!</v>
      </c>
      <c r="Y32" s="161">
        <v>0.98</v>
      </c>
      <c r="Z32" s="32"/>
      <c r="AA32" s="32"/>
    </row>
    <row r="33" spans="1:27" s="30" customFormat="1" ht="19.95" hidden="1" customHeight="1" x14ac:dyDescent="0.25">
      <c r="A33" s="15">
        <v>32</v>
      </c>
      <c r="B33" s="53" t="s">
        <v>78</v>
      </c>
      <c r="C33" s="119" t="s">
        <v>77</v>
      </c>
      <c r="D33" s="13" t="s">
        <v>21</v>
      </c>
      <c r="E33" s="13" t="s">
        <v>321</v>
      </c>
      <c r="F33" s="13" t="s">
        <v>27</v>
      </c>
      <c r="G33" s="13" t="s">
        <v>17</v>
      </c>
      <c r="H33" s="13" t="s">
        <v>336</v>
      </c>
      <c r="I33" s="13" t="s">
        <v>326</v>
      </c>
      <c r="J33" s="13" t="e">
        <f t="shared" si="0"/>
        <v>#REF!</v>
      </c>
      <c r="K33" s="19" t="e">
        <f>VLOOKUP(B33,#REF!,2,0)</f>
        <v>#REF!</v>
      </c>
      <c r="L33" s="24" t="e">
        <f t="shared" si="1"/>
        <v>#REF!</v>
      </c>
      <c r="M33" s="19" t="e">
        <f t="shared" si="2"/>
        <v>#REF!</v>
      </c>
      <c r="N33" s="19" t="e">
        <f>VLOOKUP(B33,#REF!,2,0)</f>
        <v>#REF!</v>
      </c>
      <c r="O33" s="24">
        <v>90</v>
      </c>
      <c r="P33" s="24" t="e">
        <f t="shared" si="3"/>
        <v>#REF!</v>
      </c>
      <c r="Q33" s="24" t="e">
        <f t="shared" si="4"/>
        <v>#REF!</v>
      </c>
      <c r="R33" s="36" t="e">
        <f t="shared" si="5"/>
        <v>#REF!</v>
      </c>
      <c r="S33" s="15">
        <v>12</v>
      </c>
      <c r="T33" s="16" t="e">
        <f>+SUMIF(#REF!,'Özet Durum'!B33,#REF!)</f>
        <v>#REF!</v>
      </c>
      <c r="U33" s="17" t="e">
        <f t="shared" si="6"/>
        <v>#REF!</v>
      </c>
      <c r="V33" s="20" t="e">
        <f t="shared" si="7"/>
        <v>#REF!</v>
      </c>
      <c r="W33" s="14">
        <v>5265000</v>
      </c>
      <c r="X33" s="29" t="e">
        <f t="shared" si="8"/>
        <v>#REF!</v>
      </c>
      <c r="Y33" s="161">
        <v>0.77</v>
      </c>
    </row>
    <row r="34" spans="1:27" s="30" customFormat="1" ht="19.95" hidden="1" customHeight="1" x14ac:dyDescent="0.25">
      <c r="A34" s="15">
        <v>33</v>
      </c>
      <c r="B34" s="53" t="s">
        <v>91</v>
      </c>
      <c r="C34" s="119" t="s">
        <v>90</v>
      </c>
      <c r="D34" s="13" t="s">
        <v>21</v>
      </c>
      <c r="E34" s="13" t="s">
        <v>321</v>
      </c>
      <c r="F34" s="13" t="s">
        <v>27</v>
      </c>
      <c r="G34" s="13" t="s">
        <v>17</v>
      </c>
      <c r="H34" s="13" t="s">
        <v>331</v>
      </c>
      <c r="I34" s="13" t="s">
        <v>326</v>
      </c>
      <c r="J34" s="13" t="e">
        <f t="shared" si="0"/>
        <v>#REF!</v>
      </c>
      <c r="K34" s="19" t="e">
        <f>VLOOKUP(B34,#REF!,2,0)</f>
        <v>#REF!</v>
      </c>
      <c r="L34" s="24" t="e">
        <f t="shared" ref="L34:L65" si="9">YEAR(K34)</f>
        <v>#REF!</v>
      </c>
      <c r="M34" s="19" t="e">
        <f t="shared" ref="M34:M63" si="10">+K34+O34</f>
        <v>#REF!</v>
      </c>
      <c r="N34" s="19" t="e">
        <f>VLOOKUP(B34,#REF!,2,0)</f>
        <v>#REF!</v>
      </c>
      <c r="O34" s="24">
        <v>90</v>
      </c>
      <c r="P34" s="24" t="e">
        <f t="shared" ref="P34:P62" si="11">+N34-K34</f>
        <v>#REF!</v>
      </c>
      <c r="Q34" s="24" t="e">
        <f t="shared" ref="Q34:Q65" si="12">+YEAR(N34)</f>
        <v>#REF!</v>
      </c>
      <c r="R34" s="36" t="e">
        <f t="shared" ref="R34:R65" si="13">IF(P34&lt;O34,1,1-(ABS(O34-P34)/O34))</f>
        <v>#REF!</v>
      </c>
      <c r="S34" s="15">
        <v>15</v>
      </c>
      <c r="T34" s="16" t="e">
        <f>+SUMIF(#REF!,'Özet Durum'!B34,#REF!)</f>
        <v>#REF!</v>
      </c>
      <c r="U34" s="17" t="e">
        <f t="shared" ref="U34:U65" si="14">+S34-T34</f>
        <v>#REF!</v>
      </c>
      <c r="V34" s="20" t="e">
        <f t="shared" ref="V34:V61" si="15">+T34/S34</f>
        <v>#REF!</v>
      </c>
      <c r="W34" s="14">
        <v>0</v>
      </c>
      <c r="X34" s="29" t="e">
        <f t="shared" ref="X34:X65" si="16">IF(T34&lt;S34/2," ",IF(T34=S34/2,"1.Anket Zamanı Geldi",IF(T34&gt;S34/2,"2.Anket Zamanı Geldi")))</f>
        <v>#REF!</v>
      </c>
      <c r="Y34" s="161">
        <v>1</v>
      </c>
    </row>
    <row r="35" spans="1:27" s="30" customFormat="1" ht="19.95" hidden="1" customHeight="1" x14ac:dyDescent="0.25">
      <c r="A35" s="15">
        <v>34</v>
      </c>
      <c r="B35" s="53" t="s">
        <v>84</v>
      </c>
      <c r="C35" s="119" t="s">
        <v>83</v>
      </c>
      <c r="D35" s="13" t="s">
        <v>21</v>
      </c>
      <c r="E35" s="13" t="s">
        <v>321</v>
      </c>
      <c r="F35" s="13" t="s">
        <v>82</v>
      </c>
      <c r="G35" s="13" t="s">
        <v>37</v>
      </c>
      <c r="H35" s="13" t="s">
        <v>336</v>
      </c>
      <c r="I35" s="13" t="s">
        <v>326</v>
      </c>
      <c r="J35" s="13" t="e">
        <f t="shared" si="0"/>
        <v>#REF!</v>
      </c>
      <c r="K35" s="19" t="e">
        <f>VLOOKUP(B35,#REF!,2,0)</f>
        <v>#REF!</v>
      </c>
      <c r="L35" s="24" t="e">
        <f t="shared" si="9"/>
        <v>#REF!</v>
      </c>
      <c r="M35" s="19" t="e">
        <f t="shared" si="10"/>
        <v>#REF!</v>
      </c>
      <c r="N35" s="19" t="e">
        <f>VLOOKUP(B35,#REF!,2,0)</f>
        <v>#REF!</v>
      </c>
      <c r="O35" s="24">
        <v>90</v>
      </c>
      <c r="P35" s="24" t="e">
        <f t="shared" si="11"/>
        <v>#REF!</v>
      </c>
      <c r="Q35" s="24" t="e">
        <f t="shared" si="12"/>
        <v>#REF!</v>
      </c>
      <c r="R35" s="36" t="e">
        <f t="shared" si="13"/>
        <v>#REF!</v>
      </c>
      <c r="S35" s="15">
        <v>10</v>
      </c>
      <c r="T35" s="16" t="e">
        <f>+SUMIF(#REF!,'Özet Durum'!B35,#REF!)</f>
        <v>#REF!</v>
      </c>
      <c r="U35" s="17" t="e">
        <f t="shared" si="14"/>
        <v>#REF!</v>
      </c>
      <c r="V35" s="20" t="e">
        <f t="shared" si="15"/>
        <v>#REF!</v>
      </c>
      <c r="W35" s="14">
        <v>900000</v>
      </c>
      <c r="X35" s="29" t="e">
        <f t="shared" si="16"/>
        <v>#REF!</v>
      </c>
      <c r="Y35" s="161">
        <v>0.96</v>
      </c>
    </row>
    <row r="36" spans="1:27" s="30" customFormat="1" ht="19.95" hidden="1" customHeight="1" x14ac:dyDescent="0.25">
      <c r="A36" s="15">
        <v>35</v>
      </c>
      <c r="B36" s="53" t="s">
        <v>111</v>
      </c>
      <c r="C36" s="120" t="s">
        <v>110</v>
      </c>
      <c r="D36" s="12" t="s">
        <v>21</v>
      </c>
      <c r="E36" s="12" t="s">
        <v>330</v>
      </c>
      <c r="F36" s="12" t="s">
        <v>22</v>
      </c>
      <c r="G36" s="13" t="s">
        <v>17</v>
      </c>
      <c r="H36" s="13" t="s">
        <v>337</v>
      </c>
      <c r="I36" s="12" t="s">
        <v>320</v>
      </c>
      <c r="J36" s="13" t="e">
        <f t="shared" si="0"/>
        <v>#REF!</v>
      </c>
      <c r="K36" s="19" t="e">
        <f>VLOOKUP(B36,#REF!,2,0)</f>
        <v>#REF!</v>
      </c>
      <c r="L36" s="24" t="e">
        <f t="shared" si="9"/>
        <v>#REF!</v>
      </c>
      <c r="M36" s="19" t="e">
        <f t="shared" si="10"/>
        <v>#REF!</v>
      </c>
      <c r="N36" s="19" t="e">
        <f>VLOOKUP(B36,#REF!,2,0)</f>
        <v>#REF!</v>
      </c>
      <c r="O36" s="24">
        <v>150</v>
      </c>
      <c r="P36" s="24" t="e">
        <f t="shared" si="11"/>
        <v>#REF!</v>
      </c>
      <c r="Q36" s="24" t="e">
        <f t="shared" si="12"/>
        <v>#REF!</v>
      </c>
      <c r="R36" s="36" t="e">
        <f t="shared" si="13"/>
        <v>#REF!</v>
      </c>
      <c r="S36" s="15">
        <v>10</v>
      </c>
      <c r="T36" s="16" t="e">
        <f>+SUMIF(#REF!,'Özet Durum'!B36,#REF!)</f>
        <v>#REF!</v>
      </c>
      <c r="U36" s="17" t="e">
        <f t="shared" si="14"/>
        <v>#REF!</v>
      </c>
      <c r="V36" s="20" t="e">
        <f t="shared" si="15"/>
        <v>#REF!</v>
      </c>
      <c r="W36" s="14">
        <v>925000</v>
      </c>
      <c r="X36" s="29" t="e">
        <f t="shared" si="16"/>
        <v>#REF!</v>
      </c>
      <c r="Y36" s="161"/>
    </row>
    <row r="37" spans="1:27" s="30" customFormat="1" ht="19.95" hidden="1" customHeight="1" x14ac:dyDescent="0.25">
      <c r="A37" s="15">
        <v>36</v>
      </c>
      <c r="B37" s="53" t="s">
        <v>128</v>
      </c>
      <c r="C37" s="119" t="s">
        <v>127</v>
      </c>
      <c r="D37" s="13" t="s">
        <v>21</v>
      </c>
      <c r="E37" s="13" t="s">
        <v>338</v>
      </c>
      <c r="F37" s="13" t="s">
        <v>85</v>
      </c>
      <c r="G37" s="13" t="s">
        <v>37</v>
      </c>
      <c r="H37" s="13" t="s">
        <v>337</v>
      </c>
      <c r="I37" s="13" t="s">
        <v>320</v>
      </c>
      <c r="J37" s="13" t="e">
        <f t="shared" si="0"/>
        <v>#REF!</v>
      </c>
      <c r="K37" s="19" t="e">
        <f>VLOOKUP(B37,#REF!,2,0)</f>
        <v>#REF!</v>
      </c>
      <c r="L37" s="24" t="e">
        <f t="shared" si="9"/>
        <v>#REF!</v>
      </c>
      <c r="M37" s="19" t="e">
        <f t="shared" si="10"/>
        <v>#REF!</v>
      </c>
      <c r="N37" s="19" t="e">
        <f>VLOOKUP(B37,#REF!,2,0)</f>
        <v>#REF!</v>
      </c>
      <c r="O37" s="24">
        <v>210</v>
      </c>
      <c r="P37" s="24" t="e">
        <f t="shared" si="11"/>
        <v>#REF!</v>
      </c>
      <c r="Q37" s="24" t="e">
        <f t="shared" si="12"/>
        <v>#REF!</v>
      </c>
      <c r="R37" s="36" t="e">
        <f t="shared" si="13"/>
        <v>#REF!</v>
      </c>
      <c r="S37" s="15">
        <v>20</v>
      </c>
      <c r="T37" s="16" t="e">
        <f>+SUMIF(#REF!,'Özet Durum'!B37,#REF!)</f>
        <v>#REF!</v>
      </c>
      <c r="U37" s="17" t="e">
        <f t="shared" si="14"/>
        <v>#REF!</v>
      </c>
      <c r="V37" s="20" t="e">
        <f t="shared" si="15"/>
        <v>#REF!</v>
      </c>
      <c r="W37" s="14">
        <v>0</v>
      </c>
      <c r="X37" s="29" t="e">
        <f t="shared" si="16"/>
        <v>#REF!</v>
      </c>
      <c r="Y37" s="161"/>
    </row>
    <row r="38" spans="1:27" s="30" customFormat="1" ht="19.95" hidden="1" customHeight="1" x14ac:dyDescent="0.25">
      <c r="A38" s="15">
        <v>37</v>
      </c>
      <c r="B38" s="53" t="s">
        <v>125</v>
      </c>
      <c r="C38" s="119" t="s">
        <v>131</v>
      </c>
      <c r="D38" s="13" t="s">
        <v>21</v>
      </c>
      <c r="E38" s="13" t="s">
        <v>321</v>
      </c>
      <c r="F38" s="13" t="s">
        <v>16</v>
      </c>
      <c r="G38" s="13" t="s">
        <v>17</v>
      </c>
      <c r="H38" s="13" t="s">
        <v>337</v>
      </c>
      <c r="I38" s="13" t="s">
        <v>320</v>
      </c>
      <c r="J38" s="13" t="e">
        <f t="shared" si="0"/>
        <v>#REF!</v>
      </c>
      <c r="K38" s="19" t="e">
        <f>VLOOKUP(B38,#REF!,2,0)</f>
        <v>#REF!</v>
      </c>
      <c r="L38" s="24" t="e">
        <f t="shared" si="9"/>
        <v>#REF!</v>
      </c>
      <c r="M38" s="19" t="e">
        <f t="shared" si="10"/>
        <v>#REF!</v>
      </c>
      <c r="N38" s="19" t="e">
        <f>VLOOKUP(B38,#REF!,2,0)</f>
        <v>#REF!</v>
      </c>
      <c r="O38" s="24">
        <v>210</v>
      </c>
      <c r="P38" s="24" t="e">
        <f t="shared" si="11"/>
        <v>#REF!</v>
      </c>
      <c r="Q38" s="24" t="e">
        <f t="shared" si="12"/>
        <v>#REF!</v>
      </c>
      <c r="R38" s="36" t="e">
        <f t="shared" si="13"/>
        <v>#REF!</v>
      </c>
      <c r="S38" s="15">
        <v>14</v>
      </c>
      <c r="T38" s="16" t="e">
        <f>+SUMIF(#REF!,'Özet Durum'!B38,#REF!)</f>
        <v>#REF!</v>
      </c>
      <c r="U38" s="17" t="e">
        <f t="shared" si="14"/>
        <v>#REF!</v>
      </c>
      <c r="V38" s="20" t="e">
        <f t="shared" si="15"/>
        <v>#REF!</v>
      </c>
      <c r="W38" s="14">
        <v>2500000</v>
      </c>
      <c r="X38" s="29" t="e">
        <f t="shared" si="16"/>
        <v>#REF!</v>
      </c>
      <c r="Y38" s="161">
        <v>0.97</v>
      </c>
    </row>
    <row r="39" spans="1:27" ht="19.95" hidden="1" customHeight="1" x14ac:dyDescent="0.25">
      <c r="A39" s="15">
        <v>38</v>
      </c>
      <c r="B39" s="53" t="s">
        <v>103</v>
      </c>
      <c r="C39" s="119" t="s">
        <v>102</v>
      </c>
      <c r="D39" s="13" t="s">
        <v>21</v>
      </c>
      <c r="E39" s="13" t="s">
        <v>324</v>
      </c>
      <c r="F39" s="13" t="s">
        <v>105</v>
      </c>
      <c r="G39" s="13" t="s">
        <v>37</v>
      </c>
      <c r="H39" s="13" t="s">
        <v>333</v>
      </c>
      <c r="I39" s="13" t="s">
        <v>326</v>
      </c>
      <c r="J39" s="13" t="e">
        <f t="shared" si="0"/>
        <v>#REF!</v>
      </c>
      <c r="K39" s="19" t="e">
        <f>VLOOKUP(B39,#REF!,2,0)</f>
        <v>#REF!</v>
      </c>
      <c r="L39" s="24" t="e">
        <f t="shared" si="9"/>
        <v>#REF!</v>
      </c>
      <c r="M39" s="19" t="e">
        <f t="shared" si="10"/>
        <v>#REF!</v>
      </c>
      <c r="N39" s="19" t="e">
        <f>VLOOKUP(B39,#REF!,2,0)</f>
        <v>#REF!</v>
      </c>
      <c r="O39" s="24">
        <v>90</v>
      </c>
      <c r="P39" s="24" t="e">
        <f t="shared" si="11"/>
        <v>#REF!</v>
      </c>
      <c r="Q39" s="24" t="e">
        <f t="shared" si="12"/>
        <v>#REF!</v>
      </c>
      <c r="R39" s="36" t="e">
        <f t="shared" si="13"/>
        <v>#REF!</v>
      </c>
      <c r="S39" s="15">
        <v>13</v>
      </c>
      <c r="T39" s="16" t="e">
        <f>+SUMIF(#REF!,'Özet Durum'!B39,#REF!)</f>
        <v>#REF!</v>
      </c>
      <c r="U39" s="17" t="e">
        <f t="shared" si="14"/>
        <v>#REF!</v>
      </c>
      <c r="V39" s="20" t="e">
        <f t="shared" si="15"/>
        <v>#REF!</v>
      </c>
      <c r="W39" s="14">
        <v>987624</v>
      </c>
      <c r="X39" s="29" t="e">
        <f t="shared" si="16"/>
        <v>#REF!</v>
      </c>
      <c r="Y39" s="161"/>
      <c r="Z39" s="30"/>
      <c r="AA39" s="30"/>
    </row>
    <row r="40" spans="1:27" ht="19.95" hidden="1" customHeight="1" x14ac:dyDescent="0.25">
      <c r="A40" s="15">
        <v>39</v>
      </c>
      <c r="B40" s="53" t="s">
        <v>101</v>
      </c>
      <c r="C40" s="119" t="s">
        <v>100</v>
      </c>
      <c r="D40" s="13" t="s">
        <v>21</v>
      </c>
      <c r="E40" s="13" t="s">
        <v>322</v>
      </c>
      <c r="F40" s="13" t="s">
        <v>85</v>
      </c>
      <c r="G40" s="13" t="s">
        <v>37</v>
      </c>
      <c r="H40" s="13" t="s">
        <v>333</v>
      </c>
      <c r="I40" s="13" t="s">
        <v>326</v>
      </c>
      <c r="J40" s="13" t="e">
        <f t="shared" si="0"/>
        <v>#REF!</v>
      </c>
      <c r="K40" s="19" t="e">
        <f>VLOOKUP(B40,#REF!,2,0)</f>
        <v>#REF!</v>
      </c>
      <c r="L40" s="24" t="e">
        <f t="shared" si="9"/>
        <v>#REF!</v>
      </c>
      <c r="M40" s="19" t="e">
        <f t="shared" si="10"/>
        <v>#REF!</v>
      </c>
      <c r="N40" s="19" t="e">
        <f>VLOOKUP(B40,#REF!,2,0)</f>
        <v>#REF!</v>
      </c>
      <c r="O40" s="24">
        <v>90</v>
      </c>
      <c r="P40" s="24" t="e">
        <f t="shared" si="11"/>
        <v>#REF!</v>
      </c>
      <c r="Q40" s="24" t="e">
        <f t="shared" si="12"/>
        <v>#REF!</v>
      </c>
      <c r="R40" s="36" t="e">
        <f t="shared" si="13"/>
        <v>#REF!</v>
      </c>
      <c r="S40" s="15">
        <v>9</v>
      </c>
      <c r="T40" s="16" t="e">
        <f>+SUMIF(#REF!,'Özet Durum'!B40,#REF!)</f>
        <v>#REF!</v>
      </c>
      <c r="U40" s="17" t="e">
        <f t="shared" si="14"/>
        <v>#REF!</v>
      </c>
      <c r="V40" s="20" t="e">
        <f t="shared" si="15"/>
        <v>#REF!</v>
      </c>
      <c r="W40" s="14">
        <v>1718000</v>
      </c>
      <c r="X40" s="29" t="e">
        <f t="shared" si="16"/>
        <v>#REF!</v>
      </c>
      <c r="Y40" s="161">
        <v>0.97</v>
      </c>
    </row>
    <row r="41" spans="1:27" ht="19.95" hidden="1" customHeight="1" x14ac:dyDescent="0.25">
      <c r="A41" s="15">
        <v>40</v>
      </c>
      <c r="B41" s="53" t="s">
        <v>99</v>
      </c>
      <c r="C41" s="119" t="s">
        <v>98</v>
      </c>
      <c r="D41" s="13" t="s">
        <v>21</v>
      </c>
      <c r="E41" s="13" t="s">
        <v>322</v>
      </c>
      <c r="F41" s="13" t="s">
        <v>42</v>
      </c>
      <c r="G41" s="13" t="s">
        <v>17</v>
      </c>
      <c r="H41" s="13" t="s">
        <v>333</v>
      </c>
      <c r="I41" s="13" t="s">
        <v>326</v>
      </c>
      <c r="J41" s="13" t="e">
        <f t="shared" si="0"/>
        <v>#REF!</v>
      </c>
      <c r="K41" s="19" t="e">
        <f>VLOOKUP(B41,#REF!,2,0)</f>
        <v>#REF!</v>
      </c>
      <c r="L41" s="24" t="e">
        <f t="shared" si="9"/>
        <v>#REF!</v>
      </c>
      <c r="M41" s="19" t="e">
        <f t="shared" si="10"/>
        <v>#REF!</v>
      </c>
      <c r="N41" s="19" t="e">
        <f>VLOOKUP(B41,#REF!,2,0)</f>
        <v>#REF!</v>
      </c>
      <c r="O41" s="24">
        <v>90</v>
      </c>
      <c r="P41" s="24" t="e">
        <f t="shared" si="11"/>
        <v>#REF!</v>
      </c>
      <c r="Q41" s="24" t="e">
        <f t="shared" si="12"/>
        <v>#REF!</v>
      </c>
      <c r="R41" s="36" t="e">
        <f t="shared" si="13"/>
        <v>#REF!</v>
      </c>
      <c r="S41" s="15">
        <v>12</v>
      </c>
      <c r="T41" s="16" t="e">
        <f>+SUMIF(#REF!,'Özet Durum'!B41,#REF!)</f>
        <v>#REF!</v>
      </c>
      <c r="U41" s="17" t="e">
        <f t="shared" si="14"/>
        <v>#REF!</v>
      </c>
      <c r="V41" s="20" t="e">
        <f t="shared" si="15"/>
        <v>#REF!</v>
      </c>
      <c r="W41" s="14">
        <v>0</v>
      </c>
      <c r="X41" s="29" t="e">
        <f t="shared" si="16"/>
        <v>#REF!</v>
      </c>
      <c r="Y41" s="161">
        <v>1</v>
      </c>
    </row>
    <row r="42" spans="1:27" ht="19.95" hidden="1" customHeight="1" x14ac:dyDescent="0.25">
      <c r="A42" s="15">
        <v>41</v>
      </c>
      <c r="B42" s="53" t="s">
        <v>104</v>
      </c>
      <c r="C42" s="119" t="s">
        <v>25</v>
      </c>
      <c r="D42" s="13" t="s">
        <v>21</v>
      </c>
      <c r="E42" s="13" t="s">
        <v>322</v>
      </c>
      <c r="F42" s="13" t="s">
        <v>22</v>
      </c>
      <c r="G42" s="13" t="s">
        <v>17</v>
      </c>
      <c r="H42" s="13" t="s">
        <v>333</v>
      </c>
      <c r="I42" s="13" t="s">
        <v>326</v>
      </c>
      <c r="J42" s="13" t="e">
        <f t="shared" si="0"/>
        <v>#REF!</v>
      </c>
      <c r="K42" s="19" t="e">
        <f>VLOOKUP(B42,#REF!,2,0)</f>
        <v>#REF!</v>
      </c>
      <c r="L42" s="24" t="e">
        <f t="shared" si="9"/>
        <v>#REF!</v>
      </c>
      <c r="M42" s="19" t="e">
        <f t="shared" si="10"/>
        <v>#REF!</v>
      </c>
      <c r="N42" s="19" t="e">
        <f>VLOOKUP(B42,#REF!,2,0)</f>
        <v>#REF!</v>
      </c>
      <c r="O42" s="24">
        <v>90</v>
      </c>
      <c r="P42" s="24" t="e">
        <f t="shared" si="11"/>
        <v>#REF!</v>
      </c>
      <c r="Q42" s="24" t="e">
        <f t="shared" si="12"/>
        <v>#REF!</v>
      </c>
      <c r="R42" s="36" t="e">
        <f t="shared" si="13"/>
        <v>#REF!</v>
      </c>
      <c r="S42" s="15">
        <v>12</v>
      </c>
      <c r="T42" s="16" t="e">
        <f>+SUMIF(#REF!,'Özet Durum'!B42,#REF!)</f>
        <v>#REF!</v>
      </c>
      <c r="U42" s="17" t="e">
        <f t="shared" si="14"/>
        <v>#REF!</v>
      </c>
      <c r="V42" s="20" t="e">
        <f t="shared" si="15"/>
        <v>#REF!</v>
      </c>
      <c r="W42" s="14">
        <v>242000</v>
      </c>
      <c r="X42" s="29" t="e">
        <f t="shared" si="16"/>
        <v>#REF!</v>
      </c>
      <c r="Y42" s="161">
        <v>0.93</v>
      </c>
    </row>
    <row r="43" spans="1:27" s="30" customFormat="1" ht="19.95" hidden="1" customHeight="1" x14ac:dyDescent="0.25">
      <c r="A43" s="15">
        <v>42</v>
      </c>
      <c r="B43" s="53" t="s">
        <v>115</v>
      </c>
      <c r="C43" s="121" t="s">
        <v>114</v>
      </c>
      <c r="D43" s="25" t="s">
        <v>21</v>
      </c>
      <c r="E43" s="25" t="s">
        <v>322</v>
      </c>
      <c r="F43" s="25" t="s">
        <v>16</v>
      </c>
      <c r="G43" s="13" t="s">
        <v>17</v>
      </c>
      <c r="H43" s="25" t="s">
        <v>339</v>
      </c>
      <c r="I43" s="25" t="s">
        <v>326</v>
      </c>
      <c r="J43" s="13" t="e">
        <f t="shared" si="0"/>
        <v>#REF!</v>
      </c>
      <c r="K43" s="26" t="e">
        <f>VLOOKUP(B43,#REF!,2,0)</f>
        <v>#REF!</v>
      </c>
      <c r="L43" s="27" t="e">
        <f t="shared" si="9"/>
        <v>#REF!</v>
      </c>
      <c r="M43" s="26" t="e">
        <f t="shared" si="10"/>
        <v>#REF!</v>
      </c>
      <c r="N43" s="26" t="e">
        <f>VLOOKUP(B43,#REF!,2,0)</f>
        <v>#REF!</v>
      </c>
      <c r="O43" s="27">
        <v>90</v>
      </c>
      <c r="P43" s="27" t="e">
        <f t="shared" si="11"/>
        <v>#REF!</v>
      </c>
      <c r="Q43" s="24" t="e">
        <f t="shared" si="12"/>
        <v>#REF!</v>
      </c>
      <c r="R43" s="37" t="e">
        <f t="shared" si="13"/>
        <v>#REF!</v>
      </c>
      <c r="S43" s="23">
        <v>12</v>
      </c>
      <c r="T43" s="16" t="e">
        <f>+SUMIF(#REF!,'Özet Durum'!B43,#REF!)</f>
        <v>#REF!</v>
      </c>
      <c r="U43" s="42" t="e">
        <f t="shared" si="14"/>
        <v>#REF!</v>
      </c>
      <c r="V43" s="20" t="e">
        <f t="shared" si="15"/>
        <v>#REF!</v>
      </c>
      <c r="W43" s="14">
        <v>3187968</v>
      </c>
      <c r="X43" s="33" t="e">
        <f t="shared" si="16"/>
        <v>#REF!</v>
      </c>
      <c r="Y43" s="161">
        <v>0.96</v>
      </c>
    </row>
    <row r="44" spans="1:27" ht="19.95" hidden="1" customHeight="1" x14ac:dyDescent="0.25">
      <c r="A44" s="15">
        <v>43</v>
      </c>
      <c r="B44" s="53" t="s">
        <v>109</v>
      </c>
      <c r="C44" s="119" t="s">
        <v>108</v>
      </c>
      <c r="D44" s="13" t="s">
        <v>21</v>
      </c>
      <c r="E44" s="13" t="s">
        <v>322</v>
      </c>
      <c r="F44" s="13" t="s">
        <v>42</v>
      </c>
      <c r="G44" s="13" t="s">
        <v>17</v>
      </c>
      <c r="H44" s="13" t="s">
        <v>339</v>
      </c>
      <c r="I44" s="13" t="s">
        <v>326</v>
      </c>
      <c r="J44" s="13" t="e">
        <f t="shared" si="0"/>
        <v>#REF!</v>
      </c>
      <c r="K44" s="19" t="e">
        <f>VLOOKUP(B44,#REF!,2,0)</f>
        <v>#REF!</v>
      </c>
      <c r="L44" s="24" t="e">
        <f t="shared" si="9"/>
        <v>#REF!</v>
      </c>
      <c r="M44" s="19" t="e">
        <f t="shared" si="10"/>
        <v>#REF!</v>
      </c>
      <c r="N44" s="19" t="e">
        <f>VLOOKUP(B44,#REF!,2,0)</f>
        <v>#REF!</v>
      </c>
      <c r="O44" s="24">
        <v>90</v>
      </c>
      <c r="P44" s="24" t="e">
        <f t="shared" si="11"/>
        <v>#REF!</v>
      </c>
      <c r="Q44" s="24" t="e">
        <f t="shared" si="12"/>
        <v>#REF!</v>
      </c>
      <c r="R44" s="36" t="e">
        <f t="shared" si="13"/>
        <v>#REF!</v>
      </c>
      <c r="S44" s="15">
        <v>12</v>
      </c>
      <c r="T44" s="16" t="e">
        <f>+SUMIF(#REF!,'Özet Durum'!B44,#REF!)</f>
        <v>#REF!</v>
      </c>
      <c r="U44" s="17" t="e">
        <f t="shared" si="14"/>
        <v>#REF!</v>
      </c>
      <c r="V44" s="20" t="e">
        <f t="shared" si="15"/>
        <v>#REF!</v>
      </c>
      <c r="W44" s="14">
        <v>550000</v>
      </c>
      <c r="X44" s="33" t="e">
        <f t="shared" si="16"/>
        <v>#REF!</v>
      </c>
      <c r="Y44" s="161"/>
      <c r="Z44" s="30"/>
      <c r="AA44" s="30"/>
    </row>
    <row r="45" spans="1:27" s="30" customFormat="1" ht="19.95" hidden="1" customHeight="1" x14ac:dyDescent="0.25">
      <c r="A45" s="15">
        <v>44</v>
      </c>
      <c r="B45" s="53" t="s">
        <v>120</v>
      </c>
      <c r="C45" s="119" t="s">
        <v>119</v>
      </c>
      <c r="D45" s="13" t="s">
        <v>21</v>
      </c>
      <c r="E45" s="13" t="s">
        <v>321</v>
      </c>
      <c r="F45" s="13" t="s">
        <v>85</v>
      </c>
      <c r="G45" s="13" t="s">
        <v>37</v>
      </c>
      <c r="H45" s="13" t="s">
        <v>339</v>
      </c>
      <c r="I45" s="13" t="s">
        <v>326</v>
      </c>
      <c r="J45" s="13" t="e">
        <f t="shared" si="0"/>
        <v>#REF!</v>
      </c>
      <c r="K45" s="19" t="e">
        <f>VLOOKUP(B45,#REF!,2,0)</f>
        <v>#REF!</v>
      </c>
      <c r="L45" s="24" t="e">
        <f t="shared" si="9"/>
        <v>#REF!</v>
      </c>
      <c r="M45" s="19" t="e">
        <f t="shared" si="10"/>
        <v>#REF!</v>
      </c>
      <c r="N45" s="19" t="e">
        <f>VLOOKUP(B45,#REF!,2,0)</f>
        <v>#REF!</v>
      </c>
      <c r="O45" s="24">
        <v>90</v>
      </c>
      <c r="P45" s="24" t="e">
        <f t="shared" si="11"/>
        <v>#REF!</v>
      </c>
      <c r="Q45" s="24" t="e">
        <f t="shared" si="12"/>
        <v>#REF!</v>
      </c>
      <c r="R45" s="36" t="e">
        <f t="shared" si="13"/>
        <v>#REF!</v>
      </c>
      <c r="S45" s="15">
        <v>9</v>
      </c>
      <c r="T45" s="16" t="e">
        <f>+SUMIF(#REF!,'Özet Durum'!B45,#REF!)</f>
        <v>#REF!</v>
      </c>
      <c r="U45" s="17" t="e">
        <f t="shared" si="14"/>
        <v>#REF!</v>
      </c>
      <c r="V45" s="20" t="e">
        <f t="shared" si="15"/>
        <v>#REF!</v>
      </c>
      <c r="W45" s="14">
        <v>192000</v>
      </c>
      <c r="X45" s="33" t="e">
        <f t="shared" si="16"/>
        <v>#REF!</v>
      </c>
      <c r="Y45" s="161">
        <v>1</v>
      </c>
    </row>
    <row r="46" spans="1:27" ht="19.95" hidden="1" customHeight="1" x14ac:dyDescent="0.25">
      <c r="A46" s="15">
        <v>45</v>
      </c>
      <c r="B46" s="53" t="s">
        <v>118</v>
      </c>
      <c r="C46" s="119" t="s">
        <v>117</v>
      </c>
      <c r="D46" s="13" t="s">
        <v>21</v>
      </c>
      <c r="E46" s="13" t="s">
        <v>321</v>
      </c>
      <c r="F46" s="13" t="s">
        <v>85</v>
      </c>
      <c r="G46" s="13" t="s">
        <v>37</v>
      </c>
      <c r="H46" s="13" t="s">
        <v>340</v>
      </c>
      <c r="I46" s="13" t="s">
        <v>326</v>
      </c>
      <c r="J46" s="13" t="e">
        <f t="shared" si="0"/>
        <v>#REF!</v>
      </c>
      <c r="K46" s="19" t="e">
        <f>VLOOKUP(B46,#REF!,2,0)</f>
        <v>#REF!</v>
      </c>
      <c r="L46" s="24" t="e">
        <f t="shared" si="9"/>
        <v>#REF!</v>
      </c>
      <c r="M46" s="19" t="e">
        <f t="shared" si="10"/>
        <v>#REF!</v>
      </c>
      <c r="N46" s="19" t="e">
        <f>VLOOKUP(B46,#REF!,2,0)</f>
        <v>#REF!</v>
      </c>
      <c r="O46" s="24">
        <v>90</v>
      </c>
      <c r="P46" s="24" t="e">
        <f t="shared" si="11"/>
        <v>#REF!</v>
      </c>
      <c r="Q46" s="24" t="e">
        <f t="shared" si="12"/>
        <v>#REF!</v>
      </c>
      <c r="R46" s="36" t="e">
        <f t="shared" si="13"/>
        <v>#REF!</v>
      </c>
      <c r="S46" s="15">
        <v>9</v>
      </c>
      <c r="T46" s="16" t="e">
        <f>+SUMIF(#REF!,'Özet Durum'!B46,#REF!)</f>
        <v>#REF!</v>
      </c>
      <c r="U46" s="17" t="e">
        <f t="shared" si="14"/>
        <v>#REF!</v>
      </c>
      <c r="V46" s="20" t="e">
        <f t="shared" si="15"/>
        <v>#REF!</v>
      </c>
      <c r="W46" s="14">
        <v>1056000</v>
      </c>
      <c r="X46" s="33" t="e">
        <f t="shared" si="16"/>
        <v>#REF!</v>
      </c>
      <c r="Y46" s="161"/>
    </row>
    <row r="47" spans="1:27" ht="19.95" hidden="1" customHeight="1" x14ac:dyDescent="0.25">
      <c r="A47" s="15">
        <v>46</v>
      </c>
      <c r="B47" s="53" t="s">
        <v>122</v>
      </c>
      <c r="C47" s="119" t="s">
        <v>121</v>
      </c>
      <c r="D47" s="13" t="s">
        <v>21</v>
      </c>
      <c r="E47" s="13" t="s">
        <v>322</v>
      </c>
      <c r="F47" s="13" t="s">
        <v>105</v>
      </c>
      <c r="G47" s="13" t="s">
        <v>37</v>
      </c>
      <c r="H47" s="13" t="s">
        <v>340</v>
      </c>
      <c r="I47" s="13" t="s">
        <v>326</v>
      </c>
      <c r="J47" s="13" t="e">
        <f t="shared" si="0"/>
        <v>#REF!</v>
      </c>
      <c r="K47" s="19" t="e">
        <f>VLOOKUP(B47,#REF!,2,0)</f>
        <v>#REF!</v>
      </c>
      <c r="L47" s="24" t="e">
        <f t="shared" si="9"/>
        <v>#REF!</v>
      </c>
      <c r="M47" s="19" t="e">
        <f t="shared" si="10"/>
        <v>#REF!</v>
      </c>
      <c r="N47" s="19" t="e">
        <f>VLOOKUP(B47,#REF!,2,0)</f>
        <v>#REF!</v>
      </c>
      <c r="O47" s="24">
        <v>90</v>
      </c>
      <c r="P47" s="24" t="e">
        <f t="shared" si="11"/>
        <v>#REF!</v>
      </c>
      <c r="Q47" s="24" t="e">
        <f t="shared" si="12"/>
        <v>#REF!</v>
      </c>
      <c r="R47" s="36" t="e">
        <f t="shared" si="13"/>
        <v>#REF!</v>
      </c>
      <c r="S47" s="23">
        <v>9</v>
      </c>
      <c r="T47" s="16" t="e">
        <f>+SUMIF(#REF!,'Özet Durum'!B47,#REF!)</f>
        <v>#REF!</v>
      </c>
      <c r="U47" s="42" t="e">
        <f t="shared" si="14"/>
        <v>#REF!</v>
      </c>
      <c r="V47" s="34" t="e">
        <f t="shared" si="15"/>
        <v>#REF!</v>
      </c>
      <c r="W47" s="22">
        <v>148680</v>
      </c>
      <c r="X47" s="33" t="e">
        <f t="shared" si="16"/>
        <v>#REF!</v>
      </c>
      <c r="Y47" s="161"/>
    </row>
    <row r="48" spans="1:27" ht="19.95" hidden="1" customHeight="1" x14ac:dyDescent="0.25">
      <c r="A48" s="15">
        <v>47</v>
      </c>
      <c r="B48" s="53" t="s">
        <v>113</v>
      </c>
      <c r="C48" s="119" t="s">
        <v>112</v>
      </c>
      <c r="D48" s="13" t="s">
        <v>21</v>
      </c>
      <c r="E48" s="13" t="s">
        <v>324</v>
      </c>
      <c r="F48" s="13" t="s">
        <v>27</v>
      </c>
      <c r="G48" s="13" t="s">
        <v>17</v>
      </c>
      <c r="H48" s="13" t="s">
        <v>340</v>
      </c>
      <c r="I48" s="13" t="s">
        <v>326</v>
      </c>
      <c r="J48" s="13" t="e">
        <f t="shared" si="0"/>
        <v>#REF!</v>
      </c>
      <c r="K48" s="19" t="e">
        <f>VLOOKUP(B48,#REF!,2,0)</f>
        <v>#REF!</v>
      </c>
      <c r="L48" s="24" t="e">
        <f t="shared" si="9"/>
        <v>#REF!</v>
      </c>
      <c r="M48" s="19" t="e">
        <f t="shared" si="10"/>
        <v>#REF!</v>
      </c>
      <c r="N48" s="19" t="e">
        <f>VLOOKUP(B48,#REF!,2,0)</f>
        <v>#REF!</v>
      </c>
      <c r="O48" s="24">
        <v>90</v>
      </c>
      <c r="P48" s="24" t="e">
        <f t="shared" si="11"/>
        <v>#REF!</v>
      </c>
      <c r="Q48" s="24" t="e">
        <f t="shared" si="12"/>
        <v>#REF!</v>
      </c>
      <c r="R48" s="36" t="e">
        <f t="shared" si="13"/>
        <v>#REF!</v>
      </c>
      <c r="S48" s="15">
        <v>12</v>
      </c>
      <c r="T48" s="16" t="e">
        <f>+SUMIF(#REF!,'Özet Durum'!B48,#REF!)</f>
        <v>#REF!</v>
      </c>
      <c r="U48" s="17" t="e">
        <f t="shared" si="14"/>
        <v>#REF!</v>
      </c>
      <c r="V48" s="35" t="e">
        <f t="shared" si="15"/>
        <v>#REF!</v>
      </c>
      <c r="W48" s="14">
        <v>757000</v>
      </c>
      <c r="X48" s="19" t="e">
        <f t="shared" si="16"/>
        <v>#REF!</v>
      </c>
      <c r="Y48" s="161"/>
    </row>
    <row r="49" spans="1:27" s="30" customFormat="1" ht="19.95" hidden="1" customHeight="1" x14ac:dyDescent="0.25">
      <c r="A49" s="15">
        <v>48</v>
      </c>
      <c r="B49" s="53" t="s">
        <v>124</v>
      </c>
      <c r="C49" s="119" t="s">
        <v>55</v>
      </c>
      <c r="D49" s="13" t="s">
        <v>57</v>
      </c>
      <c r="E49" s="13" t="s">
        <v>328</v>
      </c>
      <c r="F49" s="13" t="s">
        <v>22</v>
      </c>
      <c r="G49" s="13" t="s">
        <v>17</v>
      </c>
      <c r="H49" s="13"/>
      <c r="I49" s="13" t="s">
        <v>123</v>
      </c>
      <c r="J49" s="13" t="e">
        <f t="shared" si="0"/>
        <v>#REF!</v>
      </c>
      <c r="K49" s="19" t="e">
        <f>VLOOKUP(B49,#REF!,2,0)</f>
        <v>#REF!</v>
      </c>
      <c r="L49" s="24" t="e">
        <f t="shared" si="9"/>
        <v>#REF!</v>
      </c>
      <c r="M49" s="19" t="e">
        <f t="shared" si="10"/>
        <v>#REF!</v>
      </c>
      <c r="N49" s="19" t="e">
        <f>VLOOKUP(B49,#REF!,2,0)</f>
        <v>#REF!</v>
      </c>
      <c r="O49" s="24">
        <v>300</v>
      </c>
      <c r="P49" s="40" t="e">
        <f t="shared" si="11"/>
        <v>#REF!</v>
      </c>
      <c r="Q49" s="24" t="e">
        <f t="shared" si="12"/>
        <v>#REF!</v>
      </c>
      <c r="R49" s="36" t="e">
        <f t="shared" si="13"/>
        <v>#REF!</v>
      </c>
      <c r="S49" s="15">
        <v>20</v>
      </c>
      <c r="T49" s="16" t="e">
        <f>+SUMIF(#REF!,'Özet Durum'!B49,#REF!)</f>
        <v>#REF!</v>
      </c>
      <c r="U49" s="17" t="e">
        <f t="shared" si="14"/>
        <v>#REF!</v>
      </c>
      <c r="V49" s="20" t="e">
        <f t="shared" si="15"/>
        <v>#REF!</v>
      </c>
      <c r="W49" s="14">
        <v>0</v>
      </c>
      <c r="X49" s="29" t="e">
        <f t="shared" si="16"/>
        <v>#REF!</v>
      </c>
      <c r="Y49" s="161">
        <v>0.98</v>
      </c>
    </row>
    <row r="50" spans="1:27" s="30" customFormat="1" ht="19.95" hidden="1" customHeight="1" x14ac:dyDescent="0.25">
      <c r="A50" s="15">
        <v>49</v>
      </c>
      <c r="B50" s="53" t="s">
        <v>35</v>
      </c>
      <c r="C50" s="119" t="s">
        <v>34</v>
      </c>
      <c r="D50" s="13" t="s">
        <v>21</v>
      </c>
      <c r="E50" s="13" t="s">
        <v>341</v>
      </c>
      <c r="F50" s="13" t="s">
        <v>36</v>
      </c>
      <c r="G50" s="13" t="s">
        <v>37</v>
      </c>
      <c r="H50" s="13"/>
      <c r="I50" s="13" t="s">
        <v>123</v>
      </c>
      <c r="J50" s="13" t="e">
        <f t="shared" si="0"/>
        <v>#REF!</v>
      </c>
      <c r="K50" s="19" t="e">
        <f>VLOOKUP(B50,#REF!,2,0)</f>
        <v>#REF!</v>
      </c>
      <c r="L50" s="24" t="e">
        <f t="shared" si="9"/>
        <v>#REF!</v>
      </c>
      <c r="M50" s="19" t="e">
        <f t="shared" si="10"/>
        <v>#REF!</v>
      </c>
      <c r="N50" s="19" t="e">
        <f>VLOOKUP(B50,#REF!,2,0)</f>
        <v>#REF!</v>
      </c>
      <c r="O50" s="24">
        <v>90</v>
      </c>
      <c r="P50" s="24" t="e">
        <f t="shared" si="11"/>
        <v>#REF!</v>
      </c>
      <c r="Q50" s="24" t="e">
        <f t="shared" si="12"/>
        <v>#REF!</v>
      </c>
      <c r="R50" s="36" t="e">
        <f t="shared" si="13"/>
        <v>#REF!</v>
      </c>
      <c r="S50" s="15">
        <v>10</v>
      </c>
      <c r="T50" s="16" t="e">
        <f>+SUMIF(#REF!,'Özet Durum'!B50,#REF!)</f>
        <v>#REF!</v>
      </c>
      <c r="U50" s="17" t="e">
        <f t="shared" si="14"/>
        <v>#REF!</v>
      </c>
      <c r="V50" s="20" t="e">
        <f t="shared" si="15"/>
        <v>#REF!</v>
      </c>
      <c r="W50" s="14">
        <v>0</v>
      </c>
      <c r="X50" s="29" t="e">
        <f t="shared" si="16"/>
        <v>#REF!</v>
      </c>
      <c r="Y50" s="161">
        <v>1</v>
      </c>
    </row>
    <row r="51" spans="1:27" s="30" customFormat="1" ht="19.95" hidden="1" customHeight="1" x14ac:dyDescent="0.25">
      <c r="A51" s="15">
        <v>50</v>
      </c>
      <c r="B51" s="53" t="s">
        <v>89</v>
      </c>
      <c r="C51" s="119" t="s">
        <v>88</v>
      </c>
      <c r="D51" s="13" t="s">
        <v>21</v>
      </c>
      <c r="E51" s="13" t="s">
        <v>342</v>
      </c>
      <c r="F51" s="13" t="s">
        <v>50</v>
      </c>
      <c r="G51" s="13" t="s">
        <v>37</v>
      </c>
      <c r="H51" s="13"/>
      <c r="I51" s="13" t="s">
        <v>343</v>
      </c>
      <c r="J51" s="13" t="e">
        <f t="shared" si="0"/>
        <v>#REF!</v>
      </c>
      <c r="K51" s="19" t="e">
        <f>VLOOKUP(B51,#REF!,2,0)</f>
        <v>#REF!</v>
      </c>
      <c r="L51" s="24" t="e">
        <f t="shared" si="9"/>
        <v>#REF!</v>
      </c>
      <c r="M51" s="19" t="e">
        <f t="shared" si="10"/>
        <v>#REF!</v>
      </c>
      <c r="N51" s="19" t="e">
        <f>VLOOKUP(B51,#REF!,2,0)</f>
        <v>#REF!</v>
      </c>
      <c r="O51" s="24">
        <v>150</v>
      </c>
      <c r="P51" s="24" t="e">
        <f t="shared" si="11"/>
        <v>#REF!</v>
      </c>
      <c r="Q51" s="24" t="e">
        <f t="shared" si="12"/>
        <v>#REF!</v>
      </c>
      <c r="R51" s="36" t="e">
        <f t="shared" si="13"/>
        <v>#REF!</v>
      </c>
      <c r="S51" s="15">
        <v>20</v>
      </c>
      <c r="T51" s="16" t="e">
        <f>+SUMIF(#REF!,'Özet Durum'!B51,#REF!)</f>
        <v>#REF!</v>
      </c>
      <c r="U51" s="17" t="e">
        <f t="shared" si="14"/>
        <v>#REF!</v>
      </c>
      <c r="V51" s="20" t="e">
        <f t="shared" si="15"/>
        <v>#REF!</v>
      </c>
      <c r="W51" s="14">
        <v>1220000</v>
      </c>
      <c r="X51" s="29" t="e">
        <f t="shared" si="16"/>
        <v>#REF!</v>
      </c>
      <c r="Y51" s="161"/>
    </row>
    <row r="52" spans="1:27" s="30" customFormat="1" ht="19.95" hidden="1" customHeight="1" x14ac:dyDescent="0.25">
      <c r="A52" s="15">
        <v>51</v>
      </c>
      <c r="B52" s="53" t="s">
        <v>130</v>
      </c>
      <c r="C52" s="119" t="s">
        <v>98</v>
      </c>
      <c r="D52" s="13" t="s">
        <v>21</v>
      </c>
      <c r="E52" s="13" t="s">
        <v>322</v>
      </c>
      <c r="F52" s="13" t="s">
        <v>42</v>
      </c>
      <c r="G52" s="13" t="s">
        <v>17</v>
      </c>
      <c r="H52" s="13" t="s">
        <v>344</v>
      </c>
      <c r="I52" s="13" t="s">
        <v>320</v>
      </c>
      <c r="J52" s="13" t="e">
        <f t="shared" si="0"/>
        <v>#REF!</v>
      </c>
      <c r="K52" s="19" t="e">
        <f>VLOOKUP(B52,#REF!,2,0)</f>
        <v>#REF!</v>
      </c>
      <c r="L52" s="24" t="e">
        <f t="shared" si="9"/>
        <v>#REF!</v>
      </c>
      <c r="M52" s="19" t="e">
        <f t="shared" si="10"/>
        <v>#REF!</v>
      </c>
      <c r="N52" s="19" t="e">
        <f>VLOOKUP(B52,#REF!,2,0)</f>
        <v>#REF!</v>
      </c>
      <c r="O52" s="24">
        <v>150</v>
      </c>
      <c r="P52" s="24" t="e">
        <f t="shared" si="11"/>
        <v>#REF!</v>
      </c>
      <c r="Q52" s="24" t="e">
        <f t="shared" si="12"/>
        <v>#REF!</v>
      </c>
      <c r="R52" s="36" t="e">
        <f t="shared" si="13"/>
        <v>#REF!</v>
      </c>
      <c r="S52" s="15">
        <v>20</v>
      </c>
      <c r="T52" s="16" t="e">
        <f>+SUMIF(#REF!,'Özet Durum'!B52,#REF!)</f>
        <v>#REF!</v>
      </c>
      <c r="U52" s="17" t="e">
        <f t="shared" si="14"/>
        <v>#REF!</v>
      </c>
      <c r="V52" s="20" t="e">
        <f t="shared" si="15"/>
        <v>#REF!</v>
      </c>
      <c r="W52" s="14">
        <v>270000</v>
      </c>
      <c r="X52" s="29" t="e">
        <f t="shared" si="16"/>
        <v>#REF!</v>
      </c>
      <c r="Y52" s="161">
        <v>1</v>
      </c>
    </row>
    <row r="53" spans="1:27" s="30" customFormat="1" ht="19.95" hidden="1" customHeight="1" x14ac:dyDescent="0.25">
      <c r="A53" s="15">
        <v>52</v>
      </c>
      <c r="B53" s="53" t="s">
        <v>145</v>
      </c>
      <c r="C53" s="119" t="s">
        <v>75</v>
      </c>
      <c r="D53" s="13" t="s">
        <v>21</v>
      </c>
      <c r="E53" s="13" t="s">
        <v>321</v>
      </c>
      <c r="F53" s="13" t="s">
        <v>16</v>
      </c>
      <c r="G53" s="13" t="s">
        <v>17</v>
      </c>
      <c r="H53" s="13" t="s">
        <v>344</v>
      </c>
      <c r="I53" s="13" t="s">
        <v>320</v>
      </c>
      <c r="J53" s="13" t="e">
        <f t="shared" si="0"/>
        <v>#REF!</v>
      </c>
      <c r="K53" s="19" t="e">
        <f>VLOOKUP(B53,#REF!,2,0)</f>
        <v>#REF!</v>
      </c>
      <c r="L53" s="24" t="e">
        <f t="shared" si="9"/>
        <v>#REF!</v>
      </c>
      <c r="M53" s="19" t="e">
        <f t="shared" si="10"/>
        <v>#REF!</v>
      </c>
      <c r="N53" s="19" t="e">
        <f>VLOOKUP(B53,#REF!,2,0)</f>
        <v>#REF!</v>
      </c>
      <c r="O53" s="24">
        <v>150</v>
      </c>
      <c r="P53" s="40" t="e">
        <f t="shared" si="11"/>
        <v>#REF!</v>
      </c>
      <c r="Q53" s="24" t="e">
        <f t="shared" si="12"/>
        <v>#REF!</v>
      </c>
      <c r="R53" s="36" t="e">
        <f t="shared" si="13"/>
        <v>#REF!</v>
      </c>
      <c r="S53" s="15">
        <v>20</v>
      </c>
      <c r="T53" s="16" t="e">
        <f>+SUMIF(#REF!,'Özet Durum'!B53,#REF!)</f>
        <v>#REF!</v>
      </c>
      <c r="U53" s="17" t="e">
        <f t="shared" si="14"/>
        <v>#REF!</v>
      </c>
      <c r="V53" s="20" t="e">
        <f t="shared" si="15"/>
        <v>#REF!</v>
      </c>
      <c r="W53" s="14">
        <v>6059592</v>
      </c>
      <c r="X53" s="29" t="e">
        <f t="shared" si="16"/>
        <v>#REF!</v>
      </c>
      <c r="Y53" s="161">
        <v>0.96</v>
      </c>
    </row>
    <row r="54" spans="1:27" s="30" customFormat="1" ht="19.95" hidden="1" customHeight="1" x14ac:dyDescent="0.25">
      <c r="A54" s="15">
        <v>53</v>
      </c>
      <c r="B54" s="53" t="s">
        <v>141</v>
      </c>
      <c r="C54" s="119" t="s">
        <v>140</v>
      </c>
      <c r="D54" s="13" t="s">
        <v>142</v>
      </c>
      <c r="E54" s="13" t="s">
        <v>328</v>
      </c>
      <c r="F54" s="13" t="s">
        <v>22</v>
      </c>
      <c r="G54" s="13" t="s">
        <v>17</v>
      </c>
      <c r="H54" s="13" t="s">
        <v>344</v>
      </c>
      <c r="I54" s="13" t="s">
        <v>320</v>
      </c>
      <c r="J54" s="13" t="e">
        <f t="shared" si="0"/>
        <v>#REF!</v>
      </c>
      <c r="K54" s="19" t="e">
        <f>VLOOKUP(B54,#REF!,2,0)</f>
        <v>#REF!</v>
      </c>
      <c r="L54" s="24" t="e">
        <f t="shared" si="9"/>
        <v>#REF!</v>
      </c>
      <c r="M54" s="19" t="e">
        <f t="shared" si="10"/>
        <v>#REF!</v>
      </c>
      <c r="N54" s="19" t="e">
        <f>VLOOKUP(B54,#REF!,2,0)</f>
        <v>#REF!</v>
      </c>
      <c r="O54" s="24">
        <v>200</v>
      </c>
      <c r="P54" s="24" t="e">
        <f t="shared" si="11"/>
        <v>#REF!</v>
      </c>
      <c r="Q54" s="24" t="e">
        <f t="shared" si="12"/>
        <v>#REF!</v>
      </c>
      <c r="R54" s="36" t="e">
        <f t="shared" si="13"/>
        <v>#REF!</v>
      </c>
      <c r="S54" s="15">
        <v>19.5</v>
      </c>
      <c r="T54" s="16" t="e">
        <f>+SUMIF(#REF!,'Özet Durum'!B54,#REF!)</f>
        <v>#REF!</v>
      </c>
      <c r="U54" s="17" t="e">
        <f t="shared" si="14"/>
        <v>#REF!</v>
      </c>
      <c r="V54" s="20" t="e">
        <f t="shared" si="15"/>
        <v>#REF!</v>
      </c>
      <c r="W54" s="14">
        <v>848400</v>
      </c>
      <c r="X54" s="29" t="e">
        <f t="shared" si="16"/>
        <v>#REF!</v>
      </c>
      <c r="Y54" s="161">
        <v>0.97</v>
      </c>
      <c r="Z54" s="31"/>
      <c r="AA54" s="31"/>
    </row>
    <row r="55" spans="1:27" s="30" customFormat="1" ht="19.95" hidden="1" customHeight="1" x14ac:dyDescent="0.25">
      <c r="A55" s="15">
        <v>54</v>
      </c>
      <c r="B55" s="53" t="s">
        <v>144</v>
      </c>
      <c r="C55" s="122" t="s">
        <v>143</v>
      </c>
      <c r="D55" s="54" t="s">
        <v>142</v>
      </c>
      <c r="E55" s="54" t="s">
        <v>345</v>
      </c>
      <c r="F55" s="54" t="s">
        <v>22</v>
      </c>
      <c r="G55" s="54" t="s">
        <v>17</v>
      </c>
      <c r="H55" s="54" t="s">
        <v>344</v>
      </c>
      <c r="I55" s="54" t="s">
        <v>320</v>
      </c>
      <c r="J55" s="13" t="e">
        <f t="shared" si="0"/>
        <v>#REF!</v>
      </c>
      <c r="K55" s="55" t="e">
        <f>VLOOKUP(B55,#REF!,2,0)</f>
        <v>#REF!</v>
      </c>
      <c r="L55" s="56" t="e">
        <f t="shared" si="9"/>
        <v>#REF!</v>
      </c>
      <c r="M55" s="55" t="e">
        <f t="shared" si="10"/>
        <v>#REF!</v>
      </c>
      <c r="N55" s="55" t="e">
        <f>VLOOKUP(B55,#REF!,2,0)</f>
        <v>#REF!</v>
      </c>
      <c r="O55" s="56">
        <v>300</v>
      </c>
      <c r="P55" s="56" t="e">
        <f t="shared" si="11"/>
        <v>#REF!</v>
      </c>
      <c r="Q55" s="56" t="e">
        <f t="shared" si="12"/>
        <v>#REF!</v>
      </c>
      <c r="R55" s="57" t="e">
        <f t="shared" si="13"/>
        <v>#REF!</v>
      </c>
      <c r="S55" s="52">
        <v>18</v>
      </c>
      <c r="T55" s="16" t="e">
        <f>+SUMIF(#REF!,'Özet Durum'!B55,#REF!)</f>
        <v>#REF!</v>
      </c>
      <c r="U55" s="83" t="e">
        <f t="shared" si="14"/>
        <v>#REF!</v>
      </c>
      <c r="V55" s="58" t="e">
        <f t="shared" si="15"/>
        <v>#REF!</v>
      </c>
      <c r="W55" s="59">
        <v>0</v>
      </c>
      <c r="X55" s="60" t="e">
        <f t="shared" si="16"/>
        <v>#REF!</v>
      </c>
      <c r="Y55" s="161"/>
    </row>
    <row r="56" spans="1:27" s="30" customFormat="1" ht="19.95" hidden="1" customHeight="1" x14ac:dyDescent="0.25">
      <c r="A56" s="15">
        <v>55</v>
      </c>
      <c r="B56" s="53" t="s">
        <v>147</v>
      </c>
      <c r="C56" s="119" t="s">
        <v>34</v>
      </c>
      <c r="D56" s="13" t="s">
        <v>21</v>
      </c>
      <c r="E56" s="13" t="s">
        <v>341</v>
      </c>
      <c r="F56" s="13" t="s">
        <v>22</v>
      </c>
      <c r="G56" s="13" t="s">
        <v>17</v>
      </c>
      <c r="H56" s="13" t="s">
        <v>344</v>
      </c>
      <c r="I56" s="13" t="s">
        <v>320</v>
      </c>
      <c r="J56" s="13" t="e">
        <f t="shared" si="0"/>
        <v>#REF!</v>
      </c>
      <c r="K56" s="19" t="e">
        <f>VLOOKUP(B56,#REF!,2,0)</f>
        <v>#REF!</v>
      </c>
      <c r="L56" s="24" t="e">
        <f t="shared" si="9"/>
        <v>#REF!</v>
      </c>
      <c r="M56" s="19" t="e">
        <f t="shared" si="10"/>
        <v>#REF!</v>
      </c>
      <c r="N56" s="19" t="e">
        <f>VLOOKUP(B56,#REF!,2,0)</f>
        <v>#REF!</v>
      </c>
      <c r="O56" s="24">
        <v>150</v>
      </c>
      <c r="P56" s="40" t="e">
        <f t="shared" si="11"/>
        <v>#REF!</v>
      </c>
      <c r="Q56" s="24" t="e">
        <f t="shared" si="12"/>
        <v>#REF!</v>
      </c>
      <c r="R56" s="36" t="e">
        <f t="shared" si="13"/>
        <v>#REF!</v>
      </c>
      <c r="S56" s="15">
        <v>16</v>
      </c>
      <c r="T56" s="16" t="e">
        <f>+SUMIF(#REF!,'Özet Durum'!B56,#REF!)</f>
        <v>#REF!</v>
      </c>
      <c r="U56" s="17" t="e">
        <f t="shared" si="14"/>
        <v>#REF!</v>
      </c>
      <c r="V56" s="20" t="e">
        <f t="shared" si="15"/>
        <v>#REF!</v>
      </c>
      <c r="W56" s="14">
        <v>437400</v>
      </c>
      <c r="X56" s="29" t="e">
        <f t="shared" si="16"/>
        <v>#REF!</v>
      </c>
      <c r="Y56" s="161">
        <v>1</v>
      </c>
    </row>
    <row r="57" spans="1:27" ht="19.95" hidden="1" customHeight="1" x14ac:dyDescent="0.25">
      <c r="A57" s="15">
        <v>56</v>
      </c>
      <c r="B57" s="53" t="s">
        <v>136</v>
      </c>
      <c r="C57" s="121" t="s">
        <v>34</v>
      </c>
      <c r="D57" s="25" t="s">
        <v>21</v>
      </c>
      <c r="E57" s="25" t="s">
        <v>341</v>
      </c>
      <c r="F57" s="13" t="s">
        <v>22</v>
      </c>
      <c r="G57" s="13" t="s">
        <v>17</v>
      </c>
      <c r="H57" s="25" t="s">
        <v>346</v>
      </c>
      <c r="I57" s="25" t="s">
        <v>326</v>
      </c>
      <c r="J57" s="13" t="e">
        <f t="shared" si="0"/>
        <v>#REF!</v>
      </c>
      <c r="K57" s="19" t="e">
        <f>VLOOKUP(B57,#REF!,2,0)</f>
        <v>#REF!</v>
      </c>
      <c r="L57" s="24" t="e">
        <f t="shared" si="9"/>
        <v>#REF!</v>
      </c>
      <c r="M57" s="19" t="e">
        <f t="shared" si="10"/>
        <v>#REF!</v>
      </c>
      <c r="N57" s="19" t="e">
        <f>VLOOKUP(B57,#REF!,2,0)</f>
        <v>#REF!</v>
      </c>
      <c r="O57" s="27">
        <v>90</v>
      </c>
      <c r="P57" s="24" t="e">
        <f t="shared" si="11"/>
        <v>#REF!</v>
      </c>
      <c r="Q57" s="24" t="e">
        <f t="shared" si="12"/>
        <v>#REF!</v>
      </c>
      <c r="R57" s="36" t="e">
        <f t="shared" si="13"/>
        <v>#REF!</v>
      </c>
      <c r="S57" s="15">
        <v>12</v>
      </c>
      <c r="T57" s="16" t="e">
        <f>+SUMIF(#REF!,'Özet Durum'!B57,#REF!)</f>
        <v>#REF!</v>
      </c>
      <c r="U57" s="17" t="e">
        <f t="shared" si="14"/>
        <v>#REF!</v>
      </c>
      <c r="V57" s="35" t="e">
        <f t="shared" si="15"/>
        <v>#REF!</v>
      </c>
      <c r="W57" s="14">
        <v>449000</v>
      </c>
      <c r="X57" s="19" t="e">
        <f t="shared" si="16"/>
        <v>#REF!</v>
      </c>
      <c r="Y57" s="161">
        <v>0.98</v>
      </c>
    </row>
    <row r="58" spans="1:27" ht="19.95" hidden="1" customHeight="1" x14ac:dyDescent="0.25">
      <c r="A58" s="15">
        <v>57</v>
      </c>
      <c r="B58" s="53" t="s">
        <v>138</v>
      </c>
      <c r="C58" s="119" t="s">
        <v>137</v>
      </c>
      <c r="D58" s="13" t="s">
        <v>21</v>
      </c>
      <c r="E58" s="13" t="s">
        <v>321</v>
      </c>
      <c r="F58" s="18" t="s">
        <v>85</v>
      </c>
      <c r="G58" s="13" t="s">
        <v>37</v>
      </c>
      <c r="H58" s="13" t="s">
        <v>346</v>
      </c>
      <c r="I58" s="13" t="s">
        <v>326</v>
      </c>
      <c r="J58" s="13" t="e">
        <f t="shared" si="0"/>
        <v>#REF!</v>
      </c>
      <c r="K58" s="19" t="e">
        <f>VLOOKUP(B58,#REF!,2,0)</f>
        <v>#REF!</v>
      </c>
      <c r="L58" s="24" t="e">
        <f t="shared" si="9"/>
        <v>#REF!</v>
      </c>
      <c r="M58" s="19" t="e">
        <f t="shared" si="10"/>
        <v>#REF!</v>
      </c>
      <c r="N58" s="19" t="e">
        <f>VLOOKUP(B58,#REF!,2,0)</f>
        <v>#REF!</v>
      </c>
      <c r="O58" s="24">
        <v>90</v>
      </c>
      <c r="P58" s="24" t="e">
        <f t="shared" si="11"/>
        <v>#REF!</v>
      </c>
      <c r="Q58" s="24" t="e">
        <f t="shared" si="12"/>
        <v>#REF!</v>
      </c>
      <c r="R58" s="36" t="e">
        <f t="shared" si="13"/>
        <v>#REF!</v>
      </c>
      <c r="S58" s="15">
        <v>12</v>
      </c>
      <c r="T58" s="16" t="e">
        <f>+SUMIF(#REF!,'Özet Durum'!B58,#REF!)</f>
        <v>#REF!</v>
      </c>
      <c r="U58" s="17" t="e">
        <f t="shared" si="14"/>
        <v>#REF!</v>
      </c>
      <c r="V58" s="35" t="e">
        <f t="shared" si="15"/>
        <v>#REF!</v>
      </c>
      <c r="W58" s="14">
        <v>6222000</v>
      </c>
      <c r="X58" s="19" t="e">
        <f t="shared" si="16"/>
        <v>#REF!</v>
      </c>
      <c r="Y58" s="161">
        <v>0.98</v>
      </c>
    </row>
    <row r="59" spans="1:27" ht="19.95" hidden="1" customHeight="1" x14ac:dyDescent="0.25">
      <c r="A59" s="15">
        <v>58</v>
      </c>
      <c r="B59" s="53" t="s">
        <v>139</v>
      </c>
      <c r="C59" s="123" t="s">
        <v>347</v>
      </c>
      <c r="D59" s="13" t="s">
        <v>21</v>
      </c>
      <c r="E59" s="13" t="s">
        <v>348</v>
      </c>
      <c r="F59" s="18" t="s">
        <v>85</v>
      </c>
      <c r="G59" s="13" t="s">
        <v>37</v>
      </c>
      <c r="H59" s="13" t="s">
        <v>346</v>
      </c>
      <c r="I59" s="13" t="s">
        <v>326</v>
      </c>
      <c r="J59" s="13" t="e">
        <f t="shared" si="0"/>
        <v>#REF!</v>
      </c>
      <c r="K59" s="19" t="e">
        <f>VLOOKUP(B59,#REF!,2,0)</f>
        <v>#REF!</v>
      </c>
      <c r="L59" s="24" t="e">
        <f t="shared" si="9"/>
        <v>#REF!</v>
      </c>
      <c r="M59" s="19" t="e">
        <f t="shared" si="10"/>
        <v>#REF!</v>
      </c>
      <c r="N59" s="19" t="e">
        <f>VLOOKUP(B59,#REF!,2,0)</f>
        <v>#REF!</v>
      </c>
      <c r="O59" s="24">
        <v>90</v>
      </c>
      <c r="P59" s="24" t="e">
        <f t="shared" si="11"/>
        <v>#REF!</v>
      </c>
      <c r="Q59" s="24" t="e">
        <f t="shared" si="12"/>
        <v>#REF!</v>
      </c>
      <c r="R59" s="36" t="e">
        <f t="shared" si="13"/>
        <v>#REF!</v>
      </c>
      <c r="S59" s="15">
        <v>11</v>
      </c>
      <c r="T59" s="16" t="e">
        <f>+SUMIF(#REF!,'Özet Durum'!B59,#REF!)</f>
        <v>#REF!</v>
      </c>
      <c r="U59" s="17" t="e">
        <f t="shared" si="14"/>
        <v>#REF!</v>
      </c>
      <c r="V59" s="35" t="e">
        <f t="shared" si="15"/>
        <v>#REF!</v>
      </c>
      <c r="W59" s="14">
        <v>1152000</v>
      </c>
      <c r="X59" s="19" t="e">
        <f t="shared" si="16"/>
        <v>#REF!</v>
      </c>
      <c r="Y59" s="161">
        <v>0.85699999999999998</v>
      </c>
    </row>
    <row r="60" spans="1:27" ht="19.95" hidden="1" customHeight="1" x14ac:dyDescent="0.25">
      <c r="A60" s="15">
        <v>59</v>
      </c>
      <c r="B60" s="53" t="s">
        <v>133</v>
      </c>
      <c r="C60" s="123" t="s">
        <v>132</v>
      </c>
      <c r="D60" s="13" t="s">
        <v>21</v>
      </c>
      <c r="E60" s="13" t="s">
        <v>321</v>
      </c>
      <c r="F60" s="18" t="s">
        <v>16</v>
      </c>
      <c r="G60" s="13" t="s">
        <v>17</v>
      </c>
      <c r="H60" s="13" t="s">
        <v>346</v>
      </c>
      <c r="I60" s="13" t="s">
        <v>326</v>
      </c>
      <c r="J60" s="13" t="e">
        <f t="shared" si="0"/>
        <v>#REF!</v>
      </c>
      <c r="K60" s="19" t="e">
        <f>VLOOKUP(B60,#REF!,2,0)</f>
        <v>#REF!</v>
      </c>
      <c r="L60" s="24" t="e">
        <f t="shared" si="9"/>
        <v>#REF!</v>
      </c>
      <c r="M60" s="19" t="e">
        <f t="shared" si="10"/>
        <v>#REF!</v>
      </c>
      <c r="N60" s="19" t="e">
        <f>VLOOKUP(B60,#REF!,2,0)</f>
        <v>#REF!</v>
      </c>
      <c r="O60" s="24">
        <v>90</v>
      </c>
      <c r="P60" s="24" t="e">
        <f t="shared" si="11"/>
        <v>#REF!</v>
      </c>
      <c r="Q60" s="24" t="e">
        <f t="shared" si="12"/>
        <v>#REF!</v>
      </c>
      <c r="R60" s="36" t="e">
        <f t="shared" si="13"/>
        <v>#REF!</v>
      </c>
      <c r="S60" s="28">
        <v>12</v>
      </c>
      <c r="T60" s="16" t="e">
        <f>+SUMIF(#REF!,'Özet Durum'!B60,#REF!)</f>
        <v>#REF!</v>
      </c>
      <c r="U60" s="17" t="e">
        <f t="shared" si="14"/>
        <v>#REF!</v>
      </c>
      <c r="V60" s="35" t="e">
        <f t="shared" si="15"/>
        <v>#REF!</v>
      </c>
      <c r="W60" s="14">
        <v>2732400</v>
      </c>
      <c r="X60" s="19" t="e">
        <f t="shared" si="16"/>
        <v>#REF!</v>
      </c>
      <c r="Y60" s="161"/>
    </row>
    <row r="61" spans="1:27" ht="20.399999999999999" hidden="1" customHeight="1" x14ac:dyDescent="0.25">
      <c r="A61" s="15">
        <v>60</v>
      </c>
      <c r="B61" s="53" t="s">
        <v>135</v>
      </c>
      <c r="C61" s="123" t="s">
        <v>134</v>
      </c>
      <c r="D61" s="13" t="s">
        <v>21</v>
      </c>
      <c r="E61" s="13" t="s">
        <v>322</v>
      </c>
      <c r="F61" s="18" t="s">
        <v>85</v>
      </c>
      <c r="G61" s="13" t="s">
        <v>37</v>
      </c>
      <c r="H61" s="13" t="s">
        <v>346</v>
      </c>
      <c r="I61" s="13" t="s">
        <v>326</v>
      </c>
      <c r="J61" s="13" t="e">
        <f t="shared" si="0"/>
        <v>#REF!</v>
      </c>
      <c r="K61" s="19" t="e">
        <f>VLOOKUP(B61,#REF!,2,0)</f>
        <v>#REF!</v>
      </c>
      <c r="L61" s="24" t="e">
        <f t="shared" si="9"/>
        <v>#REF!</v>
      </c>
      <c r="M61" s="19" t="e">
        <f t="shared" si="10"/>
        <v>#REF!</v>
      </c>
      <c r="N61" s="19" t="e">
        <f>VLOOKUP(B61,#REF!,2,0)</f>
        <v>#REF!</v>
      </c>
      <c r="O61" s="24">
        <v>90</v>
      </c>
      <c r="P61" s="24" t="e">
        <f t="shared" si="11"/>
        <v>#REF!</v>
      </c>
      <c r="Q61" s="24" t="e">
        <f t="shared" si="12"/>
        <v>#REF!</v>
      </c>
      <c r="R61" s="36" t="e">
        <f t="shared" si="13"/>
        <v>#REF!</v>
      </c>
      <c r="S61" s="28">
        <v>9</v>
      </c>
      <c r="T61" s="16" t="e">
        <f>+SUMIF(#REF!,'Özet Durum'!B61,#REF!)</f>
        <v>#REF!</v>
      </c>
      <c r="U61" s="17" t="e">
        <f t="shared" si="14"/>
        <v>#REF!</v>
      </c>
      <c r="V61" s="35" t="e">
        <f t="shared" si="15"/>
        <v>#REF!</v>
      </c>
      <c r="W61" s="14">
        <v>4241952</v>
      </c>
      <c r="X61" s="19" t="e">
        <f t="shared" si="16"/>
        <v>#REF!</v>
      </c>
      <c r="Y61" s="161">
        <v>1</v>
      </c>
    </row>
    <row r="62" spans="1:27" s="30" customFormat="1" ht="19.95" hidden="1" customHeight="1" x14ac:dyDescent="0.25">
      <c r="A62" s="15">
        <v>61</v>
      </c>
      <c r="B62" s="53" t="s">
        <v>146</v>
      </c>
      <c r="C62" s="124" t="s">
        <v>92</v>
      </c>
      <c r="D62" s="53" t="s">
        <v>21</v>
      </c>
      <c r="E62" s="53" t="s">
        <v>321</v>
      </c>
      <c r="F62" s="53" t="s">
        <v>16</v>
      </c>
      <c r="G62" s="54" t="s">
        <v>17</v>
      </c>
      <c r="H62" s="54"/>
      <c r="I62" s="54" t="s">
        <v>123</v>
      </c>
      <c r="J62" s="13" t="str">
        <f t="shared" si="0"/>
        <v>Tamamlandı</v>
      </c>
      <c r="K62" s="55" t="e">
        <f>VLOOKUP(B62,#REF!,2,0)</f>
        <v>#REF!</v>
      </c>
      <c r="L62" s="56" t="e">
        <f t="shared" si="9"/>
        <v>#REF!</v>
      </c>
      <c r="M62" s="55" t="e">
        <f t="shared" si="10"/>
        <v>#REF!</v>
      </c>
      <c r="N62" s="55" t="e">
        <f>VLOOKUP(B62,#REF!,2,0)</f>
        <v>#REF!</v>
      </c>
      <c r="O62" s="56">
        <v>300</v>
      </c>
      <c r="P62" s="56" t="e">
        <f t="shared" si="11"/>
        <v>#REF!</v>
      </c>
      <c r="Q62" s="56" t="e">
        <f t="shared" si="12"/>
        <v>#REF!</v>
      </c>
      <c r="R62" s="57" t="e">
        <f t="shared" si="13"/>
        <v>#REF!</v>
      </c>
      <c r="S62" s="52">
        <v>25</v>
      </c>
      <c r="T62" s="16" t="e">
        <f>+SUMIF(#REF!,'Özet Durum'!B62,#REF!)</f>
        <v>#REF!</v>
      </c>
      <c r="U62" s="83" t="e">
        <f t="shared" si="14"/>
        <v>#REF!</v>
      </c>
      <c r="V62" s="20">
        <v>1</v>
      </c>
      <c r="W62" s="59">
        <v>5500000</v>
      </c>
      <c r="X62" s="60" t="e">
        <f t="shared" si="16"/>
        <v>#REF!</v>
      </c>
      <c r="Y62" s="161">
        <v>0.98</v>
      </c>
    </row>
    <row r="63" spans="1:27" s="30" customFormat="1" ht="19.95" hidden="1" customHeight="1" x14ac:dyDescent="0.25">
      <c r="A63" s="15">
        <v>62</v>
      </c>
      <c r="B63" s="53" t="s">
        <v>148</v>
      </c>
      <c r="C63" s="124" t="s">
        <v>19</v>
      </c>
      <c r="D63" s="53" t="s">
        <v>21</v>
      </c>
      <c r="E63" s="53" t="s">
        <v>318</v>
      </c>
      <c r="F63" s="53" t="s">
        <v>16</v>
      </c>
      <c r="G63" s="54" t="s">
        <v>17</v>
      </c>
      <c r="H63" s="54"/>
      <c r="I63" s="54" t="s">
        <v>123</v>
      </c>
      <c r="J63" s="13" t="e">
        <f t="shared" si="0"/>
        <v>#REF!</v>
      </c>
      <c r="K63" s="55" t="e">
        <f>VLOOKUP(B63,#REF!,2,0)</f>
        <v>#REF!</v>
      </c>
      <c r="L63" s="56" t="e">
        <f t="shared" si="9"/>
        <v>#REF!</v>
      </c>
      <c r="M63" s="55" t="e">
        <f t="shared" si="10"/>
        <v>#REF!</v>
      </c>
      <c r="N63" s="55" t="e">
        <f>VLOOKUP(B63,#REF!,2,0)</f>
        <v>#REF!</v>
      </c>
      <c r="O63" s="56">
        <v>120</v>
      </c>
      <c r="P63" s="56">
        <v>144</v>
      </c>
      <c r="Q63" s="56" t="e">
        <f t="shared" si="12"/>
        <v>#REF!</v>
      </c>
      <c r="R63" s="57">
        <f t="shared" si="13"/>
        <v>0.8</v>
      </c>
      <c r="S63" s="52">
        <v>14</v>
      </c>
      <c r="T63" s="16" t="e">
        <f>+SUMIF(#REF!,'Özet Durum'!B63,#REF!)</f>
        <v>#REF!</v>
      </c>
      <c r="U63" s="83" t="e">
        <f t="shared" si="14"/>
        <v>#REF!</v>
      </c>
      <c r="V63" s="58" t="e">
        <f t="shared" ref="V63:V88" si="17">+T63/S63</f>
        <v>#REF!</v>
      </c>
      <c r="W63" s="59">
        <v>35000000</v>
      </c>
      <c r="X63" s="60" t="e">
        <f t="shared" si="16"/>
        <v>#REF!</v>
      </c>
      <c r="Y63" s="161">
        <v>1</v>
      </c>
    </row>
    <row r="64" spans="1:27" s="30" customFormat="1" ht="19.95" hidden="1" customHeight="1" x14ac:dyDescent="0.25">
      <c r="A64" s="15">
        <v>63</v>
      </c>
      <c r="B64" s="53" t="s">
        <v>165</v>
      </c>
      <c r="C64" s="124" t="s">
        <v>164</v>
      </c>
      <c r="D64" s="53" t="s">
        <v>21</v>
      </c>
      <c r="E64" s="53" t="s">
        <v>318</v>
      </c>
      <c r="F64" s="53" t="s">
        <v>16</v>
      </c>
      <c r="G64" s="54" t="s">
        <v>17</v>
      </c>
      <c r="H64" s="54"/>
      <c r="I64" s="54" t="s">
        <v>123</v>
      </c>
      <c r="J64" s="13" t="e">
        <f t="shared" si="0"/>
        <v>#REF!</v>
      </c>
      <c r="K64" s="55" t="e">
        <f>VLOOKUP(B64,#REF!,2,0)</f>
        <v>#REF!</v>
      </c>
      <c r="L64" s="56" t="e">
        <f t="shared" si="9"/>
        <v>#REF!</v>
      </c>
      <c r="M64" s="55">
        <v>45217</v>
      </c>
      <c r="N64" s="55" t="e">
        <f>VLOOKUP(B64,#REF!,2,0)</f>
        <v>#REF!</v>
      </c>
      <c r="O64" s="56">
        <v>180</v>
      </c>
      <c r="P64" s="56" t="e">
        <f>+N64-K64</f>
        <v>#REF!</v>
      </c>
      <c r="Q64" s="56" t="e">
        <f t="shared" si="12"/>
        <v>#REF!</v>
      </c>
      <c r="R64" s="57" t="e">
        <f t="shared" si="13"/>
        <v>#REF!</v>
      </c>
      <c r="S64" s="52">
        <v>16</v>
      </c>
      <c r="T64" s="16" t="e">
        <f>+SUMIF(#REF!,'Özet Durum'!B64,#REF!)</f>
        <v>#REF!</v>
      </c>
      <c r="U64" s="83" t="e">
        <f t="shared" si="14"/>
        <v>#REF!</v>
      </c>
      <c r="V64" s="58" t="e">
        <f t="shared" si="17"/>
        <v>#REF!</v>
      </c>
      <c r="W64" s="59">
        <v>15000000</v>
      </c>
      <c r="X64" s="60" t="e">
        <f t="shared" si="16"/>
        <v>#REF!</v>
      </c>
      <c r="Y64" s="161">
        <v>1</v>
      </c>
    </row>
    <row r="65" spans="1:25" s="30" customFormat="1" ht="19.95" hidden="1" customHeight="1" x14ac:dyDescent="0.25">
      <c r="A65" s="15">
        <v>64</v>
      </c>
      <c r="B65" s="53" t="s">
        <v>150</v>
      </c>
      <c r="C65" s="124" t="s">
        <v>149</v>
      </c>
      <c r="D65" s="53" t="s">
        <v>21</v>
      </c>
      <c r="E65" s="53" t="s">
        <v>349</v>
      </c>
      <c r="F65" s="53" t="s">
        <v>16</v>
      </c>
      <c r="G65" s="54" t="s">
        <v>17</v>
      </c>
      <c r="H65" s="54" t="s">
        <v>350</v>
      </c>
      <c r="I65" s="53" t="s">
        <v>320</v>
      </c>
      <c r="J65" s="13" t="e">
        <f t="shared" si="0"/>
        <v>#REF!</v>
      </c>
      <c r="K65" s="55" t="e">
        <f>VLOOKUP(B65,#REF!,2,0)</f>
        <v>#REF!</v>
      </c>
      <c r="L65" s="56" t="e">
        <f t="shared" si="9"/>
        <v>#REF!</v>
      </c>
      <c r="M65" s="55" t="e">
        <f>+K65+O65</f>
        <v>#REF!</v>
      </c>
      <c r="N65" s="55" t="e">
        <f>VLOOKUP(B65,#REF!,2,0)</f>
        <v>#REF!</v>
      </c>
      <c r="O65" s="56">
        <v>150</v>
      </c>
      <c r="P65" s="56">
        <v>154</v>
      </c>
      <c r="Q65" s="56" t="e">
        <f t="shared" si="12"/>
        <v>#REF!</v>
      </c>
      <c r="R65" s="57">
        <f t="shared" si="13"/>
        <v>0.97333333333333338</v>
      </c>
      <c r="S65" s="52">
        <v>20</v>
      </c>
      <c r="T65" s="16" t="e">
        <f>+SUMIF(#REF!,'Özet Durum'!B65,#REF!)</f>
        <v>#REF!</v>
      </c>
      <c r="U65" s="83" t="e">
        <f t="shared" si="14"/>
        <v>#REF!</v>
      </c>
      <c r="V65" s="58" t="e">
        <f t="shared" si="17"/>
        <v>#REF!</v>
      </c>
      <c r="W65" s="59">
        <v>5500000</v>
      </c>
      <c r="X65" s="60" t="e">
        <f t="shared" si="16"/>
        <v>#REF!</v>
      </c>
      <c r="Y65" s="161">
        <v>1</v>
      </c>
    </row>
    <row r="66" spans="1:25" s="30" customFormat="1" ht="19.95" hidden="1" customHeight="1" x14ac:dyDescent="0.25">
      <c r="A66" s="15">
        <v>65</v>
      </c>
      <c r="B66" s="53" t="s">
        <v>155</v>
      </c>
      <c r="C66" s="122" t="s">
        <v>154</v>
      </c>
      <c r="D66" s="54" t="s">
        <v>21</v>
      </c>
      <c r="E66" s="53" t="s">
        <v>328</v>
      </c>
      <c r="F66" s="53" t="s">
        <v>22</v>
      </c>
      <c r="G66" s="54" t="s">
        <v>17</v>
      </c>
      <c r="H66" s="54" t="s">
        <v>350</v>
      </c>
      <c r="I66" s="53" t="s">
        <v>320</v>
      </c>
      <c r="J66" s="13" t="e">
        <f t="shared" ref="J66:J104" si="18">+IF(V66=1,"Tamamlandı","Devam Ediyor")</f>
        <v>#REF!</v>
      </c>
      <c r="K66" s="55" t="e">
        <f>VLOOKUP(B66,#REF!,2,0)</f>
        <v>#REF!</v>
      </c>
      <c r="L66" s="56" t="e">
        <f t="shared" ref="L66:L70" si="19">YEAR(K66)</f>
        <v>#REF!</v>
      </c>
      <c r="M66" s="55" t="e">
        <f>+K66+O66</f>
        <v>#REF!</v>
      </c>
      <c r="N66" s="55" t="e">
        <f>VLOOKUP(B66,#REF!,2,0)</f>
        <v>#REF!</v>
      </c>
      <c r="O66" s="56">
        <v>150</v>
      </c>
      <c r="P66" s="56" t="e">
        <f t="shared" ref="P66:P87" si="20">+N66-K66</f>
        <v>#REF!</v>
      </c>
      <c r="Q66" s="56" t="e">
        <f t="shared" ref="Q66:Q88" si="21">+YEAR(N66)</f>
        <v>#REF!</v>
      </c>
      <c r="R66" s="57" t="e">
        <f t="shared" ref="R66:R88" si="22">IF(P66&lt;O66,1,1-(ABS(O66-P66)/O66))</f>
        <v>#REF!</v>
      </c>
      <c r="S66" s="52">
        <v>17</v>
      </c>
      <c r="T66" s="16" t="e">
        <f>+SUMIF(#REF!,'Özet Durum'!B66,#REF!)</f>
        <v>#REF!</v>
      </c>
      <c r="U66" s="83" t="e">
        <f t="shared" ref="U66:U88" si="23">+S66-T66</f>
        <v>#REF!</v>
      </c>
      <c r="V66" s="58" t="e">
        <f t="shared" si="17"/>
        <v>#REF!</v>
      </c>
      <c r="W66" s="59">
        <v>6480000</v>
      </c>
      <c r="X66" s="60" t="e">
        <f t="shared" ref="X66:X76" si="24">IF(T66&lt;S66/2," ",IF(T66=S66/2,"1.Anket Zamanı Geldi",IF(T66&gt;S66/2,"2.Anket Zamanı Geldi")))</f>
        <v>#REF!</v>
      </c>
      <c r="Y66" s="161"/>
    </row>
    <row r="67" spans="1:25" ht="19.95" hidden="1" customHeight="1" x14ac:dyDescent="0.25">
      <c r="A67" s="15">
        <v>66</v>
      </c>
      <c r="B67" s="53" t="s">
        <v>153</v>
      </c>
      <c r="C67" s="124" t="s">
        <v>152</v>
      </c>
      <c r="D67" s="54" t="s">
        <v>21</v>
      </c>
      <c r="E67" s="53" t="s">
        <v>341</v>
      </c>
      <c r="F67" s="53" t="s">
        <v>22</v>
      </c>
      <c r="G67" s="54" t="s">
        <v>17</v>
      </c>
      <c r="H67" s="54" t="s">
        <v>350</v>
      </c>
      <c r="I67" s="53" t="s">
        <v>320</v>
      </c>
      <c r="J67" s="13" t="e">
        <f t="shared" si="18"/>
        <v>#REF!</v>
      </c>
      <c r="K67" s="55" t="e">
        <f>VLOOKUP(B67,#REF!,2,0)</f>
        <v>#REF!</v>
      </c>
      <c r="L67" s="56" t="e">
        <f t="shared" si="19"/>
        <v>#REF!</v>
      </c>
      <c r="M67" s="55" t="e">
        <f>+K67+O67</f>
        <v>#REF!</v>
      </c>
      <c r="N67" s="55" t="e">
        <f>VLOOKUP(B67,#REF!,2,0)</f>
        <v>#REF!</v>
      </c>
      <c r="O67" s="56">
        <v>150</v>
      </c>
      <c r="P67" s="56" t="e">
        <f t="shared" si="20"/>
        <v>#REF!</v>
      </c>
      <c r="Q67" s="56" t="e">
        <f t="shared" si="21"/>
        <v>#REF!</v>
      </c>
      <c r="R67" s="57" t="e">
        <f t="shared" si="22"/>
        <v>#REF!</v>
      </c>
      <c r="S67" s="52">
        <v>17</v>
      </c>
      <c r="T67" s="16" t="e">
        <f>+SUMIF(#REF!,'Özet Durum'!B67,#REF!)</f>
        <v>#REF!</v>
      </c>
      <c r="U67" s="83" t="e">
        <f t="shared" si="23"/>
        <v>#REF!</v>
      </c>
      <c r="V67" s="58" t="e">
        <f t="shared" si="17"/>
        <v>#REF!</v>
      </c>
      <c r="W67" s="59">
        <f>135*270*1.5*6</f>
        <v>328050</v>
      </c>
      <c r="X67" s="60" t="e">
        <f t="shared" si="24"/>
        <v>#REF!</v>
      </c>
      <c r="Y67" s="161">
        <v>0.93</v>
      </c>
    </row>
    <row r="68" spans="1:25" s="30" customFormat="1" ht="19.95" hidden="1" customHeight="1" x14ac:dyDescent="0.25">
      <c r="A68" s="15">
        <v>67</v>
      </c>
      <c r="B68" s="53" t="s">
        <v>156</v>
      </c>
      <c r="C68" s="124" t="s">
        <v>127</v>
      </c>
      <c r="D68" s="54" t="s">
        <v>21</v>
      </c>
      <c r="E68" s="53" t="s">
        <v>338</v>
      </c>
      <c r="F68" s="53" t="s">
        <v>22</v>
      </c>
      <c r="G68" s="54" t="s">
        <v>17</v>
      </c>
      <c r="H68" s="54" t="s">
        <v>350</v>
      </c>
      <c r="I68" s="53" t="s">
        <v>320</v>
      </c>
      <c r="J68" s="13" t="e">
        <f t="shared" si="18"/>
        <v>#REF!</v>
      </c>
      <c r="K68" s="55" t="e">
        <f>VLOOKUP(B68,#REF!,2,0)</f>
        <v>#REF!</v>
      </c>
      <c r="L68" s="56" t="e">
        <f t="shared" si="19"/>
        <v>#REF!</v>
      </c>
      <c r="M68" s="55" t="e">
        <f>+K68+O68</f>
        <v>#REF!</v>
      </c>
      <c r="N68" s="55" t="e">
        <f>VLOOKUP(B68,#REF!,2,0)</f>
        <v>#REF!</v>
      </c>
      <c r="O68" s="56">
        <v>150</v>
      </c>
      <c r="P68" s="56" t="e">
        <f t="shared" si="20"/>
        <v>#REF!</v>
      </c>
      <c r="Q68" s="56" t="e">
        <f t="shared" si="21"/>
        <v>#REF!</v>
      </c>
      <c r="R68" s="57" t="e">
        <f t="shared" si="22"/>
        <v>#REF!</v>
      </c>
      <c r="S68" s="52">
        <v>10</v>
      </c>
      <c r="T68" s="16" t="e">
        <f>+SUMIF(#REF!,'Özet Durum'!B68,#REF!)</f>
        <v>#REF!</v>
      </c>
      <c r="U68" s="83" t="e">
        <f t="shared" si="23"/>
        <v>#REF!</v>
      </c>
      <c r="V68" s="58" t="e">
        <f t="shared" si="17"/>
        <v>#REF!</v>
      </c>
      <c r="W68" s="59">
        <v>2562000</v>
      </c>
      <c r="X68" s="60" t="e">
        <f t="shared" si="24"/>
        <v>#REF!</v>
      </c>
      <c r="Y68" s="161"/>
    </row>
    <row r="69" spans="1:25" ht="19.95" hidden="1" customHeight="1" x14ac:dyDescent="0.25">
      <c r="A69" s="15">
        <v>68</v>
      </c>
      <c r="B69" s="53" t="s">
        <v>151</v>
      </c>
      <c r="C69" s="124" t="s">
        <v>98</v>
      </c>
      <c r="D69" s="54" t="s">
        <v>21</v>
      </c>
      <c r="E69" s="53" t="s">
        <v>322</v>
      </c>
      <c r="F69" s="53" t="s">
        <v>42</v>
      </c>
      <c r="G69" s="54" t="s">
        <v>17</v>
      </c>
      <c r="H69" s="54" t="s">
        <v>350</v>
      </c>
      <c r="I69" s="53" t="s">
        <v>320</v>
      </c>
      <c r="J69" s="13" t="e">
        <f t="shared" si="18"/>
        <v>#REF!</v>
      </c>
      <c r="K69" s="55" t="e">
        <f>VLOOKUP(B69,#REF!,2,0)</f>
        <v>#REF!</v>
      </c>
      <c r="L69" s="56" t="e">
        <f t="shared" si="19"/>
        <v>#REF!</v>
      </c>
      <c r="M69" s="55" t="e">
        <f>+K69+O69</f>
        <v>#REF!</v>
      </c>
      <c r="N69" s="55" t="e">
        <f>VLOOKUP(B69,#REF!,2,0)</f>
        <v>#REF!</v>
      </c>
      <c r="O69" s="56">
        <v>250</v>
      </c>
      <c r="P69" s="56" t="e">
        <f t="shared" si="20"/>
        <v>#REF!</v>
      </c>
      <c r="Q69" s="56" t="e">
        <f t="shared" si="21"/>
        <v>#REF!</v>
      </c>
      <c r="R69" s="57" t="e">
        <f t="shared" si="22"/>
        <v>#REF!</v>
      </c>
      <c r="S69" s="52">
        <v>17</v>
      </c>
      <c r="T69" s="16" t="e">
        <f>+SUMIF(#REF!,'Özet Durum'!B69,#REF!)</f>
        <v>#REF!</v>
      </c>
      <c r="U69" s="83" t="e">
        <f t="shared" si="23"/>
        <v>#REF!</v>
      </c>
      <c r="V69" s="58" t="e">
        <f t="shared" si="17"/>
        <v>#REF!</v>
      </c>
      <c r="W69" s="59">
        <v>0</v>
      </c>
      <c r="X69" s="60" t="e">
        <f t="shared" si="24"/>
        <v>#REF!</v>
      </c>
      <c r="Y69" s="161">
        <v>1</v>
      </c>
    </row>
    <row r="70" spans="1:25" s="30" customFormat="1" ht="19.95" hidden="1" customHeight="1" x14ac:dyDescent="0.25">
      <c r="A70" s="15">
        <v>69</v>
      </c>
      <c r="B70" s="53" t="s">
        <v>107</v>
      </c>
      <c r="C70" s="119" t="s">
        <v>106</v>
      </c>
      <c r="D70" s="13" t="s">
        <v>74</v>
      </c>
      <c r="E70" s="13" t="s">
        <v>328</v>
      </c>
      <c r="F70" s="13" t="s">
        <v>105</v>
      </c>
      <c r="G70" s="13" t="s">
        <v>37</v>
      </c>
      <c r="H70" s="13" t="s">
        <v>334</v>
      </c>
      <c r="I70" s="13" t="s">
        <v>320</v>
      </c>
      <c r="J70" s="13" t="str">
        <f t="shared" si="18"/>
        <v>Tamamlandı</v>
      </c>
      <c r="K70" s="19" t="e">
        <f>VLOOKUP(B70,#REF!,2,0)</f>
        <v>#REF!</v>
      </c>
      <c r="L70" s="24" t="e">
        <f t="shared" si="19"/>
        <v>#REF!</v>
      </c>
      <c r="M70" s="19" t="e">
        <f t="shared" ref="M70" si="25">+K70+O70</f>
        <v>#REF!</v>
      </c>
      <c r="N70" s="19" t="e">
        <f>VLOOKUP(B70,#REF!,2,0)</f>
        <v>#REF!</v>
      </c>
      <c r="O70" s="24">
        <v>150</v>
      </c>
      <c r="P70" s="24" t="e">
        <f t="shared" si="20"/>
        <v>#REF!</v>
      </c>
      <c r="Q70" s="24" t="e">
        <f t="shared" si="21"/>
        <v>#REF!</v>
      </c>
      <c r="R70" s="36" t="e">
        <f t="shared" si="22"/>
        <v>#REF!</v>
      </c>
      <c r="S70" s="15">
        <v>15</v>
      </c>
      <c r="T70" s="16">
        <v>15</v>
      </c>
      <c r="U70" s="17">
        <f t="shared" si="23"/>
        <v>0</v>
      </c>
      <c r="V70" s="20">
        <f t="shared" si="17"/>
        <v>1</v>
      </c>
      <c r="W70" s="14">
        <v>381837</v>
      </c>
      <c r="X70" s="29" t="str">
        <f t="shared" si="24"/>
        <v>2.Anket Zamanı Geldi</v>
      </c>
      <c r="Y70" s="161">
        <v>0.93</v>
      </c>
    </row>
    <row r="71" spans="1:25" ht="19.95" hidden="1" customHeight="1" x14ac:dyDescent="0.25">
      <c r="A71" s="15">
        <v>70</v>
      </c>
      <c r="B71" s="53" t="s">
        <v>158</v>
      </c>
      <c r="C71" s="124" t="s">
        <v>157</v>
      </c>
      <c r="D71" s="54" t="s">
        <v>21</v>
      </c>
      <c r="E71" s="53" t="s">
        <v>322</v>
      </c>
      <c r="F71" s="53" t="s">
        <v>16</v>
      </c>
      <c r="G71" s="54" t="s">
        <v>17</v>
      </c>
      <c r="H71" s="53" t="s">
        <v>351</v>
      </c>
      <c r="I71" s="53" t="s">
        <v>320</v>
      </c>
      <c r="J71" s="13" t="e">
        <f t="shared" si="18"/>
        <v>#REF!</v>
      </c>
      <c r="K71" s="55" t="e">
        <f>VLOOKUP(B71,#REF!,2,0)</f>
        <v>#REF!</v>
      </c>
      <c r="L71" s="56" t="e">
        <f t="shared" ref="L71:L89" si="26">YEAR(K71)</f>
        <v>#REF!</v>
      </c>
      <c r="M71" s="55">
        <v>45203</v>
      </c>
      <c r="N71" s="55">
        <v>45203</v>
      </c>
      <c r="O71" s="56">
        <v>150</v>
      </c>
      <c r="P71" s="56" t="e">
        <f t="shared" si="20"/>
        <v>#REF!</v>
      </c>
      <c r="Q71" s="56">
        <f t="shared" si="21"/>
        <v>2023</v>
      </c>
      <c r="R71" s="57" t="e">
        <f t="shared" si="22"/>
        <v>#REF!</v>
      </c>
      <c r="S71" s="52">
        <v>20</v>
      </c>
      <c r="T71" s="16" t="e">
        <f>+SUMIF(#REF!,'Özet Durum'!B71,#REF!)</f>
        <v>#REF!</v>
      </c>
      <c r="U71" s="83" t="e">
        <f t="shared" si="23"/>
        <v>#REF!</v>
      </c>
      <c r="V71" s="58" t="e">
        <f t="shared" si="17"/>
        <v>#REF!</v>
      </c>
      <c r="W71" s="59">
        <v>6500000</v>
      </c>
      <c r="X71" s="60" t="e">
        <f t="shared" si="24"/>
        <v>#REF!</v>
      </c>
      <c r="Y71" s="161">
        <v>0.96</v>
      </c>
    </row>
    <row r="72" spans="1:25" ht="19.95" hidden="1" customHeight="1" x14ac:dyDescent="0.25">
      <c r="A72" s="15">
        <v>71</v>
      </c>
      <c r="B72" s="53" t="s">
        <v>160</v>
      </c>
      <c r="C72" s="124" t="s">
        <v>159</v>
      </c>
      <c r="D72" s="54" t="s">
        <v>21</v>
      </c>
      <c r="E72" s="53" t="s">
        <v>321</v>
      </c>
      <c r="F72" s="53" t="s">
        <v>22</v>
      </c>
      <c r="G72" s="54" t="s">
        <v>17</v>
      </c>
      <c r="H72" s="53" t="s">
        <v>351</v>
      </c>
      <c r="I72" s="53" t="s">
        <v>320</v>
      </c>
      <c r="J72" s="13" t="e">
        <f t="shared" si="18"/>
        <v>#REF!</v>
      </c>
      <c r="K72" s="55" t="e">
        <f>VLOOKUP(B72,#REF!,2,0)</f>
        <v>#REF!</v>
      </c>
      <c r="L72" s="56" t="e">
        <f t="shared" si="26"/>
        <v>#REF!</v>
      </c>
      <c r="M72" s="55" t="e">
        <f t="shared" ref="M72:M103" si="27">+K72+O72</f>
        <v>#REF!</v>
      </c>
      <c r="N72" s="55" t="e">
        <f>VLOOKUP(B72,#REF!,2,0)</f>
        <v>#REF!</v>
      </c>
      <c r="O72" s="56">
        <v>150</v>
      </c>
      <c r="P72" s="56" t="e">
        <f t="shared" si="20"/>
        <v>#REF!</v>
      </c>
      <c r="Q72" s="56" t="e">
        <f t="shared" si="21"/>
        <v>#REF!</v>
      </c>
      <c r="R72" s="57" t="e">
        <f t="shared" si="22"/>
        <v>#REF!</v>
      </c>
      <c r="S72" s="52">
        <v>19</v>
      </c>
      <c r="T72" s="16" t="e">
        <f>+SUMIF(#REF!,'Özet Durum'!B72,#REF!)</f>
        <v>#REF!</v>
      </c>
      <c r="U72" s="83" t="e">
        <f t="shared" si="23"/>
        <v>#REF!</v>
      </c>
      <c r="V72" s="58" t="e">
        <f t="shared" si="17"/>
        <v>#REF!</v>
      </c>
      <c r="W72" s="59">
        <v>1056000</v>
      </c>
      <c r="X72" s="60" t="e">
        <f t="shared" si="24"/>
        <v>#REF!</v>
      </c>
      <c r="Y72" s="161"/>
    </row>
    <row r="73" spans="1:25" s="152" customFormat="1" ht="19.95" hidden="1" customHeight="1" x14ac:dyDescent="0.25">
      <c r="A73" s="141">
        <v>72</v>
      </c>
      <c r="B73" s="125" t="s">
        <v>162</v>
      </c>
      <c r="C73" s="125" t="s">
        <v>161</v>
      </c>
      <c r="D73" s="126" t="s">
        <v>21</v>
      </c>
      <c r="E73" s="125" t="s">
        <v>321</v>
      </c>
      <c r="F73" s="125" t="s">
        <v>129</v>
      </c>
      <c r="G73" s="126" t="s">
        <v>17</v>
      </c>
      <c r="H73" s="125" t="s">
        <v>351</v>
      </c>
      <c r="I73" s="125" t="s">
        <v>320</v>
      </c>
      <c r="J73" s="119" t="e">
        <f t="shared" si="18"/>
        <v>#REF!</v>
      </c>
      <c r="K73" s="142" t="e">
        <f>VLOOKUP(B73,#REF!,2,0)</f>
        <v>#REF!</v>
      </c>
      <c r="L73" s="143" t="e">
        <f t="shared" si="26"/>
        <v>#REF!</v>
      </c>
      <c r="M73" s="142" t="e">
        <f t="shared" si="27"/>
        <v>#REF!</v>
      </c>
      <c r="N73" s="142" t="e">
        <f>VLOOKUP(B73,#REF!,2,0)</f>
        <v>#REF!</v>
      </c>
      <c r="O73" s="144">
        <f>+IF(I73="Öğren Dönüş",(S73/4)*30+30,0)</f>
        <v>180</v>
      </c>
      <c r="P73" s="143" t="e">
        <f t="shared" si="20"/>
        <v>#REF!</v>
      </c>
      <c r="Q73" s="143" t="e">
        <f t="shared" si="21"/>
        <v>#REF!</v>
      </c>
      <c r="R73" s="145" t="e">
        <f t="shared" si="22"/>
        <v>#REF!</v>
      </c>
      <c r="S73" s="146">
        <v>20</v>
      </c>
      <c r="T73" s="147" t="e">
        <f>+SUMIF(#REF!,'Özet Durum'!B73,#REF!)</f>
        <v>#REF!</v>
      </c>
      <c r="U73" s="148" t="e">
        <f t="shared" si="23"/>
        <v>#REF!</v>
      </c>
      <c r="V73" s="149" t="e">
        <f t="shared" si="17"/>
        <v>#REF!</v>
      </c>
      <c r="W73" s="150">
        <v>0</v>
      </c>
      <c r="X73" s="151" t="e">
        <f t="shared" si="24"/>
        <v>#REF!</v>
      </c>
      <c r="Y73" s="161"/>
    </row>
    <row r="74" spans="1:25" ht="19.95" hidden="1" customHeight="1" x14ac:dyDescent="0.25">
      <c r="A74" s="15">
        <v>73</v>
      </c>
      <c r="B74" s="62" t="s">
        <v>167</v>
      </c>
      <c r="C74" s="126" t="s">
        <v>166</v>
      </c>
      <c r="D74" s="63" t="s">
        <v>21</v>
      </c>
      <c r="E74" s="63" t="s">
        <v>352</v>
      </c>
      <c r="F74" s="63" t="s">
        <v>16</v>
      </c>
      <c r="G74" s="63" t="s">
        <v>17</v>
      </c>
      <c r="H74" s="63" t="s">
        <v>353</v>
      </c>
      <c r="I74" s="62" t="s">
        <v>320</v>
      </c>
      <c r="J74" s="13" t="e">
        <f t="shared" si="18"/>
        <v>#REF!</v>
      </c>
      <c r="K74" s="64" t="e">
        <f>VLOOKUP(B74,#REF!,2,0)</f>
        <v>#REF!</v>
      </c>
      <c r="L74" s="65" t="e">
        <f t="shared" si="26"/>
        <v>#REF!</v>
      </c>
      <c r="M74" s="64" t="e">
        <f t="shared" si="27"/>
        <v>#REF!</v>
      </c>
      <c r="N74" s="64" t="e">
        <f>VLOOKUP(B74,#REF!,2,0)</f>
        <v>#REF!</v>
      </c>
      <c r="O74" s="56">
        <f t="shared" ref="O74:O130" si="28">+IF(I74="Öğren Dönüş",(S74/4)*30+30,0)</f>
        <v>180</v>
      </c>
      <c r="P74" s="65" t="e">
        <f t="shared" si="20"/>
        <v>#REF!</v>
      </c>
      <c r="Q74" s="65" t="e">
        <f t="shared" si="21"/>
        <v>#REF!</v>
      </c>
      <c r="R74" s="66" t="e">
        <f t="shared" si="22"/>
        <v>#REF!</v>
      </c>
      <c r="S74" s="61">
        <v>20</v>
      </c>
      <c r="T74" s="16" t="e">
        <f>+SUMIF(#REF!,'Özet Durum'!B74,#REF!)</f>
        <v>#REF!</v>
      </c>
      <c r="U74" s="84" t="e">
        <f t="shared" si="23"/>
        <v>#REF!</v>
      </c>
      <c r="V74" s="67" t="e">
        <f t="shared" si="17"/>
        <v>#REF!</v>
      </c>
      <c r="W74" s="68">
        <v>33867680</v>
      </c>
      <c r="X74" s="69" t="e">
        <f t="shared" si="24"/>
        <v>#REF!</v>
      </c>
      <c r="Y74" s="161">
        <v>1</v>
      </c>
    </row>
    <row r="75" spans="1:25" ht="19.95" hidden="1" customHeight="1" x14ac:dyDescent="0.25">
      <c r="A75" s="15">
        <v>74</v>
      </c>
      <c r="B75" s="53" t="s">
        <v>169</v>
      </c>
      <c r="C75" s="122" t="s">
        <v>168</v>
      </c>
      <c r="D75" s="63" t="s">
        <v>21</v>
      </c>
      <c r="E75" s="54" t="s">
        <v>354</v>
      </c>
      <c r="F75" s="54" t="s">
        <v>22</v>
      </c>
      <c r="G75" s="63" t="s">
        <v>17</v>
      </c>
      <c r="H75" s="54" t="s">
        <v>353</v>
      </c>
      <c r="I75" s="53" t="s">
        <v>320</v>
      </c>
      <c r="J75" s="13" t="e">
        <f t="shared" si="18"/>
        <v>#REF!</v>
      </c>
      <c r="K75" s="55" t="e">
        <f>VLOOKUP(B75,#REF!,2,0)</f>
        <v>#REF!</v>
      </c>
      <c r="L75" s="56" t="e">
        <f t="shared" si="26"/>
        <v>#REF!</v>
      </c>
      <c r="M75" s="55" t="e">
        <f t="shared" si="27"/>
        <v>#REF!</v>
      </c>
      <c r="N75" s="55" t="e">
        <f>VLOOKUP(B75,#REF!,2,0)</f>
        <v>#REF!</v>
      </c>
      <c r="O75" s="56">
        <f t="shared" si="28"/>
        <v>240</v>
      </c>
      <c r="P75" s="56" t="e">
        <f t="shared" si="20"/>
        <v>#REF!</v>
      </c>
      <c r="Q75" s="56" t="e">
        <f t="shared" si="21"/>
        <v>#REF!</v>
      </c>
      <c r="R75" s="57" t="e">
        <f t="shared" si="22"/>
        <v>#REF!</v>
      </c>
      <c r="S75" s="52">
        <v>28</v>
      </c>
      <c r="T75" s="16" t="e">
        <f>+SUMIF(#REF!,'Özet Durum'!B75,#REF!)</f>
        <v>#REF!</v>
      </c>
      <c r="U75" s="83" t="e">
        <f t="shared" si="23"/>
        <v>#REF!</v>
      </c>
      <c r="V75" s="70" t="e">
        <f t="shared" si="17"/>
        <v>#REF!</v>
      </c>
      <c r="W75" s="59">
        <v>7300000</v>
      </c>
      <c r="X75" s="55" t="e">
        <f t="shared" si="24"/>
        <v>#REF!</v>
      </c>
      <c r="Y75" s="161">
        <v>0.95</v>
      </c>
    </row>
    <row r="76" spans="1:25" ht="19.95" hidden="1" customHeight="1" x14ac:dyDescent="0.25">
      <c r="A76" s="15">
        <v>75</v>
      </c>
      <c r="B76" s="53" t="s">
        <v>171</v>
      </c>
      <c r="C76" s="122" t="s">
        <v>170</v>
      </c>
      <c r="D76" s="54" t="s">
        <v>21</v>
      </c>
      <c r="E76" s="54" t="s">
        <v>321</v>
      </c>
      <c r="F76" s="54" t="s">
        <v>22</v>
      </c>
      <c r="G76" s="54" t="s">
        <v>17</v>
      </c>
      <c r="H76" s="54" t="s">
        <v>353</v>
      </c>
      <c r="I76" s="53" t="s">
        <v>320</v>
      </c>
      <c r="J76" s="13" t="e">
        <f t="shared" si="18"/>
        <v>#REF!</v>
      </c>
      <c r="K76" s="55" t="e">
        <f>VLOOKUP(B76,#REF!,2,0)</f>
        <v>#REF!</v>
      </c>
      <c r="L76" s="56" t="e">
        <f t="shared" si="26"/>
        <v>#REF!</v>
      </c>
      <c r="M76" s="55" t="e">
        <f t="shared" si="27"/>
        <v>#REF!</v>
      </c>
      <c r="N76" s="55" t="e">
        <f>VLOOKUP(B76,#REF!,2,0)</f>
        <v>#REF!</v>
      </c>
      <c r="O76" s="56">
        <f t="shared" si="28"/>
        <v>180</v>
      </c>
      <c r="P76" s="56" t="e">
        <f t="shared" si="20"/>
        <v>#REF!</v>
      </c>
      <c r="Q76" s="56" t="e">
        <f t="shared" si="21"/>
        <v>#REF!</v>
      </c>
      <c r="R76" s="57" t="e">
        <f t="shared" si="22"/>
        <v>#REF!</v>
      </c>
      <c r="S76" s="52">
        <v>20</v>
      </c>
      <c r="T76" s="16" t="e">
        <f>+SUMIF(#REF!,'Özet Durum'!B76,#REF!)</f>
        <v>#REF!</v>
      </c>
      <c r="U76" s="83" t="e">
        <f t="shared" si="23"/>
        <v>#REF!</v>
      </c>
      <c r="V76" s="70" t="e">
        <f t="shared" si="17"/>
        <v>#REF!</v>
      </c>
      <c r="W76" s="59">
        <v>1200000</v>
      </c>
      <c r="X76" s="55" t="e">
        <f t="shared" si="24"/>
        <v>#REF!</v>
      </c>
      <c r="Y76" s="161"/>
    </row>
    <row r="77" spans="1:25" ht="19.95" hidden="1" customHeight="1" x14ac:dyDescent="0.25">
      <c r="A77" s="15">
        <v>76</v>
      </c>
      <c r="B77" s="53" t="s">
        <v>191</v>
      </c>
      <c r="C77" s="122" t="s">
        <v>190</v>
      </c>
      <c r="D77" s="54" t="s">
        <v>21</v>
      </c>
      <c r="E77" s="53" t="s">
        <v>349</v>
      </c>
      <c r="F77" s="54" t="s">
        <v>179</v>
      </c>
      <c r="G77" s="13" t="s">
        <v>37</v>
      </c>
      <c r="H77" s="54" t="s">
        <v>355</v>
      </c>
      <c r="I77" s="53" t="s">
        <v>320</v>
      </c>
      <c r="J77" s="13" t="e">
        <f t="shared" si="18"/>
        <v>#REF!</v>
      </c>
      <c r="K77" s="55" t="e">
        <f>+VLOOKUP(B77,#REF!,2,0)</f>
        <v>#REF!</v>
      </c>
      <c r="L77" s="56" t="e">
        <f t="shared" si="26"/>
        <v>#REF!</v>
      </c>
      <c r="M77" s="55" t="e">
        <f t="shared" si="27"/>
        <v>#REF!</v>
      </c>
      <c r="N77" s="55" t="e">
        <f>VLOOKUP(B77,#REF!,2,0)</f>
        <v>#REF!</v>
      </c>
      <c r="O77" s="56">
        <f t="shared" si="28"/>
        <v>180</v>
      </c>
      <c r="P77" s="56" t="e">
        <f t="shared" si="20"/>
        <v>#REF!</v>
      </c>
      <c r="Q77" s="56" t="e">
        <f t="shared" si="21"/>
        <v>#REF!</v>
      </c>
      <c r="R77" s="57" t="e">
        <f t="shared" si="22"/>
        <v>#REF!</v>
      </c>
      <c r="S77" s="52">
        <v>20</v>
      </c>
      <c r="T77" s="16" t="e">
        <f>+SUMIF(#REF!,'Özet Durum'!B77,#REF!)</f>
        <v>#REF!</v>
      </c>
      <c r="U77" s="83" t="e">
        <f t="shared" si="23"/>
        <v>#REF!</v>
      </c>
      <c r="V77" s="70" t="e">
        <f t="shared" si="17"/>
        <v>#REF!</v>
      </c>
      <c r="W77" s="59">
        <v>0</v>
      </c>
      <c r="X77" s="55" t="e">
        <f t="shared" ref="X77:X91" si="29">IF(T77&lt;S77/2," ",IF(T77=S77/2,"1.Anket Zamanı Geldi",IF(T77&gt;S77/2,"2.Anket Zamanı Geldi")))</f>
        <v>#REF!</v>
      </c>
      <c r="Y77" s="161"/>
    </row>
    <row r="78" spans="1:25" ht="19.95" hidden="1" customHeight="1" x14ac:dyDescent="0.25">
      <c r="A78" s="15">
        <v>77</v>
      </c>
      <c r="B78" s="53" t="s">
        <v>173</v>
      </c>
      <c r="C78" s="122" t="s">
        <v>172</v>
      </c>
      <c r="D78" s="54" t="s">
        <v>21</v>
      </c>
      <c r="E78" s="54" t="s">
        <v>330</v>
      </c>
      <c r="F78" s="54" t="s">
        <v>22</v>
      </c>
      <c r="G78" s="54" t="s">
        <v>17</v>
      </c>
      <c r="H78" s="54" t="s">
        <v>355</v>
      </c>
      <c r="I78" s="53" t="s">
        <v>320</v>
      </c>
      <c r="J78" s="13" t="e">
        <f t="shared" si="18"/>
        <v>#REF!</v>
      </c>
      <c r="K78" s="55" t="e">
        <f>VLOOKUP(B78,#REF!,2,0)</f>
        <v>#REF!</v>
      </c>
      <c r="L78" s="56" t="e">
        <f t="shared" si="26"/>
        <v>#REF!</v>
      </c>
      <c r="M78" s="55" t="e">
        <f t="shared" si="27"/>
        <v>#REF!</v>
      </c>
      <c r="N78" s="55" t="e">
        <f>VLOOKUP(B78,#REF!,2,0)</f>
        <v>#REF!</v>
      </c>
      <c r="O78" s="56">
        <f t="shared" si="28"/>
        <v>180</v>
      </c>
      <c r="P78" s="56" t="e">
        <f t="shared" si="20"/>
        <v>#REF!</v>
      </c>
      <c r="Q78" s="56" t="e">
        <f t="shared" si="21"/>
        <v>#REF!</v>
      </c>
      <c r="R78" s="57" t="e">
        <f t="shared" si="22"/>
        <v>#REF!</v>
      </c>
      <c r="S78" s="52">
        <v>20</v>
      </c>
      <c r="T78" s="16" t="e">
        <f>+SUMIF(#REF!,'Özet Durum'!B78,#REF!)</f>
        <v>#REF!</v>
      </c>
      <c r="U78" s="83" t="e">
        <f t="shared" si="23"/>
        <v>#REF!</v>
      </c>
      <c r="V78" s="70" t="e">
        <f t="shared" si="17"/>
        <v>#REF!</v>
      </c>
      <c r="W78" s="59">
        <v>3550200</v>
      </c>
      <c r="X78" s="55" t="e">
        <f t="shared" si="29"/>
        <v>#REF!</v>
      </c>
      <c r="Y78" s="161">
        <v>1</v>
      </c>
    </row>
    <row r="79" spans="1:25" ht="19.95" hidden="1" customHeight="1" x14ac:dyDescent="0.25">
      <c r="A79" s="15">
        <v>78</v>
      </c>
      <c r="B79" s="53" t="s">
        <v>183</v>
      </c>
      <c r="C79" s="127" t="s">
        <v>356</v>
      </c>
      <c r="D79" s="54" t="s">
        <v>21</v>
      </c>
      <c r="E79" s="54" t="s">
        <v>321</v>
      </c>
      <c r="F79" s="54" t="s">
        <v>179</v>
      </c>
      <c r="G79" s="13" t="s">
        <v>37</v>
      </c>
      <c r="H79" s="54" t="s">
        <v>355</v>
      </c>
      <c r="I79" s="53" t="s">
        <v>320</v>
      </c>
      <c r="J79" s="13" t="e">
        <f t="shared" si="18"/>
        <v>#REF!</v>
      </c>
      <c r="K79" s="55" t="e">
        <f>VLOOKUP(B79,#REF!,2,0)</f>
        <v>#REF!</v>
      </c>
      <c r="L79" s="56" t="e">
        <f t="shared" si="26"/>
        <v>#REF!</v>
      </c>
      <c r="M79" s="55" t="e">
        <f t="shared" si="27"/>
        <v>#REF!</v>
      </c>
      <c r="N79" s="55" t="e">
        <f>VLOOKUP(B79,#REF!,2,0)</f>
        <v>#REF!</v>
      </c>
      <c r="O79" s="56">
        <f t="shared" si="28"/>
        <v>191.25</v>
      </c>
      <c r="P79" s="56" t="e">
        <f t="shared" si="20"/>
        <v>#REF!</v>
      </c>
      <c r="Q79" s="56" t="e">
        <f t="shared" si="21"/>
        <v>#REF!</v>
      </c>
      <c r="R79" s="57" t="e">
        <f t="shared" si="22"/>
        <v>#REF!</v>
      </c>
      <c r="S79" s="52">
        <v>21.5</v>
      </c>
      <c r="T79" s="16" t="e">
        <f>+SUMIF(#REF!,'Özet Durum'!B79,#REF!)</f>
        <v>#REF!</v>
      </c>
      <c r="U79" s="83" t="e">
        <f t="shared" si="23"/>
        <v>#REF!</v>
      </c>
      <c r="V79" s="70" t="e">
        <f t="shared" si="17"/>
        <v>#REF!</v>
      </c>
      <c r="W79" s="59">
        <v>0</v>
      </c>
      <c r="X79" s="55" t="e">
        <f t="shared" si="29"/>
        <v>#REF!</v>
      </c>
      <c r="Y79" s="161"/>
    </row>
    <row r="80" spans="1:25" ht="19.95" hidden="1" customHeight="1" x14ac:dyDescent="0.25">
      <c r="A80" s="15">
        <v>79</v>
      </c>
      <c r="B80" s="53" t="s">
        <v>176</v>
      </c>
      <c r="C80" s="122" t="s">
        <v>175</v>
      </c>
      <c r="D80" s="54" t="s">
        <v>21</v>
      </c>
      <c r="E80" s="54" t="s">
        <v>321</v>
      </c>
      <c r="F80" s="54" t="s">
        <v>357</v>
      </c>
      <c r="G80" s="54" t="s">
        <v>17</v>
      </c>
      <c r="H80" s="54" t="s">
        <v>355</v>
      </c>
      <c r="I80" s="53" t="s">
        <v>320</v>
      </c>
      <c r="J80" s="13" t="e">
        <f t="shared" si="18"/>
        <v>#REF!</v>
      </c>
      <c r="K80" s="55" t="e">
        <f>VLOOKUP(B80,#REF!,2,0)</f>
        <v>#REF!</v>
      </c>
      <c r="L80" s="56" t="e">
        <f t="shared" si="26"/>
        <v>#REF!</v>
      </c>
      <c r="M80" s="55" t="e">
        <f t="shared" si="27"/>
        <v>#REF!</v>
      </c>
      <c r="N80" s="55" t="e">
        <f>VLOOKUP(B80,#REF!,2,0)</f>
        <v>#REF!</v>
      </c>
      <c r="O80" s="56">
        <f t="shared" si="28"/>
        <v>180</v>
      </c>
      <c r="P80" s="56" t="e">
        <f t="shared" si="20"/>
        <v>#REF!</v>
      </c>
      <c r="Q80" s="56" t="e">
        <f t="shared" si="21"/>
        <v>#REF!</v>
      </c>
      <c r="R80" s="57" t="e">
        <f t="shared" si="22"/>
        <v>#REF!</v>
      </c>
      <c r="S80" s="52">
        <v>20</v>
      </c>
      <c r="T80" s="16" t="e">
        <f>+SUMIF(#REF!,'Özet Durum'!B80,#REF!)</f>
        <v>#REF!</v>
      </c>
      <c r="U80" s="83" t="e">
        <f t="shared" si="23"/>
        <v>#REF!</v>
      </c>
      <c r="V80" s="70" t="e">
        <f t="shared" si="17"/>
        <v>#REF!</v>
      </c>
      <c r="W80" s="59">
        <v>7716162</v>
      </c>
      <c r="X80" s="55" t="e">
        <f t="shared" si="29"/>
        <v>#REF!</v>
      </c>
      <c r="Y80" s="161">
        <v>1</v>
      </c>
    </row>
    <row r="81" spans="1:25" ht="19.95" hidden="1" customHeight="1" x14ac:dyDescent="0.25">
      <c r="A81" s="15">
        <v>80</v>
      </c>
      <c r="B81" s="53" t="s">
        <v>178</v>
      </c>
      <c r="C81" s="122" t="s">
        <v>177</v>
      </c>
      <c r="D81" s="54" t="s">
        <v>21</v>
      </c>
      <c r="E81" s="54" t="s">
        <v>322</v>
      </c>
      <c r="F81" s="54" t="s">
        <v>16</v>
      </c>
      <c r="G81" s="54" t="s">
        <v>17</v>
      </c>
      <c r="H81" s="54" t="s">
        <v>355</v>
      </c>
      <c r="I81" s="53" t="s">
        <v>320</v>
      </c>
      <c r="J81" s="13" t="e">
        <f t="shared" si="18"/>
        <v>#REF!</v>
      </c>
      <c r="K81" s="55" t="e">
        <f>VLOOKUP(B81,#REF!,2,0)</f>
        <v>#REF!</v>
      </c>
      <c r="L81" s="56" t="e">
        <f t="shared" si="26"/>
        <v>#REF!</v>
      </c>
      <c r="M81" s="55" t="e">
        <f t="shared" si="27"/>
        <v>#REF!</v>
      </c>
      <c r="N81" s="55">
        <v>45371</v>
      </c>
      <c r="O81" s="56">
        <f t="shared" si="28"/>
        <v>180</v>
      </c>
      <c r="P81" s="56" t="e">
        <f t="shared" si="20"/>
        <v>#REF!</v>
      </c>
      <c r="Q81" s="56">
        <f t="shared" si="21"/>
        <v>2024</v>
      </c>
      <c r="R81" s="57" t="e">
        <f t="shared" si="22"/>
        <v>#REF!</v>
      </c>
      <c r="S81" s="52">
        <v>20</v>
      </c>
      <c r="T81" s="16" t="e">
        <f>+SUMIF(#REF!,'Özet Durum'!B81,#REF!)</f>
        <v>#REF!</v>
      </c>
      <c r="U81" s="83" t="e">
        <f t="shared" si="23"/>
        <v>#REF!</v>
      </c>
      <c r="V81" s="70" t="e">
        <f t="shared" si="17"/>
        <v>#REF!</v>
      </c>
      <c r="W81" s="59">
        <v>4349700</v>
      </c>
      <c r="X81" s="55" t="e">
        <f t="shared" si="29"/>
        <v>#REF!</v>
      </c>
      <c r="Y81" s="161">
        <v>1</v>
      </c>
    </row>
    <row r="82" spans="1:25" ht="19.95" hidden="1" customHeight="1" x14ac:dyDescent="0.25">
      <c r="A82" s="15">
        <v>81</v>
      </c>
      <c r="B82" s="53" t="s">
        <v>182</v>
      </c>
      <c r="C82" s="122" t="s">
        <v>358</v>
      </c>
      <c r="D82" s="54" t="s">
        <v>181</v>
      </c>
      <c r="E82" s="54" t="s">
        <v>359</v>
      </c>
      <c r="F82" s="54" t="s">
        <v>179</v>
      </c>
      <c r="G82" s="54" t="s">
        <v>37</v>
      </c>
      <c r="H82" s="54" t="s">
        <v>360</v>
      </c>
      <c r="I82" s="53" t="s">
        <v>320</v>
      </c>
      <c r="J82" s="13" t="e">
        <f t="shared" si="18"/>
        <v>#REF!</v>
      </c>
      <c r="K82" s="55" t="e">
        <f>VLOOKUP(B82,#REF!,2,0)</f>
        <v>#REF!</v>
      </c>
      <c r="L82" s="56" t="e">
        <f t="shared" si="26"/>
        <v>#REF!</v>
      </c>
      <c r="M82" s="55" t="e">
        <f t="shared" si="27"/>
        <v>#REF!</v>
      </c>
      <c r="N82" s="55" t="e">
        <f>VLOOKUP(B82,#REF!,2,0)</f>
        <v>#REF!</v>
      </c>
      <c r="O82" s="56">
        <f t="shared" si="28"/>
        <v>165</v>
      </c>
      <c r="P82" s="56" t="e">
        <f t="shared" si="20"/>
        <v>#REF!</v>
      </c>
      <c r="Q82" s="56" t="e">
        <f t="shared" si="21"/>
        <v>#REF!</v>
      </c>
      <c r="R82" s="57" t="e">
        <f t="shared" si="22"/>
        <v>#REF!</v>
      </c>
      <c r="S82" s="52">
        <v>18</v>
      </c>
      <c r="T82" s="16" t="e">
        <f>+SUMIF(#REF!,'Özet Durum'!B82,#REF!)</f>
        <v>#REF!</v>
      </c>
      <c r="U82" s="83" t="e">
        <f t="shared" si="23"/>
        <v>#REF!</v>
      </c>
      <c r="V82" s="70" t="e">
        <f t="shared" si="17"/>
        <v>#REF!</v>
      </c>
      <c r="W82" s="59">
        <v>0</v>
      </c>
      <c r="X82" s="55" t="e">
        <f t="shared" si="29"/>
        <v>#REF!</v>
      </c>
      <c r="Y82" s="161">
        <v>0.57999999999999996</v>
      </c>
    </row>
    <row r="83" spans="1:25" ht="19.95" hidden="1" customHeight="1" x14ac:dyDescent="0.25">
      <c r="A83" s="15">
        <v>82</v>
      </c>
      <c r="B83" s="53" t="s">
        <v>180</v>
      </c>
      <c r="C83" s="122" t="s">
        <v>361</v>
      </c>
      <c r="D83" s="54" t="s">
        <v>181</v>
      </c>
      <c r="E83" s="54" t="s">
        <v>362</v>
      </c>
      <c r="F83" s="54" t="s">
        <v>179</v>
      </c>
      <c r="G83" s="54" t="s">
        <v>37</v>
      </c>
      <c r="H83" s="54" t="s">
        <v>360</v>
      </c>
      <c r="I83" s="53" t="s">
        <v>320</v>
      </c>
      <c r="J83" s="13" t="e">
        <f t="shared" si="18"/>
        <v>#REF!</v>
      </c>
      <c r="K83" s="55" t="e">
        <f>VLOOKUP(B83,#REF!,2,0)</f>
        <v>#REF!</v>
      </c>
      <c r="L83" s="56" t="e">
        <f t="shared" si="26"/>
        <v>#REF!</v>
      </c>
      <c r="M83" s="55" t="e">
        <f t="shared" si="27"/>
        <v>#REF!</v>
      </c>
      <c r="N83" s="55" t="e">
        <f>VLOOKUP(B83,#REF!,2,0)</f>
        <v>#REF!</v>
      </c>
      <c r="O83" s="56">
        <f t="shared" si="28"/>
        <v>150</v>
      </c>
      <c r="P83" s="56" t="e">
        <f t="shared" si="20"/>
        <v>#REF!</v>
      </c>
      <c r="Q83" s="56" t="e">
        <f t="shared" si="21"/>
        <v>#REF!</v>
      </c>
      <c r="R83" s="57" t="e">
        <f t="shared" si="22"/>
        <v>#REF!</v>
      </c>
      <c r="S83" s="52">
        <v>16</v>
      </c>
      <c r="T83" s="16" t="e">
        <f>+SUMIF(#REF!,'Özet Durum'!B83,#REF!)</f>
        <v>#REF!</v>
      </c>
      <c r="U83" s="83" t="e">
        <f t="shared" si="23"/>
        <v>#REF!</v>
      </c>
      <c r="V83" s="70" t="e">
        <f t="shared" si="17"/>
        <v>#REF!</v>
      </c>
      <c r="W83" s="59">
        <v>0</v>
      </c>
      <c r="X83" s="55" t="e">
        <f t="shared" si="29"/>
        <v>#REF!</v>
      </c>
      <c r="Y83" s="161">
        <v>0.42</v>
      </c>
    </row>
    <row r="84" spans="1:25" ht="19.95" hidden="1" customHeight="1" x14ac:dyDescent="0.25">
      <c r="A84" s="15">
        <v>83</v>
      </c>
      <c r="B84" s="54" t="s">
        <v>188</v>
      </c>
      <c r="C84" s="122" t="s">
        <v>187</v>
      </c>
      <c r="D84" s="54" t="s">
        <v>74</v>
      </c>
      <c r="E84" s="54" t="s">
        <v>363</v>
      </c>
      <c r="F84" s="54" t="s">
        <v>185</v>
      </c>
      <c r="G84" s="54" t="s">
        <v>37</v>
      </c>
      <c r="H84" s="54" t="s">
        <v>364</v>
      </c>
      <c r="I84" s="53" t="s">
        <v>320</v>
      </c>
      <c r="J84" s="140" t="e">
        <f t="shared" si="18"/>
        <v>#REF!</v>
      </c>
      <c r="K84" s="55" t="e">
        <f>VLOOKUP(B84,#REF!,2,0)</f>
        <v>#REF!</v>
      </c>
      <c r="L84" s="56" t="e">
        <f t="shared" si="26"/>
        <v>#REF!</v>
      </c>
      <c r="M84" s="55" t="e">
        <f t="shared" si="27"/>
        <v>#REF!</v>
      </c>
      <c r="N84" s="55" t="e">
        <f>VLOOKUP(B84,#REF!,2,0)</f>
        <v>#REF!</v>
      </c>
      <c r="O84" s="56">
        <f t="shared" si="28"/>
        <v>157.5</v>
      </c>
      <c r="P84" s="56" t="e">
        <f t="shared" si="20"/>
        <v>#REF!</v>
      </c>
      <c r="Q84" s="56" t="e">
        <f t="shared" si="21"/>
        <v>#REF!</v>
      </c>
      <c r="R84" s="57" t="e">
        <f t="shared" si="22"/>
        <v>#REF!</v>
      </c>
      <c r="S84" s="52">
        <v>17</v>
      </c>
      <c r="T84" s="16" t="e">
        <f>+SUMIF(#REF!,'Özet Durum'!B84,#REF!)</f>
        <v>#REF!</v>
      </c>
      <c r="U84" s="83" t="e">
        <f t="shared" si="23"/>
        <v>#REF!</v>
      </c>
      <c r="V84" s="70" t="e">
        <f t="shared" si="17"/>
        <v>#REF!</v>
      </c>
      <c r="W84" s="59">
        <v>0</v>
      </c>
      <c r="X84" s="55" t="e">
        <f t="shared" si="29"/>
        <v>#REF!</v>
      </c>
      <c r="Y84" s="161"/>
    </row>
    <row r="85" spans="1:25" ht="19.95" hidden="1" customHeight="1" x14ac:dyDescent="0.25">
      <c r="A85" s="15">
        <v>84</v>
      </c>
      <c r="B85" s="54" t="s">
        <v>186</v>
      </c>
      <c r="C85" s="122" t="s">
        <v>365</v>
      </c>
      <c r="D85" s="54" t="s">
        <v>21</v>
      </c>
      <c r="E85" s="63" t="s">
        <v>352</v>
      </c>
      <c r="F85" s="54" t="s">
        <v>185</v>
      </c>
      <c r="G85" s="54" t="s">
        <v>37</v>
      </c>
      <c r="H85" s="54" t="s">
        <v>364</v>
      </c>
      <c r="I85" s="53" t="s">
        <v>320</v>
      </c>
      <c r="J85" s="13" t="e">
        <f t="shared" si="18"/>
        <v>#REF!</v>
      </c>
      <c r="K85" s="55" t="e">
        <f>VLOOKUP(B85,#REF!,2,0)</f>
        <v>#REF!</v>
      </c>
      <c r="L85" s="56" t="e">
        <f t="shared" si="26"/>
        <v>#REF!</v>
      </c>
      <c r="M85" s="55" t="e">
        <f t="shared" si="27"/>
        <v>#REF!</v>
      </c>
      <c r="N85" s="55" t="e">
        <f>VLOOKUP(B85,#REF!,2,0)</f>
        <v>#REF!</v>
      </c>
      <c r="O85" s="56">
        <f t="shared" si="28"/>
        <v>180</v>
      </c>
      <c r="P85" s="56" t="e">
        <f t="shared" si="20"/>
        <v>#REF!</v>
      </c>
      <c r="Q85" s="56" t="e">
        <f t="shared" si="21"/>
        <v>#REF!</v>
      </c>
      <c r="R85" s="57" t="e">
        <f t="shared" si="22"/>
        <v>#REF!</v>
      </c>
      <c r="S85" s="52">
        <v>20</v>
      </c>
      <c r="T85" s="16" t="e">
        <f>+SUMIF(#REF!,'Özet Durum'!B85,#REF!)</f>
        <v>#REF!</v>
      </c>
      <c r="U85" s="83" t="e">
        <f t="shared" si="23"/>
        <v>#REF!</v>
      </c>
      <c r="V85" s="70" t="e">
        <f t="shared" si="17"/>
        <v>#REF!</v>
      </c>
      <c r="W85" s="153">
        <v>0</v>
      </c>
      <c r="X85" s="55" t="e">
        <f t="shared" si="29"/>
        <v>#REF!</v>
      </c>
      <c r="Y85" s="161"/>
    </row>
    <row r="86" spans="1:25" ht="19.95" hidden="1" customHeight="1" x14ac:dyDescent="0.25">
      <c r="A86" s="15">
        <v>85</v>
      </c>
      <c r="B86" s="54" t="s">
        <v>184</v>
      </c>
      <c r="C86" s="122" t="s">
        <v>366</v>
      </c>
      <c r="D86" s="54" t="s">
        <v>21</v>
      </c>
      <c r="E86" s="54" t="s">
        <v>322</v>
      </c>
      <c r="F86" s="54" t="s">
        <v>66</v>
      </c>
      <c r="G86" s="54" t="s">
        <v>37</v>
      </c>
      <c r="H86" s="54" t="s">
        <v>364</v>
      </c>
      <c r="I86" s="53" t="s">
        <v>320</v>
      </c>
      <c r="J86" s="13" t="e">
        <f t="shared" si="18"/>
        <v>#REF!</v>
      </c>
      <c r="K86" s="55" t="e">
        <f>VLOOKUP(B86,#REF!,2,0)</f>
        <v>#REF!</v>
      </c>
      <c r="L86" s="56" t="e">
        <f t="shared" si="26"/>
        <v>#REF!</v>
      </c>
      <c r="M86" s="55" t="e">
        <f t="shared" si="27"/>
        <v>#REF!</v>
      </c>
      <c r="N86" s="55" t="e">
        <f>VLOOKUP(B86,#REF!,2,0)</f>
        <v>#REF!</v>
      </c>
      <c r="O86" s="56">
        <f t="shared" si="28"/>
        <v>86.25</v>
      </c>
      <c r="P86" s="56" t="e">
        <f t="shared" si="20"/>
        <v>#REF!</v>
      </c>
      <c r="Q86" s="56" t="e">
        <f t="shared" si="21"/>
        <v>#REF!</v>
      </c>
      <c r="R86" s="57" t="e">
        <f t="shared" si="22"/>
        <v>#REF!</v>
      </c>
      <c r="S86" s="52">
        <v>7.5</v>
      </c>
      <c r="T86" s="16" t="e">
        <f>+SUMIF(#REF!,'Özet Durum'!B86,#REF!)</f>
        <v>#REF!</v>
      </c>
      <c r="U86" s="83" t="e">
        <f t="shared" si="23"/>
        <v>#REF!</v>
      </c>
      <c r="V86" s="70" t="e">
        <f t="shared" si="17"/>
        <v>#REF!</v>
      </c>
      <c r="W86" s="59">
        <v>0</v>
      </c>
      <c r="X86" s="55" t="e">
        <f t="shared" si="29"/>
        <v>#REF!</v>
      </c>
      <c r="Y86" s="161"/>
    </row>
    <row r="87" spans="1:25" ht="19.95" hidden="1" customHeight="1" x14ac:dyDescent="0.25">
      <c r="A87" s="15">
        <v>86</v>
      </c>
      <c r="B87" s="78" t="s">
        <v>193</v>
      </c>
      <c r="C87" s="127" t="s">
        <v>192</v>
      </c>
      <c r="D87" s="54" t="s">
        <v>21</v>
      </c>
      <c r="E87" s="54" t="s">
        <v>324</v>
      </c>
      <c r="F87" s="54" t="s">
        <v>174</v>
      </c>
      <c r="G87" s="80" t="s">
        <v>17</v>
      </c>
      <c r="H87" s="54" t="s">
        <v>364</v>
      </c>
      <c r="I87" s="82" t="s">
        <v>320</v>
      </c>
      <c r="J87" s="13" t="e">
        <f t="shared" si="18"/>
        <v>#REF!</v>
      </c>
      <c r="K87" s="55" t="e">
        <f>VLOOKUP(B87,#REF!,2,0)</f>
        <v>#REF!</v>
      </c>
      <c r="L87" s="56" t="e">
        <f t="shared" si="26"/>
        <v>#REF!</v>
      </c>
      <c r="M87" s="55" t="e">
        <f t="shared" si="27"/>
        <v>#REF!</v>
      </c>
      <c r="N87" s="55" t="e">
        <f>VLOOKUP(B87,#REF!,2,0)</f>
        <v>#REF!</v>
      </c>
      <c r="O87" s="56">
        <f t="shared" si="28"/>
        <v>180</v>
      </c>
      <c r="P87" s="56" t="e">
        <f t="shared" si="20"/>
        <v>#REF!</v>
      </c>
      <c r="Q87" s="56" t="e">
        <f t="shared" si="21"/>
        <v>#REF!</v>
      </c>
      <c r="R87" s="57" t="e">
        <f t="shared" si="22"/>
        <v>#REF!</v>
      </c>
      <c r="S87" s="52">
        <v>20</v>
      </c>
      <c r="T87" s="16" t="e">
        <f>+SUMIF(#REF!,'Özet Durum'!B87,#REF!)</f>
        <v>#REF!</v>
      </c>
      <c r="U87" s="83" t="e">
        <f t="shared" si="23"/>
        <v>#REF!</v>
      </c>
      <c r="V87" s="70" t="e">
        <f t="shared" si="17"/>
        <v>#REF!</v>
      </c>
      <c r="W87" s="59">
        <v>3224000</v>
      </c>
      <c r="X87" s="55" t="e">
        <f t="shared" si="29"/>
        <v>#REF!</v>
      </c>
      <c r="Y87" s="161">
        <v>0.98</v>
      </c>
    </row>
    <row r="88" spans="1:25" ht="19.95" hidden="1" customHeight="1" x14ac:dyDescent="0.25">
      <c r="A88" s="15">
        <v>87</v>
      </c>
      <c r="B88" s="79" t="s">
        <v>194</v>
      </c>
      <c r="C88" s="122" t="s">
        <v>92</v>
      </c>
      <c r="D88" s="54" t="s">
        <v>21</v>
      </c>
      <c r="E88" s="53" t="s">
        <v>321</v>
      </c>
      <c r="F88" s="54" t="s">
        <v>16</v>
      </c>
      <c r="G88" s="81" t="s">
        <v>17</v>
      </c>
      <c r="H88" s="77"/>
      <c r="I88" s="79" t="s">
        <v>123</v>
      </c>
      <c r="J88" s="13" t="e">
        <f t="shared" si="18"/>
        <v>#REF!</v>
      </c>
      <c r="K88" s="55" t="e">
        <f>VLOOKUP(B88,#REF!,2,0)</f>
        <v>#REF!</v>
      </c>
      <c r="L88" s="56" t="e">
        <f t="shared" si="26"/>
        <v>#REF!</v>
      </c>
      <c r="M88" s="55" t="e">
        <f t="shared" si="27"/>
        <v>#REF!</v>
      </c>
      <c r="N88" s="55">
        <v>45510</v>
      </c>
      <c r="O88" s="56">
        <v>300</v>
      </c>
      <c r="P88" s="56" t="e">
        <f t="shared" ref="P88:P89" si="30">+N88-K88</f>
        <v>#REF!</v>
      </c>
      <c r="Q88" s="56">
        <f t="shared" si="21"/>
        <v>2024</v>
      </c>
      <c r="R88" s="57" t="e">
        <f t="shared" si="22"/>
        <v>#REF!</v>
      </c>
      <c r="S88" s="52">
        <v>20</v>
      </c>
      <c r="T88" s="16" t="e">
        <f>+SUMIF(#REF!,'Özet Durum'!B88,#REF!)</f>
        <v>#REF!</v>
      </c>
      <c r="U88" s="83" t="e">
        <f t="shared" si="23"/>
        <v>#REF!</v>
      </c>
      <c r="V88" s="70" t="e">
        <f t="shared" si="17"/>
        <v>#REF!</v>
      </c>
      <c r="W88" s="157">
        <v>9000000</v>
      </c>
      <c r="X88" s="55" t="e">
        <f t="shared" si="29"/>
        <v>#REF!</v>
      </c>
      <c r="Y88" s="161">
        <v>1</v>
      </c>
    </row>
    <row r="89" spans="1:25" ht="19.95" hidden="1" customHeight="1" x14ac:dyDescent="0.25">
      <c r="A89" s="15">
        <v>88</v>
      </c>
      <c r="B89" s="78" t="s">
        <v>197</v>
      </c>
      <c r="C89" s="127" t="s">
        <v>196</v>
      </c>
      <c r="D89" s="54" t="s">
        <v>21</v>
      </c>
      <c r="E89" s="54" t="s">
        <v>352</v>
      </c>
      <c r="F89" s="54" t="s">
        <v>195</v>
      </c>
      <c r="G89" s="80" t="s">
        <v>37</v>
      </c>
      <c r="H89" s="54" t="s">
        <v>367</v>
      </c>
      <c r="I89" s="82" t="s">
        <v>320</v>
      </c>
      <c r="J89" s="13" t="e">
        <f t="shared" si="18"/>
        <v>#REF!</v>
      </c>
      <c r="K89" s="55" t="e">
        <f>VLOOKUP(B89,#REF!,2,0)</f>
        <v>#REF!</v>
      </c>
      <c r="L89" s="56" t="e">
        <f t="shared" si="26"/>
        <v>#REF!</v>
      </c>
      <c r="M89" s="55" t="e">
        <f t="shared" si="27"/>
        <v>#REF!</v>
      </c>
      <c r="N89" s="55" t="e">
        <f>VLOOKUP(B89,#REF!,2,0)</f>
        <v>#REF!</v>
      </c>
      <c r="O89" s="56">
        <f t="shared" si="28"/>
        <v>180</v>
      </c>
      <c r="P89" s="56" t="e">
        <f t="shared" si="30"/>
        <v>#REF!</v>
      </c>
      <c r="Q89" s="56" t="e">
        <f t="shared" ref="Q89" si="31">+YEAR(N89)</f>
        <v>#REF!</v>
      </c>
      <c r="R89" s="57" t="e">
        <f t="shared" ref="R89:R90" si="32">IF(P89&lt;O89,1,1-(ABS(O89-P89)/O89))</f>
        <v>#REF!</v>
      </c>
      <c r="S89" s="52">
        <v>20</v>
      </c>
      <c r="T89" s="16" t="e">
        <f>+SUMIF(#REF!,'Özet Durum'!B89,#REF!)</f>
        <v>#REF!</v>
      </c>
      <c r="U89" s="83" t="e">
        <f t="shared" ref="U89:U90" si="33">+S89-T89</f>
        <v>#REF!</v>
      </c>
      <c r="V89" s="70" t="e">
        <f t="shared" ref="V89:V90" si="34">+T89/S89</f>
        <v>#REF!</v>
      </c>
      <c r="W89" s="153">
        <v>0</v>
      </c>
      <c r="X89" s="55" t="e">
        <f t="shared" si="29"/>
        <v>#REF!</v>
      </c>
      <c r="Y89" s="161">
        <v>0.91</v>
      </c>
    </row>
    <row r="90" spans="1:25" ht="19.95" hidden="1" customHeight="1" x14ac:dyDescent="0.25">
      <c r="A90" s="15">
        <v>89</v>
      </c>
      <c r="B90" s="71" t="s">
        <v>198</v>
      </c>
      <c r="C90" s="127" t="s">
        <v>368</v>
      </c>
      <c r="D90" s="54" t="s">
        <v>21</v>
      </c>
      <c r="E90" s="54" t="s">
        <v>321</v>
      </c>
      <c r="F90" s="54" t="s">
        <v>66</v>
      </c>
      <c r="G90" s="80" t="s">
        <v>37</v>
      </c>
      <c r="H90" s="54" t="s">
        <v>367</v>
      </c>
      <c r="I90" s="82" t="s">
        <v>320</v>
      </c>
      <c r="J90" s="13" t="e">
        <f t="shared" si="18"/>
        <v>#REF!</v>
      </c>
      <c r="K90" s="55" t="e">
        <f>VLOOKUP(B90,#REF!,2,0)</f>
        <v>#REF!</v>
      </c>
      <c r="L90" s="56" t="e">
        <f t="shared" ref="L90" si="35">YEAR(K90)</f>
        <v>#REF!</v>
      </c>
      <c r="M90" s="55" t="e">
        <f t="shared" si="27"/>
        <v>#REF!</v>
      </c>
      <c r="N90" s="55" t="e">
        <f>VLOOKUP(B90,#REF!,2,0)</f>
        <v>#REF!</v>
      </c>
      <c r="O90" s="56">
        <f t="shared" si="28"/>
        <v>180</v>
      </c>
      <c r="P90" s="56" t="e">
        <f t="shared" ref="P90:P110" si="36">+N90-K90</f>
        <v>#REF!</v>
      </c>
      <c r="Q90" s="56" t="e">
        <f t="shared" ref="Q90" si="37">+YEAR(N90)</f>
        <v>#REF!</v>
      </c>
      <c r="R90" s="57" t="e">
        <f t="shared" si="32"/>
        <v>#REF!</v>
      </c>
      <c r="S90" s="52">
        <v>20</v>
      </c>
      <c r="T90" s="16" t="e">
        <f>+SUMIF(#REF!,'Özet Durum'!B90,#REF!)</f>
        <v>#REF!</v>
      </c>
      <c r="U90" s="83" t="e">
        <f t="shared" si="33"/>
        <v>#REF!</v>
      </c>
      <c r="V90" s="70" t="e">
        <f t="shared" si="34"/>
        <v>#REF!</v>
      </c>
      <c r="W90" s="59">
        <v>2032800</v>
      </c>
      <c r="X90" s="55" t="e">
        <f t="shared" si="29"/>
        <v>#REF!</v>
      </c>
      <c r="Y90" s="161"/>
    </row>
    <row r="91" spans="1:25" ht="19.95" hidden="1" customHeight="1" x14ac:dyDescent="0.25">
      <c r="A91" s="15">
        <v>90</v>
      </c>
      <c r="B91" s="54" t="s">
        <v>199</v>
      </c>
      <c r="C91" s="124" t="s">
        <v>149</v>
      </c>
      <c r="D91" s="53" t="s">
        <v>21</v>
      </c>
      <c r="E91" s="53" t="s">
        <v>349</v>
      </c>
      <c r="F91" s="53" t="s">
        <v>16</v>
      </c>
      <c r="G91" s="54" t="s">
        <v>17</v>
      </c>
      <c r="H91" s="54"/>
      <c r="I91" s="78" t="s">
        <v>123</v>
      </c>
      <c r="J91" s="13" t="e">
        <f t="shared" si="18"/>
        <v>#REF!</v>
      </c>
      <c r="K91" s="55" t="e">
        <f>VLOOKUP(B91,#REF!,2,0)</f>
        <v>#REF!</v>
      </c>
      <c r="L91" s="56" t="e">
        <f>YEAR(K91)</f>
        <v>#REF!</v>
      </c>
      <c r="M91" s="55" t="e">
        <f t="shared" si="27"/>
        <v>#REF!</v>
      </c>
      <c r="N91" s="55">
        <v>45552</v>
      </c>
      <c r="O91" s="56">
        <v>300</v>
      </c>
      <c r="P91" s="56" t="e">
        <f t="shared" si="36"/>
        <v>#REF!</v>
      </c>
      <c r="Q91" s="56">
        <f>+YEAR(N91)</f>
        <v>2024</v>
      </c>
      <c r="R91" s="57" t="e">
        <f>IF(P91&lt;O91,1,1-(ABS(O91-P91)/O91))</f>
        <v>#REF!</v>
      </c>
      <c r="S91" s="52">
        <v>20</v>
      </c>
      <c r="T91" s="16" t="e">
        <f>+SUMIF(#REF!,'Özet Durum'!B91,#REF!)</f>
        <v>#REF!</v>
      </c>
      <c r="U91" s="83" t="e">
        <f>+S91-T91</f>
        <v>#REF!</v>
      </c>
      <c r="V91" s="70" t="e">
        <f>+T91/S91</f>
        <v>#REF!</v>
      </c>
      <c r="W91" s="157">
        <v>7142344</v>
      </c>
      <c r="X91" s="55" t="e">
        <f t="shared" si="29"/>
        <v>#REF!</v>
      </c>
      <c r="Y91" s="161">
        <v>1</v>
      </c>
    </row>
    <row r="92" spans="1:25" ht="19.95" hidden="1" customHeight="1" x14ac:dyDescent="0.25">
      <c r="A92" s="15">
        <v>91</v>
      </c>
      <c r="B92" s="54" t="s">
        <v>201</v>
      </c>
      <c r="C92" s="122" t="s">
        <v>200</v>
      </c>
      <c r="D92" s="54" t="s">
        <v>74</v>
      </c>
      <c r="E92" s="54" t="s">
        <v>324</v>
      </c>
      <c r="F92" s="54" t="s">
        <v>195</v>
      </c>
      <c r="G92" s="80" t="s">
        <v>37</v>
      </c>
      <c r="H92" s="54" t="s">
        <v>369</v>
      </c>
      <c r="I92" s="82" t="s">
        <v>320</v>
      </c>
      <c r="J92" s="13" t="e">
        <f t="shared" si="18"/>
        <v>#REF!</v>
      </c>
      <c r="K92" s="55" t="e">
        <f>VLOOKUP(B92,#REF!,2,0)</f>
        <v>#REF!</v>
      </c>
      <c r="L92" s="56" t="e">
        <f t="shared" ref="L92:L96" si="38">YEAR(K92)</f>
        <v>#REF!</v>
      </c>
      <c r="M92" s="55" t="e">
        <f t="shared" si="27"/>
        <v>#REF!</v>
      </c>
      <c r="N92" s="55" t="e">
        <f>VLOOKUP(B92,#REF!,2,0)</f>
        <v>#REF!</v>
      </c>
      <c r="O92" s="56">
        <f t="shared" si="28"/>
        <v>97.5</v>
      </c>
      <c r="P92" s="56" t="e">
        <f t="shared" si="36"/>
        <v>#REF!</v>
      </c>
      <c r="Q92" s="56" t="e">
        <f t="shared" ref="Q92:Q95" si="39">+YEAR(N92)</f>
        <v>#REF!</v>
      </c>
      <c r="R92" s="57" t="e">
        <f t="shared" ref="R92:R95" si="40">IF(P92&lt;O92,1,1-(ABS(O92-P92)/O92))</f>
        <v>#REF!</v>
      </c>
      <c r="S92" s="52">
        <v>9</v>
      </c>
      <c r="T92" s="16" t="e">
        <f>+SUMIF(#REF!,'Özet Durum'!B92,#REF!)</f>
        <v>#REF!</v>
      </c>
      <c r="U92" s="83" t="e">
        <f t="shared" ref="U92:U95" si="41">+S92-T92</f>
        <v>#REF!</v>
      </c>
      <c r="V92" s="70" t="e">
        <f t="shared" ref="V92:V95" si="42">+T92/S92</f>
        <v>#REF!</v>
      </c>
      <c r="W92" s="59">
        <v>3411000</v>
      </c>
      <c r="X92" s="55" t="e">
        <f t="shared" ref="X92:X103" si="43">IF(T92&lt;S92/2," ",IF(T92=S92/2,"1.Anket Zamanı Geldi",IF(T92&gt;S92/2,"2.Anket Zamanı Geldi")))</f>
        <v>#REF!</v>
      </c>
      <c r="Y92" s="161">
        <v>0.97</v>
      </c>
    </row>
    <row r="93" spans="1:25" ht="19.95" hidden="1" customHeight="1" x14ac:dyDescent="0.25">
      <c r="A93" s="15">
        <v>92</v>
      </c>
      <c r="B93" s="54" t="s">
        <v>219</v>
      </c>
      <c r="C93" s="122" t="s">
        <v>218</v>
      </c>
      <c r="D93" s="54" t="s">
        <v>81</v>
      </c>
      <c r="E93" s="54" t="s">
        <v>330</v>
      </c>
      <c r="F93" s="54" t="s">
        <v>215</v>
      </c>
      <c r="G93" s="80" t="s">
        <v>37</v>
      </c>
      <c r="H93" s="54" t="s">
        <v>369</v>
      </c>
      <c r="I93" s="82" t="s">
        <v>320</v>
      </c>
      <c r="J93" s="13" t="e">
        <f t="shared" si="18"/>
        <v>#REF!</v>
      </c>
      <c r="K93" s="55" t="e">
        <f>VLOOKUP(B93,#REF!,2,0)</f>
        <v>#REF!</v>
      </c>
      <c r="L93" s="56" t="e">
        <f t="shared" si="38"/>
        <v>#REF!</v>
      </c>
      <c r="M93" s="55" t="e">
        <f t="shared" si="27"/>
        <v>#REF!</v>
      </c>
      <c r="N93" s="55" t="e">
        <f>VLOOKUP(B93,#REF!,2,0)</f>
        <v>#REF!</v>
      </c>
      <c r="O93" s="56">
        <f t="shared" si="28"/>
        <v>97.5</v>
      </c>
      <c r="P93" s="56" t="e">
        <f t="shared" si="36"/>
        <v>#REF!</v>
      </c>
      <c r="Q93" s="56" t="e">
        <f t="shared" si="39"/>
        <v>#REF!</v>
      </c>
      <c r="R93" s="57" t="e">
        <f t="shared" si="40"/>
        <v>#REF!</v>
      </c>
      <c r="S93" s="52">
        <v>9</v>
      </c>
      <c r="T93" s="16" t="e">
        <f>+SUMIF(#REF!,'Özet Durum'!B93,#REF!)</f>
        <v>#REF!</v>
      </c>
      <c r="U93" s="83" t="e">
        <f t="shared" si="41"/>
        <v>#REF!</v>
      </c>
      <c r="V93" s="70" t="e">
        <f t="shared" si="42"/>
        <v>#REF!</v>
      </c>
      <c r="W93" s="59">
        <v>2019000</v>
      </c>
      <c r="X93" s="55" t="e">
        <f t="shared" si="43"/>
        <v>#REF!</v>
      </c>
      <c r="Y93" s="161"/>
    </row>
    <row r="94" spans="1:25" ht="19.95" hidden="1" customHeight="1" x14ac:dyDescent="0.25">
      <c r="A94" s="15">
        <v>93</v>
      </c>
      <c r="B94" s="54" t="s">
        <v>206</v>
      </c>
      <c r="C94" s="122" t="s">
        <v>205</v>
      </c>
      <c r="D94" s="54" t="s">
        <v>207</v>
      </c>
      <c r="E94" s="54" t="s">
        <v>348</v>
      </c>
      <c r="F94" s="54" t="s">
        <v>204</v>
      </c>
      <c r="G94" s="54" t="s">
        <v>37</v>
      </c>
      <c r="H94" s="54" t="s">
        <v>369</v>
      </c>
      <c r="I94" s="53" t="s">
        <v>320</v>
      </c>
      <c r="J94" s="13" t="e">
        <f t="shared" si="18"/>
        <v>#REF!</v>
      </c>
      <c r="K94" s="55" t="e">
        <f>VLOOKUP(B94,#REF!,2,0)</f>
        <v>#REF!</v>
      </c>
      <c r="L94" s="56" t="e">
        <f t="shared" si="38"/>
        <v>#REF!</v>
      </c>
      <c r="M94" s="55" t="e">
        <f t="shared" si="27"/>
        <v>#REF!</v>
      </c>
      <c r="N94" s="55" t="e">
        <f>VLOOKUP(B94,#REF!,2,0)</f>
        <v>#REF!</v>
      </c>
      <c r="O94" s="56">
        <f t="shared" si="28"/>
        <v>105</v>
      </c>
      <c r="P94" s="56" t="e">
        <f t="shared" si="36"/>
        <v>#REF!</v>
      </c>
      <c r="Q94" s="56" t="e">
        <f t="shared" si="39"/>
        <v>#REF!</v>
      </c>
      <c r="R94" s="57" t="e">
        <f t="shared" si="40"/>
        <v>#REF!</v>
      </c>
      <c r="S94" s="52">
        <v>10</v>
      </c>
      <c r="T94" s="16" t="e">
        <f>+SUMIF(#REF!,'Özet Durum'!B94,#REF!)</f>
        <v>#REF!</v>
      </c>
      <c r="U94" s="83" t="e">
        <f t="shared" si="41"/>
        <v>#REF!</v>
      </c>
      <c r="V94" s="70" t="e">
        <f t="shared" si="42"/>
        <v>#REF!</v>
      </c>
      <c r="W94" s="59">
        <v>17237600</v>
      </c>
      <c r="X94" s="55" t="e">
        <f t="shared" si="43"/>
        <v>#REF!</v>
      </c>
      <c r="Y94" s="161">
        <v>0.93</v>
      </c>
    </row>
    <row r="95" spans="1:25" ht="19.95" hidden="1" customHeight="1" x14ac:dyDescent="0.25">
      <c r="A95" s="15">
        <v>94</v>
      </c>
      <c r="B95" s="54" t="s">
        <v>203</v>
      </c>
      <c r="C95" s="122" t="s">
        <v>202</v>
      </c>
      <c r="D95" s="54" t="s">
        <v>74</v>
      </c>
      <c r="E95" s="54" t="s">
        <v>370</v>
      </c>
      <c r="F95" s="54" t="s">
        <v>185</v>
      </c>
      <c r="G95" s="54" t="s">
        <v>37</v>
      </c>
      <c r="H95" s="54" t="s">
        <v>369</v>
      </c>
      <c r="I95" s="53" t="s">
        <v>320</v>
      </c>
      <c r="J95" s="13" t="e">
        <f t="shared" si="18"/>
        <v>#REF!</v>
      </c>
      <c r="K95" s="55" t="e">
        <f>VLOOKUP(B95,#REF!,2,0)</f>
        <v>#REF!</v>
      </c>
      <c r="L95" s="56" t="e">
        <f t="shared" si="38"/>
        <v>#REF!</v>
      </c>
      <c r="M95" s="55" t="e">
        <f t="shared" si="27"/>
        <v>#REF!</v>
      </c>
      <c r="N95" s="55" t="e">
        <f>VLOOKUP(B95,#REF!,2,0)</f>
        <v>#REF!</v>
      </c>
      <c r="O95" s="56">
        <f t="shared" si="28"/>
        <v>97.5</v>
      </c>
      <c r="P95" s="56" t="e">
        <f t="shared" si="36"/>
        <v>#REF!</v>
      </c>
      <c r="Q95" s="56" t="e">
        <f t="shared" si="39"/>
        <v>#REF!</v>
      </c>
      <c r="R95" s="57" t="e">
        <f t="shared" si="40"/>
        <v>#REF!</v>
      </c>
      <c r="S95" s="52">
        <v>9</v>
      </c>
      <c r="T95" s="16" t="e">
        <f>+SUMIF(#REF!,'Özet Durum'!B95,#REF!)</f>
        <v>#REF!</v>
      </c>
      <c r="U95" s="83" t="e">
        <f t="shared" si="41"/>
        <v>#REF!</v>
      </c>
      <c r="V95" s="70" t="e">
        <f t="shared" si="42"/>
        <v>#REF!</v>
      </c>
      <c r="W95" s="153">
        <v>0</v>
      </c>
      <c r="X95" s="55" t="e">
        <f t="shared" si="43"/>
        <v>#REF!</v>
      </c>
      <c r="Y95" s="161"/>
    </row>
    <row r="96" spans="1:25" ht="19.95" hidden="1" customHeight="1" x14ac:dyDescent="0.25">
      <c r="A96" s="15">
        <v>95</v>
      </c>
      <c r="B96" s="54" t="s">
        <v>213</v>
      </c>
      <c r="C96" s="122" t="s">
        <v>55</v>
      </c>
      <c r="D96" s="54" t="s">
        <v>57</v>
      </c>
      <c r="E96" s="54" t="s">
        <v>328</v>
      </c>
      <c r="F96" s="87" t="s">
        <v>223</v>
      </c>
      <c r="G96" s="54" t="s">
        <v>17</v>
      </c>
      <c r="H96" s="54"/>
      <c r="I96" s="54" t="s">
        <v>123</v>
      </c>
      <c r="J96" s="13" t="e">
        <f t="shared" si="18"/>
        <v>#REF!</v>
      </c>
      <c r="K96" s="55" t="e">
        <f>VLOOKUP(B96,#REF!,2,0)</f>
        <v>#REF!</v>
      </c>
      <c r="L96" s="56" t="e">
        <f t="shared" si="38"/>
        <v>#REF!</v>
      </c>
      <c r="M96" s="55" t="e">
        <f t="shared" si="27"/>
        <v>#REF!</v>
      </c>
      <c r="N96" s="55" t="e">
        <f>VLOOKUP(B96,#REF!,2,0)</f>
        <v>#REF!</v>
      </c>
      <c r="O96" s="56">
        <v>300</v>
      </c>
      <c r="P96" s="56" t="e">
        <f t="shared" si="36"/>
        <v>#REF!</v>
      </c>
      <c r="Q96" s="56" t="e">
        <f t="shared" ref="Q96:Q101" si="44">+YEAR(N96)</f>
        <v>#REF!</v>
      </c>
      <c r="R96" s="57" t="e">
        <f t="shared" ref="R96:R101" si="45">IF(P96&lt;O96,1,1-(ABS(O96-P96)/O96))</f>
        <v>#REF!</v>
      </c>
      <c r="S96" s="52">
        <v>15</v>
      </c>
      <c r="T96" s="16" t="e">
        <f>+SUMIF(#REF!,'Özet Durum'!B96,#REF!)</f>
        <v>#REF!</v>
      </c>
      <c r="U96" s="83" t="e">
        <f t="shared" ref="U96" si="46">+S96-T96</f>
        <v>#REF!</v>
      </c>
      <c r="V96" s="70" t="e">
        <f t="shared" ref="V96:V120" si="47">+T96/S96</f>
        <v>#REF!</v>
      </c>
      <c r="W96" s="59">
        <v>0</v>
      </c>
      <c r="X96" s="55" t="e">
        <f t="shared" si="43"/>
        <v>#REF!</v>
      </c>
      <c r="Y96" s="161"/>
    </row>
    <row r="97" spans="1:25" ht="19.95" hidden="1" customHeight="1" x14ac:dyDescent="0.25">
      <c r="A97" s="15">
        <v>96</v>
      </c>
      <c r="B97" s="54" t="s">
        <v>217</v>
      </c>
      <c r="C97" s="122" t="s">
        <v>216</v>
      </c>
      <c r="D97" s="54" t="s">
        <v>207</v>
      </c>
      <c r="E97" s="54" t="s">
        <v>328</v>
      </c>
      <c r="F97" s="54" t="s">
        <v>215</v>
      </c>
      <c r="G97" s="54" t="s">
        <v>37</v>
      </c>
      <c r="H97" s="54" t="s">
        <v>371</v>
      </c>
      <c r="I97" s="53" t="s">
        <v>320</v>
      </c>
      <c r="J97" s="13" t="e">
        <f t="shared" si="18"/>
        <v>#REF!</v>
      </c>
      <c r="K97" s="55" t="e">
        <f>VLOOKUP(B97,#REF!,2,0)</f>
        <v>#REF!</v>
      </c>
      <c r="L97" s="56" t="e">
        <f t="shared" ref="L97:L101" si="48">YEAR(K97)</f>
        <v>#REF!</v>
      </c>
      <c r="M97" s="55" t="e">
        <f t="shared" si="27"/>
        <v>#REF!</v>
      </c>
      <c r="N97" s="55" t="e">
        <f>VLOOKUP(B97,#REF!,2,0)</f>
        <v>#REF!</v>
      </c>
      <c r="O97" s="56">
        <f t="shared" si="28"/>
        <v>97.5</v>
      </c>
      <c r="P97" s="56" t="e">
        <f t="shared" si="36"/>
        <v>#REF!</v>
      </c>
      <c r="Q97" s="56" t="e">
        <f t="shared" si="44"/>
        <v>#REF!</v>
      </c>
      <c r="R97" s="57" t="e">
        <f t="shared" si="45"/>
        <v>#REF!</v>
      </c>
      <c r="S97" s="52">
        <v>9</v>
      </c>
      <c r="T97" s="16" t="e">
        <f>+SUMIF(#REF!,'Özet Durum'!B97,#REF!)</f>
        <v>#REF!</v>
      </c>
      <c r="U97" s="83" t="e">
        <f t="shared" ref="U97:U101" si="49">+S97-T97</f>
        <v>#REF!</v>
      </c>
      <c r="V97" s="70" t="e">
        <f t="shared" si="47"/>
        <v>#REF!</v>
      </c>
      <c r="W97" s="59">
        <v>63360000</v>
      </c>
      <c r="X97" s="55" t="e">
        <f t="shared" si="43"/>
        <v>#REF!</v>
      </c>
      <c r="Y97" s="161">
        <v>1</v>
      </c>
    </row>
    <row r="98" spans="1:25" ht="19.95" hidden="1" customHeight="1" x14ac:dyDescent="0.25">
      <c r="A98" s="15">
        <v>97</v>
      </c>
      <c r="B98" s="54" t="s">
        <v>234</v>
      </c>
      <c r="C98" s="122" t="s">
        <v>233</v>
      </c>
      <c r="D98" s="54" t="s">
        <v>210</v>
      </c>
      <c r="E98" s="54" t="s">
        <v>330</v>
      </c>
      <c r="F98" s="54" t="s">
        <v>195</v>
      </c>
      <c r="G98" s="54" t="s">
        <v>37</v>
      </c>
      <c r="H98" s="54" t="s">
        <v>371</v>
      </c>
      <c r="I98" s="53" t="s">
        <v>320</v>
      </c>
      <c r="J98" s="13" t="e">
        <f t="shared" si="18"/>
        <v>#REF!</v>
      </c>
      <c r="K98" s="55" t="e">
        <f>VLOOKUP(B98,#REF!,2,0)</f>
        <v>#REF!</v>
      </c>
      <c r="L98" s="56" t="e">
        <f t="shared" si="48"/>
        <v>#REF!</v>
      </c>
      <c r="M98" s="55" t="e">
        <f t="shared" si="27"/>
        <v>#REF!</v>
      </c>
      <c r="N98" s="55" t="e">
        <f>VLOOKUP(B98,#REF!,2,0)</f>
        <v>#REF!</v>
      </c>
      <c r="O98" s="56">
        <f t="shared" si="28"/>
        <v>97.5</v>
      </c>
      <c r="P98" s="56" t="e">
        <f t="shared" si="36"/>
        <v>#REF!</v>
      </c>
      <c r="Q98" s="56" t="e">
        <f t="shared" si="44"/>
        <v>#REF!</v>
      </c>
      <c r="R98" s="57" t="e">
        <f t="shared" si="45"/>
        <v>#REF!</v>
      </c>
      <c r="S98" s="52">
        <v>9</v>
      </c>
      <c r="T98" s="16" t="e">
        <f>+SUMIF(#REF!,'Özet Durum'!B98,#REF!)</f>
        <v>#REF!</v>
      </c>
      <c r="U98" s="83" t="e">
        <f t="shared" si="49"/>
        <v>#REF!</v>
      </c>
      <c r="V98" s="70" t="e">
        <f t="shared" si="47"/>
        <v>#REF!</v>
      </c>
      <c r="W98" s="153">
        <v>0</v>
      </c>
      <c r="X98" s="55" t="e">
        <f t="shared" si="43"/>
        <v>#REF!</v>
      </c>
      <c r="Y98" s="161">
        <v>0.93</v>
      </c>
    </row>
    <row r="99" spans="1:25" ht="17.399999999999999" hidden="1" customHeight="1" x14ac:dyDescent="0.25">
      <c r="A99" s="15">
        <v>98</v>
      </c>
      <c r="B99" s="54" t="s">
        <v>214</v>
      </c>
      <c r="C99" s="122" t="s">
        <v>372</v>
      </c>
      <c r="D99" s="54" t="s">
        <v>207</v>
      </c>
      <c r="E99" s="54" t="s">
        <v>322</v>
      </c>
      <c r="F99" s="54" t="s">
        <v>195</v>
      </c>
      <c r="G99" s="54" t="s">
        <v>37</v>
      </c>
      <c r="H99" s="54" t="s">
        <v>371</v>
      </c>
      <c r="I99" s="53" t="s">
        <v>320</v>
      </c>
      <c r="J99" s="13" t="e">
        <f t="shared" si="18"/>
        <v>#REF!</v>
      </c>
      <c r="K99" s="55" t="e">
        <f>VLOOKUP(B99,#REF!,2,0)</f>
        <v>#REF!</v>
      </c>
      <c r="L99" s="56" t="e">
        <f t="shared" si="48"/>
        <v>#REF!</v>
      </c>
      <c r="M99" s="55" t="e">
        <f t="shared" si="27"/>
        <v>#REF!</v>
      </c>
      <c r="N99" s="55" t="e">
        <f>VLOOKUP(B99,#REF!,2,0)</f>
        <v>#REF!</v>
      </c>
      <c r="O99" s="56">
        <f t="shared" si="28"/>
        <v>97.5</v>
      </c>
      <c r="P99" s="56" t="e">
        <f t="shared" si="36"/>
        <v>#REF!</v>
      </c>
      <c r="Q99" s="56" t="e">
        <f t="shared" si="44"/>
        <v>#REF!</v>
      </c>
      <c r="R99" s="57" t="e">
        <f t="shared" si="45"/>
        <v>#REF!</v>
      </c>
      <c r="S99" s="52">
        <v>9</v>
      </c>
      <c r="T99" s="16" t="e">
        <f>+SUMIF(#REF!,'Özet Durum'!B99,#REF!)</f>
        <v>#REF!</v>
      </c>
      <c r="U99" s="83" t="e">
        <f t="shared" si="49"/>
        <v>#REF!</v>
      </c>
      <c r="V99" s="70" t="e">
        <f t="shared" si="47"/>
        <v>#REF!</v>
      </c>
      <c r="W99" s="59">
        <v>0</v>
      </c>
      <c r="X99" s="55" t="e">
        <f t="shared" si="43"/>
        <v>#REF!</v>
      </c>
      <c r="Y99" s="161">
        <v>0.88</v>
      </c>
    </row>
    <row r="100" spans="1:25" ht="19.95" hidden="1" customHeight="1" x14ac:dyDescent="0.25">
      <c r="A100" s="15">
        <v>99</v>
      </c>
      <c r="B100" s="54" t="s">
        <v>212</v>
      </c>
      <c r="C100" s="122" t="s">
        <v>211</v>
      </c>
      <c r="D100" s="54" t="s">
        <v>21</v>
      </c>
      <c r="E100" s="54" t="s">
        <v>330</v>
      </c>
      <c r="F100" s="54" t="s">
        <v>204</v>
      </c>
      <c r="G100" s="54" t="s">
        <v>37</v>
      </c>
      <c r="H100" s="54" t="s">
        <v>371</v>
      </c>
      <c r="I100" s="53" t="s">
        <v>320</v>
      </c>
      <c r="J100" s="13" t="e">
        <f t="shared" si="18"/>
        <v>#REF!</v>
      </c>
      <c r="K100" s="55" t="e">
        <f>VLOOKUP(B100,#REF!,2,0)</f>
        <v>#REF!</v>
      </c>
      <c r="L100" s="56" t="e">
        <f t="shared" si="48"/>
        <v>#REF!</v>
      </c>
      <c r="M100" s="55" t="e">
        <f t="shared" si="27"/>
        <v>#REF!</v>
      </c>
      <c r="N100" s="55" t="e">
        <f>VLOOKUP(B100,#REF!,2,0)</f>
        <v>#REF!</v>
      </c>
      <c r="O100" s="56">
        <f t="shared" si="28"/>
        <v>180</v>
      </c>
      <c r="P100" s="56" t="e">
        <f t="shared" si="36"/>
        <v>#REF!</v>
      </c>
      <c r="Q100" s="56" t="e">
        <f t="shared" si="44"/>
        <v>#REF!</v>
      </c>
      <c r="R100" s="57" t="e">
        <f t="shared" si="45"/>
        <v>#REF!</v>
      </c>
      <c r="S100" s="52">
        <v>20</v>
      </c>
      <c r="T100" s="16" t="e">
        <f>+SUMIF(#REF!,'Özet Durum'!B100,#REF!)</f>
        <v>#REF!</v>
      </c>
      <c r="U100" s="83" t="e">
        <f t="shared" si="49"/>
        <v>#REF!</v>
      </c>
      <c r="V100" s="70" t="e">
        <f t="shared" si="47"/>
        <v>#REF!</v>
      </c>
      <c r="W100" s="59">
        <v>88826000</v>
      </c>
      <c r="X100" s="55" t="e">
        <f t="shared" si="43"/>
        <v>#REF!</v>
      </c>
      <c r="Y100" s="161">
        <v>0.93</v>
      </c>
    </row>
    <row r="101" spans="1:25" ht="19.95" hidden="1" customHeight="1" x14ac:dyDescent="0.25">
      <c r="A101" s="15">
        <v>100</v>
      </c>
      <c r="B101" s="54" t="s">
        <v>209</v>
      </c>
      <c r="C101" s="122" t="s">
        <v>208</v>
      </c>
      <c r="D101" s="54" t="s">
        <v>210</v>
      </c>
      <c r="E101" s="54" t="s">
        <v>373</v>
      </c>
      <c r="F101" s="54" t="s">
        <v>174</v>
      </c>
      <c r="G101" s="54" t="s">
        <v>17</v>
      </c>
      <c r="H101" s="54"/>
      <c r="I101" s="53" t="s">
        <v>320</v>
      </c>
      <c r="J101" s="13" t="e">
        <f t="shared" si="18"/>
        <v>#REF!</v>
      </c>
      <c r="K101" s="55" t="e">
        <f>VLOOKUP(B101,#REF!,2,0)</f>
        <v>#REF!</v>
      </c>
      <c r="L101" s="56" t="e">
        <f t="shared" si="48"/>
        <v>#REF!</v>
      </c>
      <c r="M101" s="55" t="e">
        <f t="shared" si="27"/>
        <v>#REF!</v>
      </c>
      <c r="N101" s="55" t="e">
        <f>VLOOKUP(B101,#REF!,2,0)</f>
        <v>#REF!</v>
      </c>
      <c r="O101" s="56">
        <f t="shared" si="28"/>
        <v>97.5</v>
      </c>
      <c r="P101" s="56" t="e">
        <f t="shared" si="36"/>
        <v>#REF!</v>
      </c>
      <c r="Q101" s="56" t="e">
        <f t="shared" si="44"/>
        <v>#REF!</v>
      </c>
      <c r="R101" s="57" t="e">
        <f t="shared" si="45"/>
        <v>#REF!</v>
      </c>
      <c r="S101" s="52">
        <v>9</v>
      </c>
      <c r="T101" s="16" t="e">
        <f>+SUMIF(#REF!,'Özet Durum'!B101,#REF!)</f>
        <v>#REF!</v>
      </c>
      <c r="U101" s="83" t="e">
        <f t="shared" si="49"/>
        <v>#REF!</v>
      </c>
      <c r="V101" s="70" t="e">
        <f t="shared" si="47"/>
        <v>#REF!</v>
      </c>
      <c r="W101" s="59">
        <v>14364000</v>
      </c>
      <c r="X101" s="55" t="e">
        <f t="shared" si="43"/>
        <v>#REF!</v>
      </c>
      <c r="Y101" s="161">
        <v>1</v>
      </c>
    </row>
    <row r="102" spans="1:25" ht="19.95" hidden="1" customHeight="1" x14ac:dyDescent="0.25">
      <c r="A102" s="15">
        <v>101</v>
      </c>
      <c r="B102" s="54" t="s">
        <v>221</v>
      </c>
      <c r="C102" s="122" t="s">
        <v>220</v>
      </c>
      <c r="D102" s="54" t="s">
        <v>21</v>
      </c>
      <c r="E102" s="54" t="s">
        <v>374</v>
      </c>
      <c r="F102" s="54" t="s">
        <v>16</v>
      </c>
      <c r="G102" s="54" t="s">
        <v>17</v>
      </c>
      <c r="H102" s="54" t="s">
        <v>375</v>
      </c>
      <c r="I102" s="53" t="s">
        <v>320</v>
      </c>
      <c r="J102" s="13" t="e">
        <f t="shared" si="18"/>
        <v>#REF!</v>
      </c>
      <c r="K102" s="55" t="e">
        <f>VLOOKUP(B102,#REF!,2,0)</f>
        <v>#REF!</v>
      </c>
      <c r="L102" s="56" t="e">
        <f t="shared" ref="L102" si="50">YEAR(K102)</f>
        <v>#REF!</v>
      </c>
      <c r="M102" s="55" t="e">
        <f t="shared" si="27"/>
        <v>#REF!</v>
      </c>
      <c r="N102" s="55">
        <v>45512</v>
      </c>
      <c r="O102" s="56">
        <f t="shared" si="28"/>
        <v>180</v>
      </c>
      <c r="P102" s="56" t="e">
        <f t="shared" si="36"/>
        <v>#REF!</v>
      </c>
      <c r="Q102" s="56">
        <f t="shared" ref="Q102" si="51">+YEAR(N102)</f>
        <v>2024</v>
      </c>
      <c r="R102" s="57" t="e">
        <f t="shared" ref="R102" si="52">IF(P102&lt;O102,1,1-(ABS(O102-P102)/O102))</f>
        <v>#REF!</v>
      </c>
      <c r="S102" s="52">
        <v>20</v>
      </c>
      <c r="T102" s="16" t="e">
        <f>+SUMIF(#REF!,'Özet Durum'!B102,#REF!)</f>
        <v>#REF!</v>
      </c>
      <c r="U102" s="83" t="e">
        <f t="shared" ref="U102" si="53">+S102-T102</f>
        <v>#REF!</v>
      </c>
      <c r="V102" s="70" t="e">
        <f t="shared" si="47"/>
        <v>#REF!</v>
      </c>
      <c r="W102" s="59">
        <v>6000000</v>
      </c>
      <c r="X102" s="55" t="e">
        <f t="shared" si="43"/>
        <v>#REF!</v>
      </c>
      <c r="Y102" s="161">
        <v>0.93</v>
      </c>
    </row>
    <row r="103" spans="1:25" ht="19.95" hidden="1" customHeight="1" x14ac:dyDescent="0.25">
      <c r="A103" s="23">
        <v>102</v>
      </c>
      <c r="B103" s="63" t="s">
        <v>224</v>
      </c>
      <c r="C103" s="122" t="s">
        <v>365</v>
      </c>
      <c r="D103" s="54" t="s">
        <v>21</v>
      </c>
      <c r="E103" s="63" t="s">
        <v>352</v>
      </c>
      <c r="F103" s="63" t="s">
        <v>185</v>
      </c>
      <c r="G103" s="63" t="s">
        <v>37</v>
      </c>
      <c r="H103" s="63" t="s">
        <v>375</v>
      </c>
      <c r="I103" s="62" t="s">
        <v>320</v>
      </c>
      <c r="J103" s="140" t="e">
        <f t="shared" si="18"/>
        <v>#REF!</v>
      </c>
      <c r="K103" s="64" t="e">
        <f>VLOOKUP(B103,#REF!,2,0)</f>
        <v>#REF!</v>
      </c>
      <c r="L103" s="65" t="e">
        <f t="shared" ref="L103" si="54">YEAR(K103)</f>
        <v>#REF!</v>
      </c>
      <c r="M103" s="64" t="e">
        <f t="shared" si="27"/>
        <v>#REF!</v>
      </c>
      <c r="N103" s="64" t="e">
        <f>VLOOKUP(B103,#REF!,2,0)</f>
        <v>#REF!</v>
      </c>
      <c r="O103" s="56">
        <f t="shared" si="28"/>
        <v>180</v>
      </c>
      <c r="P103" s="56" t="e">
        <f t="shared" si="36"/>
        <v>#REF!</v>
      </c>
      <c r="Q103" s="65" t="e">
        <f t="shared" ref="Q103" si="55">+YEAR(N103)</f>
        <v>#REF!</v>
      </c>
      <c r="R103" s="66" t="e">
        <f t="shared" ref="R103" si="56">IF(P103&lt;O103,1,1-(ABS(O103-P103)/O103))</f>
        <v>#REF!</v>
      </c>
      <c r="S103" s="61">
        <v>20</v>
      </c>
      <c r="T103" s="88" t="e">
        <f>+SUMIF(#REF!,'Özet Durum'!B103,#REF!)</f>
        <v>#REF!</v>
      </c>
      <c r="U103" s="84" t="e">
        <f t="shared" ref="U103" si="57">+S103-T103</f>
        <v>#REF!</v>
      </c>
      <c r="V103" s="70" t="e">
        <f t="shared" si="47"/>
        <v>#REF!</v>
      </c>
      <c r="W103" s="68">
        <v>0</v>
      </c>
      <c r="X103" s="64" t="e">
        <f t="shared" si="43"/>
        <v>#REF!</v>
      </c>
      <c r="Y103" s="161"/>
    </row>
    <row r="104" spans="1:25" ht="19.95" hidden="1" customHeight="1" x14ac:dyDescent="0.25">
      <c r="A104" s="86">
        <v>103</v>
      </c>
      <c r="B104" s="100" t="s">
        <v>222</v>
      </c>
      <c r="C104" s="128" t="s">
        <v>19</v>
      </c>
      <c r="D104" s="100" t="s">
        <v>21</v>
      </c>
      <c r="E104" s="100" t="s">
        <v>318</v>
      </c>
      <c r="F104" s="100" t="s">
        <v>16</v>
      </c>
      <c r="G104" s="100" t="s">
        <v>17</v>
      </c>
      <c r="H104" s="100"/>
      <c r="I104" s="100" t="s">
        <v>123</v>
      </c>
      <c r="J104" s="13" t="e">
        <f t="shared" si="18"/>
        <v>#REF!</v>
      </c>
      <c r="K104" s="64" t="e">
        <f>VLOOKUP(B104,#REF!,2,0)</f>
        <v>#REF!</v>
      </c>
      <c r="L104" s="65" t="e">
        <f t="shared" ref="L104" si="58">YEAR(K104)</f>
        <v>#REF!</v>
      </c>
      <c r="M104" s="64" t="e">
        <f t="shared" ref="M104" si="59">+K104+O104</f>
        <v>#REF!</v>
      </c>
      <c r="N104" s="64" t="e">
        <f>VLOOKUP(B104,#REF!,2,0)</f>
        <v>#REF!</v>
      </c>
      <c r="O104" s="56">
        <v>300</v>
      </c>
      <c r="P104" s="56" t="e">
        <f t="shared" si="36"/>
        <v>#REF!</v>
      </c>
      <c r="Q104" s="65" t="e">
        <f t="shared" ref="Q104" si="60">+YEAR(N104)</f>
        <v>#REF!</v>
      </c>
      <c r="R104" s="66" t="e">
        <f t="shared" ref="R104" si="61">IF(P104&lt;O104,1,1-(ABS(O104-P104)/O104))</f>
        <v>#REF!</v>
      </c>
      <c r="S104" s="61">
        <v>20</v>
      </c>
      <c r="T104" s="88" t="e">
        <f>+SUMIF(#REF!,'Özet Durum'!B104,#REF!)</f>
        <v>#REF!</v>
      </c>
      <c r="U104" s="84" t="e">
        <f t="shared" ref="U104" si="62">+S104-T104</f>
        <v>#REF!</v>
      </c>
      <c r="V104" s="70" t="e">
        <f t="shared" si="47"/>
        <v>#REF!</v>
      </c>
      <c r="W104" s="68">
        <v>24000000</v>
      </c>
      <c r="X104" s="64" t="e">
        <f t="shared" ref="X104" si="63">IF(T104&lt;S104/2," ",IF(T104=S104/2,"1.Anket Zamanı Geldi",IF(T104&gt;S104/2,"2.Anket Zamanı Geldi")))</f>
        <v>#REF!</v>
      </c>
      <c r="Y104" s="161">
        <v>1</v>
      </c>
    </row>
    <row r="105" spans="1:25" ht="19.95" hidden="1" customHeight="1" x14ac:dyDescent="0.25">
      <c r="A105" s="98">
        <v>104</v>
      </c>
      <c r="B105" s="87" t="s">
        <v>226</v>
      </c>
      <c r="C105" s="129" t="s">
        <v>225</v>
      </c>
      <c r="D105" s="87" t="s">
        <v>142</v>
      </c>
      <c r="E105" s="87" t="s">
        <v>348</v>
      </c>
      <c r="F105" s="87" t="s">
        <v>129</v>
      </c>
      <c r="G105" s="87" t="s">
        <v>17</v>
      </c>
      <c r="H105" s="87" t="s">
        <v>376</v>
      </c>
      <c r="I105" s="90" t="s">
        <v>320</v>
      </c>
      <c r="J105" s="91" t="e">
        <f t="shared" ref="J105:J128" si="64">+IF(V105=1,"Tamamlandı","Devam Ediyor")</f>
        <v>#REF!</v>
      </c>
      <c r="K105" s="92" t="e">
        <f>VLOOKUP(B105,#REF!,2,0)</f>
        <v>#REF!</v>
      </c>
      <c r="L105" s="93" t="e">
        <f t="shared" ref="L105" si="65">YEAR(K105)</f>
        <v>#REF!</v>
      </c>
      <c r="M105" s="92" t="e">
        <f t="shared" ref="M105" si="66">+K105+O105</f>
        <v>#REF!</v>
      </c>
      <c r="N105" s="92" t="e">
        <f>VLOOKUP(B105,#REF!,2,0)</f>
        <v>#REF!</v>
      </c>
      <c r="O105" s="56">
        <f t="shared" si="28"/>
        <v>97.5</v>
      </c>
      <c r="P105" s="56" t="e">
        <f t="shared" si="36"/>
        <v>#REF!</v>
      </c>
      <c r="Q105" s="93" t="e">
        <f t="shared" ref="Q105" si="67">+YEAR(N105)</f>
        <v>#REF!</v>
      </c>
      <c r="R105" s="94" t="e">
        <f t="shared" ref="R105" si="68">IF(P105&lt;O105,1,1-(ABS(O105-P105)/O105))</f>
        <v>#REF!</v>
      </c>
      <c r="S105" s="86">
        <v>9</v>
      </c>
      <c r="T105" s="95" t="e">
        <f>+SUMIF(#REF!,'Özet Durum'!B105,#REF!)</f>
        <v>#REF!</v>
      </c>
      <c r="U105" s="96" t="e">
        <f t="shared" ref="U105" si="69">+S105-T105</f>
        <v>#REF!</v>
      </c>
      <c r="V105" s="70" t="e">
        <f t="shared" si="47"/>
        <v>#REF!</v>
      </c>
      <c r="W105" s="68">
        <v>15048</v>
      </c>
      <c r="X105" s="92" t="e">
        <f t="shared" ref="X105" si="70">IF(T105&lt;S105/2," ",IF(T105=S105/2,"1.Anket Zamanı Geldi",IF(T105&gt;S105/2,"2.Anket Zamanı Geldi")))</f>
        <v>#REF!</v>
      </c>
      <c r="Y105" s="161"/>
    </row>
    <row r="106" spans="1:25" ht="19.95" hidden="1" customHeight="1" x14ac:dyDescent="0.25">
      <c r="A106" s="99">
        <v>105</v>
      </c>
      <c r="B106" s="87" t="s">
        <v>228</v>
      </c>
      <c r="C106" s="129" t="s">
        <v>227</v>
      </c>
      <c r="D106" s="87" t="s">
        <v>81</v>
      </c>
      <c r="E106" s="87" t="s">
        <v>330</v>
      </c>
      <c r="F106" s="87" t="s">
        <v>215</v>
      </c>
      <c r="G106" s="87" t="s">
        <v>37</v>
      </c>
      <c r="H106" s="87" t="s">
        <v>376</v>
      </c>
      <c r="I106" s="90" t="s">
        <v>320</v>
      </c>
      <c r="J106" s="91" t="e">
        <f t="shared" si="64"/>
        <v>#REF!</v>
      </c>
      <c r="K106" s="92" t="e">
        <f>VLOOKUP(B106,#REF!,2,0)</f>
        <v>#REF!</v>
      </c>
      <c r="L106" s="93" t="e">
        <f t="shared" ref="L106" si="71">YEAR(K106)</f>
        <v>#REF!</v>
      </c>
      <c r="M106" s="92" t="e">
        <f t="shared" ref="M106" si="72">+K106+O106</f>
        <v>#REF!</v>
      </c>
      <c r="N106" s="92" t="e">
        <f>VLOOKUP(B106,#REF!,2,0)</f>
        <v>#REF!</v>
      </c>
      <c r="O106" s="56">
        <f t="shared" si="28"/>
        <v>90</v>
      </c>
      <c r="P106" s="56" t="e">
        <f t="shared" si="36"/>
        <v>#REF!</v>
      </c>
      <c r="Q106" s="93" t="e">
        <f t="shared" ref="Q106" si="73">+YEAR(N106)</f>
        <v>#REF!</v>
      </c>
      <c r="R106" s="94" t="e">
        <f t="shared" ref="R106" si="74">IF(P106&lt;O106,1,1-(ABS(O106-P106)/O106))</f>
        <v>#REF!</v>
      </c>
      <c r="S106" s="86">
        <v>8</v>
      </c>
      <c r="T106" s="95" t="e">
        <f>+SUMIF(#REF!,'Özet Durum'!B106,#REF!)</f>
        <v>#REF!</v>
      </c>
      <c r="U106" s="96" t="e">
        <f t="shared" ref="U106" si="75">+S106-T106</f>
        <v>#REF!</v>
      </c>
      <c r="V106" s="70" t="e">
        <f t="shared" si="47"/>
        <v>#REF!</v>
      </c>
      <c r="W106" s="97">
        <v>63390600</v>
      </c>
      <c r="X106" s="92" t="e">
        <f t="shared" ref="X106" si="76">IF(T106&lt;S106/2," ",IF(T106=S106/2,"1.Anket Zamanı Geldi",IF(T106&gt;S106/2,"2.Anket Zamanı Geldi")))</f>
        <v>#REF!</v>
      </c>
      <c r="Y106" s="161"/>
    </row>
    <row r="107" spans="1:25" ht="19.95" hidden="1" customHeight="1" x14ac:dyDescent="0.25">
      <c r="A107" s="98">
        <v>106</v>
      </c>
      <c r="B107" s="87" t="s">
        <v>236</v>
      </c>
      <c r="C107" s="129" t="s">
        <v>235</v>
      </c>
      <c r="D107" s="87" t="s">
        <v>74</v>
      </c>
      <c r="E107" s="87" t="s">
        <v>373</v>
      </c>
      <c r="F107" s="87" t="s">
        <v>195</v>
      </c>
      <c r="G107" s="87" t="s">
        <v>17</v>
      </c>
      <c r="H107" s="87" t="s">
        <v>376</v>
      </c>
      <c r="I107" s="90" t="s">
        <v>320</v>
      </c>
      <c r="J107" s="91" t="e">
        <f t="shared" si="64"/>
        <v>#REF!</v>
      </c>
      <c r="K107" s="92" t="e">
        <f>VLOOKUP(B107,#REF!,2,0)</f>
        <v>#REF!</v>
      </c>
      <c r="L107" s="93" t="e">
        <f t="shared" ref="L107" si="77">YEAR(K107)</f>
        <v>#REF!</v>
      </c>
      <c r="M107" s="92" t="e">
        <f t="shared" ref="M107" si="78">+K107+O107</f>
        <v>#REF!</v>
      </c>
      <c r="N107" s="92" t="e">
        <f>VLOOKUP(B107,#REF!,2,0)</f>
        <v>#REF!</v>
      </c>
      <c r="O107" s="56">
        <f t="shared" si="28"/>
        <v>97.5</v>
      </c>
      <c r="P107" s="56" t="e">
        <f t="shared" si="36"/>
        <v>#REF!</v>
      </c>
      <c r="Q107" s="93" t="e">
        <f t="shared" ref="Q107" si="79">+YEAR(N107)</f>
        <v>#REF!</v>
      </c>
      <c r="R107" s="94" t="e">
        <f t="shared" ref="R107" si="80">IF(P107&lt;O107,1,1-(ABS(O107-P107)/O107))</f>
        <v>#REF!</v>
      </c>
      <c r="S107" s="86">
        <v>9</v>
      </c>
      <c r="T107" s="95" t="e">
        <f>+SUMIF(#REF!,'Özet Durum'!B107,#REF!)</f>
        <v>#REF!</v>
      </c>
      <c r="U107" s="96" t="e">
        <f t="shared" ref="U107" si="81">+S107-T107</f>
        <v>#REF!</v>
      </c>
      <c r="V107" s="70" t="e">
        <f t="shared" si="47"/>
        <v>#REF!</v>
      </c>
      <c r="W107" s="157">
        <v>693444</v>
      </c>
      <c r="X107" s="92" t="e">
        <f t="shared" ref="X107" si="82">IF(T107&lt;S107/2," ",IF(T107=S107/2,"1.Anket Zamanı Geldi",IF(T107&gt;S107/2,"2.Anket Zamanı Geldi")))</f>
        <v>#REF!</v>
      </c>
      <c r="Y107" s="161"/>
    </row>
    <row r="108" spans="1:25" ht="19.95" hidden="1" customHeight="1" x14ac:dyDescent="0.25">
      <c r="A108" s="99">
        <v>107</v>
      </c>
      <c r="B108" s="87" t="s">
        <v>230</v>
      </c>
      <c r="C108" s="129" t="s">
        <v>229</v>
      </c>
      <c r="D108" s="87" t="s">
        <v>142</v>
      </c>
      <c r="E108" s="87" t="s">
        <v>322</v>
      </c>
      <c r="F108" s="87" t="s">
        <v>129</v>
      </c>
      <c r="G108" s="87" t="s">
        <v>37</v>
      </c>
      <c r="H108" s="87" t="s">
        <v>376</v>
      </c>
      <c r="I108" s="90" t="s">
        <v>320</v>
      </c>
      <c r="J108" s="91" t="e">
        <f t="shared" si="64"/>
        <v>#REF!</v>
      </c>
      <c r="K108" s="92" t="e">
        <f>VLOOKUP(B108,#REF!,2,0)</f>
        <v>#REF!</v>
      </c>
      <c r="L108" s="93" t="e">
        <f t="shared" ref="L108" si="83">YEAR(K108)</f>
        <v>#REF!</v>
      </c>
      <c r="M108" s="92" t="e">
        <f t="shared" ref="M108" si="84">+K108+O108</f>
        <v>#REF!</v>
      </c>
      <c r="N108" s="92" t="e">
        <f>VLOOKUP(B108,#REF!,2,0)</f>
        <v>#REF!</v>
      </c>
      <c r="O108" s="56">
        <f t="shared" si="28"/>
        <v>97.5</v>
      </c>
      <c r="P108" s="56" t="e">
        <f t="shared" si="36"/>
        <v>#REF!</v>
      </c>
      <c r="Q108" s="93" t="e">
        <f t="shared" ref="Q108" si="85">+YEAR(N108)</f>
        <v>#REF!</v>
      </c>
      <c r="R108" s="94" t="e">
        <f t="shared" ref="R108:R116" si="86">IF(P108&lt;O108,1,1-(ABS(O108-P108)/O108))</f>
        <v>#REF!</v>
      </c>
      <c r="S108" s="86">
        <v>9</v>
      </c>
      <c r="T108" s="95" t="e">
        <f>+SUMIF(#REF!,'Özet Durum'!B108,#REF!)</f>
        <v>#REF!</v>
      </c>
      <c r="U108" s="96" t="e">
        <f t="shared" ref="U108" si="87">+S108-T108</f>
        <v>#REF!</v>
      </c>
      <c r="V108" s="70" t="e">
        <f t="shared" si="47"/>
        <v>#REF!</v>
      </c>
      <c r="W108" s="68">
        <v>288960</v>
      </c>
      <c r="X108" s="92" t="e">
        <f t="shared" ref="X108:X109" si="88">IF(T108&lt;S108/2," ",IF(T108=S108/2,"1.Anket Zamanı Geldi",IF(T108&gt;S108/2,"2.Anket Zamanı Geldi")))</f>
        <v>#REF!</v>
      </c>
      <c r="Y108" s="161"/>
    </row>
    <row r="109" spans="1:25" ht="19.95" hidden="1" customHeight="1" x14ac:dyDescent="0.25">
      <c r="A109" s="98">
        <v>108</v>
      </c>
      <c r="B109" s="87" t="s">
        <v>232</v>
      </c>
      <c r="C109" s="129" t="s">
        <v>231</v>
      </c>
      <c r="D109" s="87" t="s">
        <v>142</v>
      </c>
      <c r="E109" s="87" t="s">
        <v>345</v>
      </c>
      <c r="F109" s="87" t="s">
        <v>129</v>
      </c>
      <c r="G109" s="87" t="s">
        <v>37</v>
      </c>
      <c r="H109" s="87" t="s">
        <v>376</v>
      </c>
      <c r="I109" s="90" t="s">
        <v>320</v>
      </c>
      <c r="J109" s="91" t="e">
        <f t="shared" si="64"/>
        <v>#REF!</v>
      </c>
      <c r="K109" s="92" t="e">
        <f>VLOOKUP(B109,#REF!,2,0)</f>
        <v>#REF!</v>
      </c>
      <c r="L109" s="93" t="e">
        <f t="shared" ref="L109" si="89">YEAR(K109)</f>
        <v>#REF!</v>
      </c>
      <c r="M109" s="92" t="e">
        <f t="shared" ref="M109" si="90">+K109+O109</f>
        <v>#REF!</v>
      </c>
      <c r="N109" s="92" t="e">
        <f>VLOOKUP(B109,#REF!,2,0)</f>
        <v>#REF!</v>
      </c>
      <c r="O109" s="56">
        <f t="shared" si="28"/>
        <v>97.5</v>
      </c>
      <c r="P109" s="56" t="e">
        <f t="shared" si="36"/>
        <v>#REF!</v>
      </c>
      <c r="Q109" s="93" t="e">
        <f t="shared" ref="Q109" si="91">+YEAR(N109)</f>
        <v>#REF!</v>
      </c>
      <c r="R109" s="94" t="e">
        <f t="shared" si="86"/>
        <v>#REF!</v>
      </c>
      <c r="S109" s="86">
        <v>9</v>
      </c>
      <c r="T109" s="95" t="e">
        <f>+SUMIF(#REF!,'Özet Durum'!B109,#REF!)</f>
        <v>#REF!</v>
      </c>
      <c r="U109" s="96" t="e">
        <f t="shared" ref="U109" si="92">+S109-T109</f>
        <v>#REF!</v>
      </c>
      <c r="V109" s="70" t="e">
        <f t="shared" si="47"/>
        <v>#REF!</v>
      </c>
      <c r="W109" s="68">
        <v>3792096</v>
      </c>
      <c r="X109" s="92" t="e">
        <f t="shared" si="88"/>
        <v>#REF!</v>
      </c>
      <c r="Y109" s="161"/>
    </row>
    <row r="110" spans="1:25" ht="19.95" hidden="1" customHeight="1" x14ac:dyDescent="0.25">
      <c r="A110" s="99">
        <v>109</v>
      </c>
      <c r="B110" s="87" t="s">
        <v>238</v>
      </c>
      <c r="C110" s="129" t="s">
        <v>237</v>
      </c>
      <c r="D110" s="87" t="s">
        <v>142</v>
      </c>
      <c r="E110" s="87" t="s">
        <v>377</v>
      </c>
      <c r="F110" s="87" t="s">
        <v>195</v>
      </c>
      <c r="G110" s="87" t="s">
        <v>37</v>
      </c>
      <c r="H110" s="100" t="s">
        <v>376</v>
      </c>
      <c r="I110" s="90" t="s">
        <v>320</v>
      </c>
      <c r="J110" s="91" t="e">
        <f t="shared" si="64"/>
        <v>#REF!</v>
      </c>
      <c r="K110" s="92" t="e">
        <f>VLOOKUP(B110,#REF!,2,0)</f>
        <v>#REF!</v>
      </c>
      <c r="L110" s="93" t="e">
        <f t="shared" ref="L110" si="93">YEAR(K110)</f>
        <v>#REF!</v>
      </c>
      <c r="M110" s="92" t="e">
        <f t="shared" ref="M110" si="94">+K110+O110</f>
        <v>#REF!</v>
      </c>
      <c r="N110" s="92" t="e">
        <f>VLOOKUP(B110,#REF!,2,0)</f>
        <v>#REF!</v>
      </c>
      <c r="O110" s="56">
        <f t="shared" si="28"/>
        <v>97.5</v>
      </c>
      <c r="P110" s="56" t="e">
        <f t="shared" si="36"/>
        <v>#REF!</v>
      </c>
      <c r="Q110" s="93" t="e">
        <f t="shared" ref="Q110" si="95">+YEAR(N110)</f>
        <v>#REF!</v>
      </c>
      <c r="R110" s="94" t="e">
        <f t="shared" si="86"/>
        <v>#REF!</v>
      </c>
      <c r="S110" s="86">
        <v>9</v>
      </c>
      <c r="T110" s="95" t="e">
        <f>+SUMIF(#REF!,'Özet Durum'!B110,#REF!)</f>
        <v>#REF!</v>
      </c>
      <c r="U110" s="96" t="e">
        <f t="shared" ref="U110" si="96">+S110-T110</f>
        <v>#REF!</v>
      </c>
      <c r="V110" s="70" t="e">
        <f t="shared" si="47"/>
        <v>#REF!</v>
      </c>
      <c r="W110" s="97">
        <v>0</v>
      </c>
      <c r="X110" s="60" t="e">
        <f t="shared" ref="X110" si="97">IF(T110&lt;S110/2," ",IF(T110=S110/2,"1.Anket Zamanı Geldi",IF(T110&gt;S110/2,"2.Anket Zamanı Geldi")))</f>
        <v>#REF!</v>
      </c>
      <c r="Y110" s="161">
        <v>0.9</v>
      </c>
    </row>
    <row r="111" spans="1:25" ht="19.95" hidden="1" customHeight="1" x14ac:dyDescent="0.25">
      <c r="A111" s="98">
        <v>110</v>
      </c>
      <c r="B111" s="100" t="s">
        <v>239</v>
      </c>
      <c r="C111" s="128" t="s">
        <v>196</v>
      </c>
      <c r="D111" s="54" t="s">
        <v>21</v>
      </c>
      <c r="E111" s="54" t="s">
        <v>352</v>
      </c>
      <c r="F111" s="54" t="s">
        <v>195</v>
      </c>
      <c r="G111" s="102" t="s">
        <v>37</v>
      </c>
      <c r="H111" s="87"/>
      <c r="I111" s="103" t="s">
        <v>123</v>
      </c>
      <c r="J111" s="13" t="e">
        <f t="shared" si="64"/>
        <v>#REF!</v>
      </c>
      <c r="K111" s="92" t="e">
        <f>VLOOKUP(B111,#REF!,2,0)</f>
        <v>#REF!</v>
      </c>
      <c r="L111" s="93" t="e">
        <f t="shared" ref="L111" si="98">YEAR(K111)</f>
        <v>#REF!</v>
      </c>
      <c r="M111" s="92" t="e">
        <f t="shared" ref="M111" si="99">+K111+O111</f>
        <v>#REF!</v>
      </c>
      <c r="N111" s="92">
        <v>45568</v>
      </c>
      <c r="O111" s="56">
        <v>128</v>
      </c>
      <c r="P111" s="56" t="e">
        <f t="shared" ref="P111" si="100">+N111-K111</f>
        <v>#REF!</v>
      </c>
      <c r="Q111" s="93">
        <f t="shared" ref="Q111" si="101">+YEAR(N111)</f>
        <v>2024</v>
      </c>
      <c r="R111" s="94" t="e">
        <f t="shared" si="86"/>
        <v>#REF!</v>
      </c>
      <c r="S111" s="101">
        <v>20</v>
      </c>
      <c r="T111" s="95" t="e">
        <f>+SUMIF(#REF!,'Özet Durum'!B111,#REF!)</f>
        <v>#REF!</v>
      </c>
      <c r="U111" s="96" t="e">
        <f t="shared" ref="U111" si="102">+S111-T111</f>
        <v>#REF!</v>
      </c>
      <c r="V111" s="70" t="e">
        <f t="shared" si="47"/>
        <v>#REF!</v>
      </c>
      <c r="W111" s="97">
        <v>0</v>
      </c>
      <c r="X111" s="60" t="e">
        <f t="shared" ref="X111" si="103">IF(T111&lt;S111/2," ",IF(T111=S111/2,"1.Anket Zamanı Geldi",IF(T111&gt;S111/2,"2.Anket Zamanı Geldi")))</f>
        <v>#REF!</v>
      </c>
      <c r="Y111" s="161"/>
    </row>
    <row r="112" spans="1:25" ht="19.95" hidden="1" customHeight="1" x14ac:dyDescent="0.25">
      <c r="A112" s="99">
        <v>111</v>
      </c>
      <c r="B112" s="87" t="s">
        <v>240</v>
      </c>
      <c r="C112" s="130" t="s">
        <v>192</v>
      </c>
      <c r="D112" s="80" t="s">
        <v>21</v>
      </c>
      <c r="E112" s="54" t="s">
        <v>324</v>
      </c>
      <c r="F112" s="54" t="s">
        <v>174</v>
      </c>
      <c r="G112" s="102" t="s">
        <v>17</v>
      </c>
      <c r="H112" s="87"/>
      <c r="I112" s="103" t="s">
        <v>123</v>
      </c>
      <c r="J112" s="13" t="e">
        <f t="shared" si="64"/>
        <v>#REF!</v>
      </c>
      <c r="K112" s="92" t="e">
        <f>VLOOKUP(B112,#REF!,2,0)</f>
        <v>#REF!</v>
      </c>
      <c r="L112" s="93" t="e">
        <f t="shared" ref="L112" si="104">YEAR(K112)</f>
        <v>#REF!</v>
      </c>
      <c r="M112" s="92" t="e">
        <f t="shared" ref="M112" si="105">+K112+O112</f>
        <v>#REF!</v>
      </c>
      <c r="N112" s="92">
        <v>45560</v>
      </c>
      <c r="O112" s="56">
        <v>180</v>
      </c>
      <c r="P112" s="56" t="e">
        <f t="shared" ref="P112" si="106">+N112-K112</f>
        <v>#REF!</v>
      </c>
      <c r="Q112" s="93">
        <f t="shared" ref="Q112" si="107">+YEAR(N112)</f>
        <v>2024</v>
      </c>
      <c r="R112" s="94" t="e">
        <f t="shared" si="86"/>
        <v>#REF!</v>
      </c>
      <c r="S112" s="101">
        <v>24</v>
      </c>
      <c r="T112" s="95" t="e">
        <f>+SUMIF(#REF!,'Özet Durum'!B112,#REF!)</f>
        <v>#REF!</v>
      </c>
      <c r="U112" s="96" t="e">
        <f t="shared" ref="U112" si="108">+S112-T112</f>
        <v>#REF!</v>
      </c>
      <c r="V112" s="70" t="e">
        <f t="shared" si="47"/>
        <v>#REF!</v>
      </c>
      <c r="W112" s="97">
        <v>1000000</v>
      </c>
      <c r="X112" s="60" t="e">
        <f t="shared" ref="X112:X120" si="109">IF(T112&lt;S112/2," ",IF(T112=S112/2,"1.Anket Zamanı Geldi",IF(T112&gt;S112/2,"2.Anket Zamanı Geldi")))</f>
        <v>#REF!</v>
      </c>
      <c r="Y112" s="161">
        <v>0.98</v>
      </c>
    </row>
    <row r="113" spans="1:27" ht="19.95" hidden="1" customHeight="1" x14ac:dyDescent="0.25">
      <c r="A113" s="98">
        <v>112</v>
      </c>
      <c r="B113" s="87" t="s">
        <v>242</v>
      </c>
      <c r="C113" s="129" t="s">
        <v>241</v>
      </c>
      <c r="D113" s="80" t="s">
        <v>21</v>
      </c>
      <c r="E113" s="54" t="s">
        <v>324</v>
      </c>
      <c r="F113" s="54" t="s">
        <v>174</v>
      </c>
      <c r="G113" s="102" t="s">
        <v>17</v>
      </c>
      <c r="H113" s="87" t="s">
        <v>378</v>
      </c>
      <c r="I113" s="90" t="s">
        <v>320</v>
      </c>
      <c r="J113" s="13" t="e">
        <f t="shared" si="64"/>
        <v>#REF!</v>
      </c>
      <c r="K113" s="92" t="e">
        <f>VLOOKUP(B113,#REF!,2,0)</f>
        <v>#REF!</v>
      </c>
      <c r="L113" s="93" t="e">
        <f t="shared" ref="L113:L114" si="110">YEAR(K113)</f>
        <v>#REF!</v>
      </c>
      <c r="M113" s="92" t="e">
        <f t="shared" ref="M113:M118" si="111">+K113+O113</f>
        <v>#REF!</v>
      </c>
      <c r="N113" s="92" t="e">
        <f>VLOOKUP(B113,#REF!,2,0)</f>
        <v>#REF!</v>
      </c>
      <c r="O113" s="56">
        <f t="shared" si="28"/>
        <v>150</v>
      </c>
      <c r="P113" s="56" t="e">
        <f t="shared" ref="P113:P117" si="112">+N113-K113</f>
        <v>#REF!</v>
      </c>
      <c r="Q113" s="93" t="e">
        <f t="shared" ref="Q113" si="113">+YEAR(N113)</f>
        <v>#REF!</v>
      </c>
      <c r="R113" s="94" t="e">
        <f t="shared" si="86"/>
        <v>#REF!</v>
      </c>
      <c r="S113" s="101">
        <v>16</v>
      </c>
      <c r="T113" s="95" t="e">
        <f>+SUMIF(#REF!,'Özet Durum'!B113,#REF!)</f>
        <v>#REF!</v>
      </c>
      <c r="U113" s="96" t="e">
        <f t="shared" ref="U113" si="114">+S113-T113</f>
        <v>#REF!</v>
      </c>
      <c r="V113" s="70" t="e">
        <f t="shared" si="47"/>
        <v>#REF!</v>
      </c>
      <c r="W113" s="97">
        <v>6360000</v>
      </c>
      <c r="X113" s="60" t="e">
        <f t="shared" si="109"/>
        <v>#REF!</v>
      </c>
      <c r="Y113" s="161">
        <v>0.98</v>
      </c>
    </row>
    <row r="114" spans="1:27" ht="19.95" hidden="1" customHeight="1" x14ac:dyDescent="0.25">
      <c r="A114" s="99">
        <v>113</v>
      </c>
      <c r="B114" s="105" t="s">
        <v>245</v>
      </c>
      <c r="C114" s="131" t="s">
        <v>244</v>
      </c>
      <c r="D114" s="105" t="s">
        <v>163</v>
      </c>
      <c r="E114" s="105" t="s">
        <v>374</v>
      </c>
      <c r="F114" s="105" t="s">
        <v>58</v>
      </c>
      <c r="G114" s="105" t="s">
        <v>17</v>
      </c>
      <c r="H114" s="105" t="s">
        <v>379</v>
      </c>
      <c r="I114" s="106" t="s">
        <v>320</v>
      </c>
      <c r="J114" s="13" t="e">
        <f t="shared" si="64"/>
        <v>#REF!</v>
      </c>
      <c r="K114" s="92" t="e">
        <f>VLOOKUP(B114,#REF!,2,0)</f>
        <v>#REF!</v>
      </c>
      <c r="L114" s="93" t="e">
        <f t="shared" si="110"/>
        <v>#REF!</v>
      </c>
      <c r="M114" s="92" t="e">
        <f t="shared" si="111"/>
        <v>#REF!</v>
      </c>
      <c r="N114" s="92" t="e">
        <f>VLOOKUP(B114,#REF!,2,0)</f>
        <v>#REF!</v>
      </c>
      <c r="O114" s="56">
        <f t="shared" si="28"/>
        <v>112.5</v>
      </c>
      <c r="P114" s="56" t="e">
        <f t="shared" si="112"/>
        <v>#REF!</v>
      </c>
      <c r="Q114" s="93" t="e">
        <f t="shared" ref="Q114:Q117" si="115">+YEAR(N114)</f>
        <v>#REF!</v>
      </c>
      <c r="R114" s="94" t="e">
        <f t="shared" si="86"/>
        <v>#REF!</v>
      </c>
      <c r="S114" s="86">
        <v>11</v>
      </c>
      <c r="T114" s="95" t="e">
        <f>+SUMIF(#REF!,'Özet Durum'!B114,#REF!)</f>
        <v>#REF!</v>
      </c>
      <c r="U114" s="96" t="e">
        <f t="shared" ref="U114" si="116">+S114-T114</f>
        <v>#REF!</v>
      </c>
      <c r="V114" s="70" t="e">
        <f t="shared" si="47"/>
        <v>#REF!</v>
      </c>
      <c r="W114" s="159">
        <v>9757000</v>
      </c>
      <c r="X114" s="60" t="e">
        <f t="shared" si="109"/>
        <v>#REF!</v>
      </c>
      <c r="Y114" s="161"/>
      <c r="Z114" s="107"/>
      <c r="AA114" s="107"/>
    </row>
    <row r="115" spans="1:27" ht="19.95" hidden="1" customHeight="1" x14ac:dyDescent="0.25">
      <c r="A115" s="98">
        <v>114</v>
      </c>
      <c r="B115" s="105" t="s">
        <v>247</v>
      </c>
      <c r="C115" s="131" t="s">
        <v>246</v>
      </c>
      <c r="D115" s="105" t="s">
        <v>380</v>
      </c>
      <c r="E115" s="105" t="s">
        <v>324</v>
      </c>
      <c r="F115" s="105" t="s">
        <v>223</v>
      </c>
      <c r="G115" s="105" t="s">
        <v>17</v>
      </c>
      <c r="H115" s="105" t="s">
        <v>379</v>
      </c>
      <c r="I115" s="106" t="s">
        <v>320</v>
      </c>
      <c r="J115" s="91" t="e">
        <f t="shared" si="64"/>
        <v>#REF!</v>
      </c>
      <c r="K115" s="92" t="e">
        <f>VLOOKUP(B115,#REF!,2,0)</f>
        <v>#REF!</v>
      </c>
      <c r="L115" s="93" t="e">
        <f t="shared" ref="L115:L116" si="117">YEAR(K115)</f>
        <v>#REF!</v>
      </c>
      <c r="M115" s="92" t="e">
        <f t="shared" si="111"/>
        <v>#REF!</v>
      </c>
      <c r="N115" s="92" t="e">
        <f>VLOOKUP(B115,#REF!,2,0)</f>
        <v>#REF!</v>
      </c>
      <c r="O115" s="56">
        <f t="shared" si="28"/>
        <v>142.5</v>
      </c>
      <c r="P115" s="56" t="e">
        <f t="shared" si="112"/>
        <v>#REF!</v>
      </c>
      <c r="Q115" s="93" t="e">
        <f t="shared" si="115"/>
        <v>#REF!</v>
      </c>
      <c r="R115" s="94" t="e">
        <f t="shared" si="86"/>
        <v>#REF!</v>
      </c>
      <c r="S115" s="101">
        <v>15</v>
      </c>
      <c r="T115" s="95" t="e">
        <f>+SUMIF(#REF!,'Özet Durum'!B115,#REF!)</f>
        <v>#REF!</v>
      </c>
      <c r="U115" s="96" t="e">
        <f t="shared" ref="U115:U116" si="118">+S115-T115</f>
        <v>#REF!</v>
      </c>
      <c r="V115" s="70" t="e">
        <f t="shared" si="47"/>
        <v>#REF!</v>
      </c>
      <c r="W115" s="154">
        <v>0</v>
      </c>
      <c r="X115" s="60" t="e">
        <f t="shared" si="109"/>
        <v>#REF!</v>
      </c>
      <c r="Y115" s="161"/>
      <c r="Z115" s="107"/>
      <c r="AA115" s="107"/>
    </row>
    <row r="116" spans="1:27" ht="19.95" hidden="1" customHeight="1" x14ac:dyDescent="0.25">
      <c r="A116" s="99">
        <v>115</v>
      </c>
      <c r="B116" s="105" t="s">
        <v>249</v>
      </c>
      <c r="C116" s="131" t="s">
        <v>248</v>
      </c>
      <c r="D116" s="105" t="s">
        <v>380</v>
      </c>
      <c r="E116" s="105" t="s">
        <v>321</v>
      </c>
      <c r="F116" s="105" t="s">
        <v>223</v>
      </c>
      <c r="G116" s="105" t="s">
        <v>17</v>
      </c>
      <c r="H116" s="105" t="s">
        <v>379</v>
      </c>
      <c r="I116" s="106" t="s">
        <v>320</v>
      </c>
      <c r="J116" s="91" t="e">
        <f t="shared" si="64"/>
        <v>#REF!</v>
      </c>
      <c r="K116" s="92" t="e">
        <f>VLOOKUP(B116,#REF!,2,0)</f>
        <v>#REF!</v>
      </c>
      <c r="L116" s="93" t="e">
        <f t="shared" si="117"/>
        <v>#REF!</v>
      </c>
      <c r="M116" s="92" t="e">
        <f t="shared" si="111"/>
        <v>#REF!</v>
      </c>
      <c r="N116" s="92" t="e">
        <f>VLOOKUP(B116,#REF!,2,0)</f>
        <v>#REF!</v>
      </c>
      <c r="O116" s="56">
        <f t="shared" si="28"/>
        <v>142.5</v>
      </c>
      <c r="P116" s="56" t="e">
        <f t="shared" si="112"/>
        <v>#REF!</v>
      </c>
      <c r="Q116" s="93" t="e">
        <f t="shared" si="115"/>
        <v>#REF!</v>
      </c>
      <c r="R116" s="94" t="e">
        <f t="shared" si="86"/>
        <v>#REF!</v>
      </c>
      <c r="S116" s="101">
        <v>15</v>
      </c>
      <c r="T116" s="95" t="e">
        <f>+SUMIF(#REF!,'Özet Durum'!B116,#REF!)</f>
        <v>#REF!</v>
      </c>
      <c r="U116" s="96" t="e">
        <f t="shared" si="118"/>
        <v>#REF!</v>
      </c>
      <c r="V116" s="70" t="e">
        <f t="shared" si="47"/>
        <v>#REF!</v>
      </c>
      <c r="W116" s="154">
        <v>0</v>
      </c>
      <c r="X116" s="60" t="e">
        <f t="shared" si="109"/>
        <v>#REF!</v>
      </c>
      <c r="Y116" s="161"/>
      <c r="Z116" s="107"/>
      <c r="AA116" s="107"/>
    </row>
    <row r="117" spans="1:27" ht="19.95" hidden="1" customHeight="1" x14ac:dyDescent="0.25">
      <c r="A117" s="98">
        <v>116</v>
      </c>
      <c r="B117" s="105" t="s">
        <v>251</v>
      </c>
      <c r="C117" s="131" t="s">
        <v>250</v>
      </c>
      <c r="D117" s="105" t="s">
        <v>21</v>
      </c>
      <c r="E117" s="105" t="s">
        <v>324</v>
      </c>
      <c r="F117" s="105" t="s">
        <v>66</v>
      </c>
      <c r="G117" s="105" t="s">
        <v>37</v>
      </c>
      <c r="H117" s="105" t="s">
        <v>378</v>
      </c>
      <c r="I117" s="108" t="s">
        <v>320</v>
      </c>
      <c r="J117" s="119" t="e">
        <f t="shared" si="64"/>
        <v>#REF!</v>
      </c>
      <c r="K117" s="92" t="e">
        <f>VLOOKUP(B117,#REF!,2,0)</f>
        <v>#REF!</v>
      </c>
      <c r="L117" s="105">
        <v>2024</v>
      </c>
      <c r="M117" s="92" t="e">
        <f t="shared" si="111"/>
        <v>#REF!</v>
      </c>
      <c r="N117" s="92">
        <v>45559</v>
      </c>
      <c r="O117" s="56">
        <f t="shared" si="28"/>
        <v>180</v>
      </c>
      <c r="P117" s="56" t="e">
        <f t="shared" si="112"/>
        <v>#REF!</v>
      </c>
      <c r="Q117" s="93">
        <f t="shared" si="115"/>
        <v>2024</v>
      </c>
      <c r="R117" s="94" t="e">
        <f t="shared" ref="R117" si="119">IF(P117&lt;O117,1,1-(ABS(O117-P117)/O117))</f>
        <v>#REF!</v>
      </c>
      <c r="S117" s="101">
        <v>20</v>
      </c>
      <c r="T117" s="95" t="e">
        <f>+SUMIF(#REF!,'Özet Durum'!B117,#REF!)</f>
        <v>#REF!</v>
      </c>
      <c r="U117" s="96" t="e">
        <f t="shared" ref="U117" si="120">+S117-T117</f>
        <v>#REF!</v>
      </c>
      <c r="V117" s="70" t="e">
        <f t="shared" si="47"/>
        <v>#REF!</v>
      </c>
      <c r="W117" s="97">
        <v>9000000</v>
      </c>
      <c r="X117" s="60" t="e">
        <f t="shared" si="109"/>
        <v>#REF!</v>
      </c>
      <c r="Y117" s="161">
        <v>1</v>
      </c>
      <c r="Z117" s="107"/>
      <c r="AA117" s="107"/>
    </row>
    <row r="118" spans="1:27" ht="19.95" hidden="1" customHeight="1" x14ac:dyDescent="0.25">
      <c r="A118" s="109">
        <v>117</v>
      </c>
      <c r="B118" s="110" t="s">
        <v>253</v>
      </c>
      <c r="C118" s="132" t="s">
        <v>252</v>
      </c>
      <c r="D118" s="110" t="s">
        <v>254</v>
      </c>
      <c r="E118" s="110" t="s">
        <v>318</v>
      </c>
      <c r="F118" s="110" t="s">
        <v>185</v>
      </c>
      <c r="G118" s="110" t="s">
        <v>37</v>
      </c>
      <c r="H118" s="110" t="s">
        <v>381</v>
      </c>
      <c r="I118" s="111" t="s">
        <v>320</v>
      </c>
      <c r="J118" s="119" t="e">
        <f t="shared" si="64"/>
        <v>#REF!</v>
      </c>
      <c r="K118" s="112" t="e">
        <f>VLOOKUP(B118,#REF!,2,0)</f>
        <v>#REF!</v>
      </c>
      <c r="L118" s="110">
        <v>2024</v>
      </c>
      <c r="M118" s="112" t="e">
        <f t="shared" si="111"/>
        <v>#REF!</v>
      </c>
      <c r="N118" s="112" t="e">
        <f>VLOOKUP(B118,#REF!,2,0)</f>
        <v>#REF!</v>
      </c>
      <c r="O118" s="56">
        <f t="shared" si="28"/>
        <v>150</v>
      </c>
      <c r="P118" s="65" t="e">
        <f t="shared" ref="P118" si="121">+N118-K118</f>
        <v>#REF!</v>
      </c>
      <c r="Q118" s="113" t="e">
        <f t="shared" ref="Q118" si="122">+YEAR(N118)</f>
        <v>#REF!</v>
      </c>
      <c r="R118" s="114" t="e">
        <f t="shared" ref="R118" si="123">IF(P118&lt;O118,1,1-(ABS(O118-P118)/O118))</f>
        <v>#REF!</v>
      </c>
      <c r="S118" s="115">
        <v>16</v>
      </c>
      <c r="T118" s="116" t="e">
        <f>+SUMIF(#REF!,'Özet Durum'!B118,#REF!)</f>
        <v>#REF!</v>
      </c>
      <c r="U118" s="117" t="e">
        <f t="shared" ref="U118" si="124">+S118-T118</f>
        <v>#REF!</v>
      </c>
      <c r="V118" s="89" t="e">
        <f t="shared" si="47"/>
        <v>#REF!</v>
      </c>
      <c r="W118" s="155" t="s">
        <v>382</v>
      </c>
      <c r="X118" s="60" t="e">
        <f t="shared" si="109"/>
        <v>#REF!</v>
      </c>
      <c r="Y118" s="161"/>
      <c r="Z118" s="107"/>
      <c r="AA118" s="107"/>
    </row>
    <row r="119" spans="1:27" ht="19.95" customHeight="1" x14ac:dyDescent="0.25">
      <c r="A119" s="98">
        <v>118</v>
      </c>
      <c r="B119" s="54" t="s">
        <v>256</v>
      </c>
      <c r="C119" s="122" t="s">
        <v>255</v>
      </c>
      <c r="D119" s="54" t="s">
        <v>21</v>
      </c>
      <c r="E119" s="54" t="s">
        <v>383</v>
      </c>
      <c r="F119" s="54" t="s">
        <v>384</v>
      </c>
      <c r="G119" s="54" t="s">
        <v>17</v>
      </c>
      <c r="H119" s="54"/>
      <c r="I119" s="54" t="s">
        <v>123</v>
      </c>
      <c r="J119" s="13" t="e">
        <f t="shared" si="64"/>
        <v>#REF!</v>
      </c>
      <c r="K119" s="55" t="e">
        <f>VLOOKUP(B119,#REF!,2,0)</f>
        <v>#REF!</v>
      </c>
      <c r="L119" s="118">
        <v>2024</v>
      </c>
      <c r="M119" s="55" t="e">
        <f t="shared" ref="M119" si="125">+K119+O119</f>
        <v>#REF!</v>
      </c>
      <c r="N119" s="55" t="e">
        <f>VLOOKUP(B119,#REF!,2,0)</f>
        <v>#REF!</v>
      </c>
      <c r="O119" s="56">
        <v>143</v>
      </c>
      <c r="P119" s="56" t="e">
        <f t="shared" ref="P119:P120" si="126">+N119-K119</f>
        <v>#REF!</v>
      </c>
      <c r="Q119" s="56" t="e">
        <f t="shared" ref="Q119:Q120" si="127">+YEAR(N119)</f>
        <v>#REF!</v>
      </c>
      <c r="R119" s="57" t="e">
        <f t="shared" ref="R119:R120" si="128">IF(P119&lt;O119,1,1-(ABS(O119-P119)/O119))</f>
        <v>#REF!</v>
      </c>
      <c r="S119" s="52">
        <v>11</v>
      </c>
      <c r="T119" s="16" t="e">
        <f>+SUMIF(#REF!,'Özet Durum'!B119,#REF!)</f>
        <v>#REF!</v>
      </c>
      <c r="U119" s="83" t="e">
        <f t="shared" ref="U119:U120" si="129">+S119-T119</f>
        <v>#REF!</v>
      </c>
      <c r="V119" s="70" t="e">
        <f t="shared" si="47"/>
        <v>#REF!</v>
      </c>
      <c r="W119" s="118" t="s">
        <v>382</v>
      </c>
      <c r="X119" s="60" t="e">
        <f t="shared" si="109"/>
        <v>#REF!</v>
      </c>
      <c r="Y119" s="161">
        <v>1</v>
      </c>
    </row>
    <row r="120" spans="1:27" ht="19.95" hidden="1" customHeight="1" x14ac:dyDescent="0.25">
      <c r="A120" s="109">
        <v>119</v>
      </c>
      <c r="B120" s="54" t="s">
        <v>260</v>
      </c>
      <c r="C120" s="122" t="s">
        <v>259</v>
      </c>
      <c r="D120" s="54" t="s">
        <v>57</v>
      </c>
      <c r="E120" s="54" t="s">
        <v>341</v>
      </c>
      <c r="F120" s="54" t="s">
        <v>223</v>
      </c>
      <c r="G120" s="54" t="s">
        <v>17</v>
      </c>
      <c r="H120" s="105" t="s">
        <v>379</v>
      </c>
      <c r="I120" s="106" t="s">
        <v>320</v>
      </c>
      <c r="J120" s="13" t="e">
        <f t="shared" si="64"/>
        <v>#REF!</v>
      </c>
      <c r="K120" s="55" t="e">
        <f>VLOOKUP(B120,#REF!,2,0)</f>
        <v>#REF!</v>
      </c>
      <c r="L120" s="118">
        <v>2024</v>
      </c>
      <c r="M120" s="55" t="e">
        <f t="shared" ref="M120" si="130">+K120+O120</f>
        <v>#REF!</v>
      </c>
      <c r="N120" s="55" t="e">
        <f>VLOOKUP(B120,#REF!,2,0)</f>
        <v>#REF!</v>
      </c>
      <c r="O120" s="56">
        <f t="shared" si="28"/>
        <v>67.5</v>
      </c>
      <c r="P120" s="56" t="e">
        <f t="shared" si="126"/>
        <v>#REF!</v>
      </c>
      <c r="Q120" s="56" t="e">
        <f t="shared" si="127"/>
        <v>#REF!</v>
      </c>
      <c r="R120" s="57" t="e">
        <f t="shared" si="128"/>
        <v>#REF!</v>
      </c>
      <c r="S120" s="52">
        <v>5</v>
      </c>
      <c r="T120" s="16" t="e">
        <f>+SUMIF(#REF!,'Özet Durum'!B120,#REF!)</f>
        <v>#REF!</v>
      </c>
      <c r="U120" s="83" t="e">
        <f t="shared" si="129"/>
        <v>#REF!</v>
      </c>
      <c r="V120" s="70" t="e">
        <f t="shared" si="47"/>
        <v>#REF!</v>
      </c>
      <c r="W120" s="118" t="s">
        <v>382</v>
      </c>
      <c r="X120" s="60" t="e">
        <f t="shared" si="109"/>
        <v>#REF!</v>
      </c>
      <c r="Y120" s="161"/>
    </row>
    <row r="121" spans="1:27" ht="19.95" hidden="1" customHeight="1" x14ac:dyDescent="0.25">
      <c r="A121" s="98">
        <v>120</v>
      </c>
      <c r="B121" s="54" t="s">
        <v>258</v>
      </c>
      <c r="C121" s="122" t="s">
        <v>257</v>
      </c>
      <c r="D121" s="54" t="s">
        <v>254</v>
      </c>
      <c r="E121" s="54" t="s">
        <v>318</v>
      </c>
      <c r="F121" s="54" t="s">
        <v>16</v>
      </c>
      <c r="G121" s="54" t="s">
        <v>17</v>
      </c>
      <c r="H121" s="133" t="s">
        <v>381</v>
      </c>
      <c r="I121" s="106" t="s">
        <v>320</v>
      </c>
      <c r="J121" s="13" t="e">
        <f t="shared" si="64"/>
        <v>#REF!</v>
      </c>
      <c r="K121" s="55" t="e">
        <f>VLOOKUP(B121,#REF!,2,0)</f>
        <v>#REF!</v>
      </c>
      <c r="L121" s="118">
        <v>2024</v>
      </c>
      <c r="M121" s="55" t="e">
        <f t="shared" ref="M121" si="131">+K121+O121</f>
        <v>#REF!</v>
      </c>
      <c r="N121" s="55" t="e">
        <f>VLOOKUP(B121,#REF!,2,0)</f>
        <v>#REF!</v>
      </c>
      <c r="O121" s="56">
        <f t="shared" si="28"/>
        <v>82.5</v>
      </c>
      <c r="P121" s="56" t="e">
        <f t="shared" ref="P121" si="132">+N121-K121</f>
        <v>#REF!</v>
      </c>
      <c r="Q121" s="56" t="e">
        <f t="shared" ref="Q121" si="133">+YEAR(N121)</f>
        <v>#REF!</v>
      </c>
      <c r="R121" s="57" t="e">
        <f t="shared" ref="R121" si="134">IF(P121&lt;O121,1,1-(ABS(O121-P121)/O121))</f>
        <v>#REF!</v>
      </c>
      <c r="S121" s="52">
        <v>7</v>
      </c>
      <c r="T121" s="16" t="e">
        <f>+SUMIF(#REF!,'Özet Durum'!B121,#REF!)</f>
        <v>#REF!</v>
      </c>
      <c r="U121" s="83" t="e">
        <f t="shared" ref="U121" si="135">+S121-T121</f>
        <v>#REF!</v>
      </c>
      <c r="V121" s="70" t="e">
        <f t="shared" ref="V121" si="136">+T121/S121</f>
        <v>#REF!</v>
      </c>
      <c r="W121" s="159">
        <v>1945600</v>
      </c>
      <c r="X121" s="60" t="e">
        <f t="shared" ref="X121" si="137">IF(T121&lt;S121/2," ",IF(T121=S121/2,"1.Anket Zamanı Geldi",IF(T121&gt;S121/2,"2.Anket Zamanı Geldi")))</f>
        <v>#REF!</v>
      </c>
      <c r="Y121" s="161">
        <v>1</v>
      </c>
      <c r="Z121" s="31">
        <v>1945600</v>
      </c>
    </row>
    <row r="122" spans="1:27" ht="19.95" hidden="1" customHeight="1" x14ac:dyDescent="0.25">
      <c r="A122" s="109">
        <v>121</v>
      </c>
      <c r="B122" s="54" t="s">
        <v>268</v>
      </c>
      <c r="C122" s="122" t="s">
        <v>267</v>
      </c>
      <c r="D122" s="54" t="s">
        <v>254</v>
      </c>
      <c r="E122" s="54" t="s">
        <v>318</v>
      </c>
      <c r="F122" s="54" t="s">
        <v>16</v>
      </c>
      <c r="G122" s="54" t="s">
        <v>17</v>
      </c>
      <c r="H122" s="133" t="s">
        <v>381</v>
      </c>
      <c r="I122" s="106" t="s">
        <v>320</v>
      </c>
      <c r="J122" s="13" t="e">
        <f t="shared" si="64"/>
        <v>#REF!</v>
      </c>
      <c r="K122" s="55" t="e">
        <f>VLOOKUP(B122,#REF!,2,0)</f>
        <v>#REF!</v>
      </c>
      <c r="L122" s="118">
        <v>2024</v>
      </c>
      <c r="M122" s="55" t="e">
        <f t="shared" ref="M122" si="138">+K122+O122</f>
        <v>#REF!</v>
      </c>
      <c r="N122" s="55" t="e">
        <f>VLOOKUP(B122,#REF!,2,0)</f>
        <v>#REF!</v>
      </c>
      <c r="O122" s="56">
        <f t="shared" si="28"/>
        <v>82.5</v>
      </c>
      <c r="P122" s="56" t="e">
        <f t="shared" ref="P122" si="139">+N122-K122</f>
        <v>#REF!</v>
      </c>
      <c r="Q122" s="56" t="e">
        <f t="shared" ref="Q122" si="140">+YEAR(N122)</f>
        <v>#REF!</v>
      </c>
      <c r="R122" s="57" t="e">
        <f t="shared" ref="R122" si="141">IF(P122&lt;O122,1,1-(ABS(O122-P122)/O122))</f>
        <v>#REF!</v>
      </c>
      <c r="S122" s="52">
        <v>7</v>
      </c>
      <c r="T122" s="16" t="e">
        <f>+SUMIF(#REF!,'Özet Durum'!B122,#REF!)</f>
        <v>#REF!</v>
      </c>
      <c r="U122" s="83" t="e">
        <f t="shared" ref="U122" si="142">+S122-T122</f>
        <v>#REF!</v>
      </c>
      <c r="V122" s="70" t="e">
        <f t="shared" ref="V122" si="143">+T122/S122</f>
        <v>#REF!</v>
      </c>
      <c r="W122" s="159">
        <v>2400000</v>
      </c>
      <c r="X122" s="60" t="e">
        <f t="shared" ref="X122" si="144">IF(T122&lt;S122/2," ",IF(T122=S122/2,"1.Anket Zamanı Geldi",IF(T122&gt;S122/2,"2.Anket Zamanı Geldi")))</f>
        <v>#REF!</v>
      </c>
      <c r="Y122" s="161"/>
    </row>
    <row r="123" spans="1:27" ht="19.95" hidden="1" customHeight="1" x14ac:dyDescent="0.25">
      <c r="A123" s="98">
        <v>122</v>
      </c>
      <c r="B123" s="54" t="s">
        <v>262</v>
      </c>
      <c r="C123" s="122" t="s">
        <v>261</v>
      </c>
      <c r="D123" s="54" t="s">
        <v>21</v>
      </c>
      <c r="E123" s="54" t="s">
        <v>318</v>
      </c>
      <c r="F123" s="54" t="s">
        <v>174</v>
      </c>
      <c r="G123" s="54" t="s">
        <v>17</v>
      </c>
      <c r="H123" s="133" t="s">
        <v>385</v>
      </c>
      <c r="I123" s="106" t="s">
        <v>320</v>
      </c>
      <c r="J123" s="13" t="e">
        <f t="shared" si="64"/>
        <v>#REF!</v>
      </c>
      <c r="K123" s="55" t="e">
        <f>VLOOKUP(B123,#REF!,2,0)</f>
        <v>#REF!</v>
      </c>
      <c r="L123" s="118">
        <v>2024</v>
      </c>
      <c r="M123" s="55" t="e">
        <f t="shared" ref="M123" si="145">+K123+O123</f>
        <v>#REF!</v>
      </c>
      <c r="N123" s="55" t="e">
        <f>VLOOKUP(B123,#REF!,2,0)</f>
        <v>#REF!</v>
      </c>
      <c r="O123" s="56">
        <f t="shared" si="28"/>
        <v>165</v>
      </c>
      <c r="P123" s="56" t="e">
        <f t="shared" ref="P123" si="146">+N123-K123</f>
        <v>#REF!</v>
      </c>
      <c r="Q123" s="56" t="e">
        <f t="shared" ref="Q123" si="147">+YEAR(N123)</f>
        <v>#REF!</v>
      </c>
      <c r="R123" s="57" t="e">
        <f t="shared" ref="R123" si="148">IF(P123&lt;O123,1,1-(ABS(O123-P123)/O123))</f>
        <v>#REF!</v>
      </c>
      <c r="S123" s="52">
        <v>18</v>
      </c>
      <c r="T123" s="16" t="e">
        <f>+SUMIF(#REF!,'Özet Durum'!B123,#REF!)</f>
        <v>#REF!</v>
      </c>
      <c r="U123" s="83" t="e">
        <f t="shared" ref="U123" si="149">+S123-T123</f>
        <v>#REF!</v>
      </c>
      <c r="V123" s="70" t="e">
        <f t="shared" ref="V123" si="150">+T123/S123</f>
        <v>#REF!</v>
      </c>
      <c r="W123" s="97">
        <v>12076085</v>
      </c>
      <c r="X123" s="60" t="e">
        <f t="shared" ref="X123" si="151">IF(T123&lt;S123/2," ",IF(T123=S123/2,"1.Anket Zamanı Geldi",IF(T123&gt;S123/2,"2.Anket Zamanı Geldi")))</f>
        <v>#REF!</v>
      </c>
      <c r="Y123" s="161">
        <v>1</v>
      </c>
    </row>
    <row r="124" spans="1:27" ht="19.95" customHeight="1" x14ac:dyDescent="0.25">
      <c r="A124" s="109">
        <v>123</v>
      </c>
      <c r="B124" s="54" t="s">
        <v>264</v>
      </c>
      <c r="C124" s="122" t="s">
        <v>166</v>
      </c>
      <c r="D124" s="54" t="s">
        <v>21</v>
      </c>
      <c r="E124" s="63" t="s">
        <v>352</v>
      </c>
      <c r="F124" s="63" t="s">
        <v>16</v>
      </c>
      <c r="G124" s="54" t="s">
        <v>17</v>
      </c>
      <c r="H124" s="133"/>
      <c r="I124" s="106" t="s">
        <v>320</v>
      </c>
      <c r="J124" s="13" t="e">
        <f t="shared" si="64"/>
        <v>#REF!</v>
      </c>
      <c r="K124" s="55" t="e">
        <f>VLOOKUP(B124,#REF!,2,0)</f>
        <v>#REF!</v>
      </c>
      <c r="L124" s="118">
        <v>2024</v>
      </c>
      <c r="M124" s="55" t="e">
        <f t="shared" ref="M124" si="152">+K124+O124</f>
        <v>#REF!</v>
      </c>
      <c r="N124" s="55" t="e">
        <f>VLOOKUP(B124,#REF!,2,0)</f>
        <v>#REF!</v>
      </c>
      <c r="O124" s="56">
        <v>300</v>
      </c>
      <c r="P124" s="56" t="e">
        <f t="shared" ref="P124" si="153">+N124-K124</f>
        <v>#REF!</v>
      </c>
      <c r="Q124" s="56" t="e">
        <f t="shared" ref="Q124" si="154">+YEAR(N124)</f>
        <v>#REF!</v>
      </c>
      <c r="R124" s="57" t="e">
        <f t="shared" ref="R124" si="155">IF(P124&lt;O124,1,1-(ABS(O124-P124)/O124))</f>
        <v>#REF!</v>
      </c>
      <c r="S124" s="52">
        <v>20</v>
      </c>
      <c r="T124" s="16" t="e">
        <f>+SUMIF(#REF!,'Özet Durum'!B124,#REF!)</f>
        <v>#REF!</v>
      </c>
      <c r="U124" s="83" t="e">
        <f t="shared" ref="U124" si="156">+S124-T124</f>
        <v>#REF!</v>
      </c>
      <c r="V124" s="70" t="e">
        <f t="shared" ref="V124" si="157">+T124/S124</f>
        <v>#REF!</v>
      </c>
      <c r="W124" s="118" t="s">
        <v>382</v>
      </c>
      <c r="X124" s="60" t="e">
        <f t="shared" ref="X124" si="158">IF(T124&lt;S124/2," ",IF(T124=S124/2,"1.Anket Zamanı Geldi",IF(T124&gt;S124/2,"2.Anket Zamanı Geldi")))</f>
        <v>#REF!</v>
      </c>
      <c r="Y124" s="161">
        <v>0.98</v>
      </c>
    </row>
    <row r="125" spans="1:27" ht="19.95" hidden="1" customHeight="1" x14ac:dyDescent="0.25">
      <c r="A125" s="98">
        <v>124</v>
      </c>
      <c r="B125" s="54" t="s">
        <v>273</v>
      </c>
      <c r="C125" s="122" t="s">
        <v>272</v>
      </c>
      <c r="D125" s="54" t="s">
        <v>21</v>
      </c>
      <c r="E125" s="54" t="s">
        <v>328</v>
      </c>
      <c r="F125" s="54" t="s">
        <v>386</v>
      </c>
      <c r="G125" s="54" t="s">
        <v>17</v>
      </c>
      <c r="H125" s="133" t="s">
        <v>387</v>
      </c>
      <c r="I125" s="106" t="s">
        <v>320</v>
      </c>
      <c r="J125" s="13" t="e">
        <f t="shared" si="64"/>
        <v>#REF!</v>
      </c>
      <c r="K125" s="55" t="e">
        <f>VLOOKUP(B125,#REF!,2,0)</f>
        <v>#REF!</v>
      </c>
      <c r="L125" s="118">
        <v>2024</v>
      </c>
      <c r="M125" s="55" t="e">
        <f t="shared" ref="M125" si="159">+K125+O125</f>
        <v>#REF!</v>
      </c>
      <c r="N125" s="55" t="e">
        <f>VLOOKUP(B125,#REF!,2,0)</f>
        <v>#REF!</v>
      </c>
      <c r="O125" s="56">
        <f t="shared" si="28"/>
        <v>165</v>
      </c>
      <c r="P125" s="56" t="e">
        <f t="shared" ref="P125" si="160">+N125-K125</f>
        <v>#REF!</v>
      </c>
      <c r="Q125" s="56" t="e">
        <f t="shared" ref="Q125" si="161">+YEAR(N125)</f>
        <v>#REF!</v>
      </c>
      <c r="R125" s="57" t="e">
        <f t="shared" ref="R125" si="162">IF(P125&lt;O125,1,1-(ABS(O125-P125)/O125))</f>
        <v>#REF!</v>
      </c>
      <c r="S125" s="52">
        <v>18</v>
      </c>
      <c r="T125" s="16" t="e">
        <f>+SUMIF(#REF!,'Özet Durum'!B125,#REF!)</f>
        <v>#REF!</v>
      </c>
      <c r="U125" s="83" t="e">
        <f t="shared" ref="U125" si="163">+S125-T125</f>
        <v>#REF!</v>
      </c>
      <c r="V125" s="70" t="e">
        <f t="shared" ref="V125" si="164">+T125/S125</f>
        <v>#REF!</v>
      </c>
      <c r="W125" s="118" t="s">
        <v>382</v>
      </c>
      <c r="X125" s="60" t="e">
        <f t="shared" ref="X125" si="165">IF(T125&lt;S125/2," ",IF(T125=S125/2,"1.Anket Zamanı Geldi",IF(T125&gt;S125/2,"2.Anket Zamanı Geldi")))</f>
        <v>#REF!</v>
      </c>
      <c r="Y125" s="161">
        <v>1</v>
      </c>
    </row>
    <row r="126" spans="1:27" ht="19.2" customHeight="1" x14ac:dyDescent="0.25">
      <c r="A126" s="109">
        <v>125</v>
      </c>
      <c r="B126" s="54" t="s">
        <v>266</v>
      </c>
      <c r="C126" s="122" t="s">
        <v>265</v>
      </c>
      <c r="D126" s="54" t="s">
        <v>21</v>
      </c>
      <c r="E126" s="54" t="s">
        <v>328</v>
      </c>
      <c r="F126" s="54" t="s">
        <v>223</v>
      </c>
      <c r="G126" s="54" t="s">
        <v>17</v>
      </c>
      <c r="H126" s="133" t="s">
        <v>387</v>
      </c>
      <c r="I126" s="106" t="s">
        <v>320</v>
      </c>
      <c r="J126" s="13" t="e">
        <f t="shared" si="64"/>
        <v>#REF!</v>
      </c>
      <c r="K126" s="55" t="e">
        <f>VLOOKUP(B126,#REF!,2,0)</f>
        <v>#REF!</v>
      </c>
      <c r="L126" s="118">
        <v>2024</v>
      </c>
      <c r="M126" s="55" t="e">
        <f t="shared" ref="M126" si="166">+K126+O126</f>
        <v>#REF!</v>
      </c>
      <c r="N126" s="55" t="e">
        <f>VLOOKUP(B126,#REF!,2,0)</f>
        <v>#REF!</v>
      </c>
      <c r="O126" s="56">
        <f>+IF(I126="Öğren Dönüş",(S126/4)*30+210+30,0)</f>
        <v>375</v>
      </c>
      <c r="P126" s="56" t="e">
        <f t="shared" ref="P126" si="167">+N126-K126</f>
        <v>#REF!</v>
      </c>
      <c r="Q126" s="56" t="e">
        <f t="shared" ref="Q126" si="168">+YEAR(N126)</f>
        <v>#REF!</v>
      </c>
      <c r="R126" s="57" t="e">
        <f t="shared" ref="R126" si="169">IF(P126&lt;O126,1,1-(ABS(O126-P126)/O126))</f>
        <v>#REF!</v>
      </c>
      <c r="S126" s="52">
        <v>18</v>
      </c>
      <c r="T126" s="16" t="e">
        <f>+SUMIF(#REF!,'Özet Durum'!B126,#REF!)</f>
        <v>#REF!</v>
      </c>
      <c r="U126" s="83" t="e">
        <f t="shared" ref="U126" si="170">+S126-T126</f>
        <v>#REF!</v>
      </c>
      <c r="V126" s="70" t="e">
        <f t="shared" ref="V126" si="171">+T126/S126</f>
        <v>#REF!</v>
      </c>
      <c r="W126" s="118" t="s">
        <v>382</v>
      </c>
      <c r="X126" s="60" t="e">
        <f t="shared" ref="X126" si="172">IF(T126&lt;S126/2," ",IF(T126=S126/2,"1.Anket Zamanı Geldi",IF(T126&gt;S126/2,"2.Anket Zamanı Geldi")))</f>
        <v>#REF!</v>
      </c>
      <c r="Y126" s="161"/>
    </row>
    <row r="127" spans="1:27" ht="19.95" hidden="1" customHeight="1" x14ac:dyDescent="0.25">
      <c r="A127" s="136">
        <v>126</v>
      </c>
      <c r="B127" s="63" t="s">
        <v>275</v>
      </c>
      <c r="C127" s="126" t="s">
        <v>274</v>
      </c>
      <c r="D127" s="63" t="s">
        <v>21</v>
      </c>
      <c r="E127" s="63" t="s">
        <v>330</v>
      </c>
      <c r="F127" s="63" t="s">
        <v>386</v>
      </c>
      <c r="G127" s="63" t="s">
        <v>17</v>
      </c>
      <c r="H127" s="133" t="s">
        <v>388</v>
      </c>
      <c r="I127" s="137" t="s">
        <v>320</v>
      </c>
      <c r="J127" s="13" t="e">
        <f t="shared" si="64"/>
        <v>#REF!</v>
      </c>
      <c r="K127" s="64" t="e">
        <f>VLOOKUP(B127,#REF!,2,0)</f>
        <v>#REF!</v>
      </c>
      <c r="L127" s="138">
        <v>2024</v>
      </c>
      <c r="M127" s="64" t="e">
        <f t="shared" ref="M127:M128" si="173">+K127+O127</f>
        <v>#REF!</v>
      </c>
      <c r="N127" s="64" t="e">
        <f>VLOOKUP(B127,#REF!,2,0)</f>
        <v>#REF!</v>
      </c>
      <c r="O127" s="56">
        <f t="shared" si="28"/>
        <v>183.75</v>
      </c>
      <c r="P127" s="65" t="e">
        <f t="shared" ref="P127:P128" si="174">+N127-K127</f>
        <v>#REF!</v>
      </c>
      <c r="Q127" s="65" t="e">
        <f t="shared" ref="Q127:Q128" si="175">+YEAR(N127)</f>
        <v>#REF!</v>
      </c>
      <c r="R127" s="66" t="e">
        <f t="shared" ref="R127:R130" si="176">IF(P127&lt;O127,1,1-(ABS(O127-P127)/O127))</f>
        <v>#REF!</v>
      </c>
      <c r="S127" s="61">
        <v>20.5</v>
      </c>
      <c r="T127" s="88" t="e">
        <f>+SUMIF(#REF!,'Özet Durum'!B127,#REF!)</f>
        <v>#REF!</v>
      </c>
      <c r="U127" s="84" t="e">
        <f t="shared" ref="U127:U128" si="177">+S127-T127</f>
        <v>#REF!</v>
      </c>
      <c r="V127" s="89" t="e">
        <f t="shared" ref="V127:V128" si="178">+T127/S127</f>
        <v>#REF!</v>
      </c>
      <c r="W127" s="97">
        <v>20000000</v>
      </c>
      <c r="X127" s="69" t="e">
        <f t="shared" ref="X127:X136" si="179">IF(T127&lt;S127/2," ",IF(T127=S127/2,"1.Anket Zamanı Geldi",IF(T127&gt;S127/2,"2.Anket Zamanı Geldi")))</f>
        <v>#REF!</v>
      </c>
      <c r="Y127" s="161">
        <v>1</v>
      </c>
    </row>
    <row r="128" spans="1:27" ht="19.95" hidden="1" customHeight="1" x14ac:dyDescent="0.25">
      <c r="A128" s="52">
        <v>127</v>
      </c>
      <c r="B128" s="54" t="s">
        <v>271</v>
      </c>
      <c r="C128" s="122" t="s">
        <v>270</v>
      </c>
      <c r="D128" s="54" t="s">
        <v>254</v>
      </c>
      <c r="E128" s="122" t="s">
        <v>318</v>
      </c>
      <c r="F128" s="54" t="s">
        <v>269</v>
      </c>
      <c r="G128" s="54" t="s">
        <v>37</v>
      </c>
      <c r="H128" s="118" t="s">
        <v>381</v>
      </c>
      <c r="I128" s="139" t="s">
        <v>320</v>
      </c>
      <c r="J128" s="13" t="e">
        <f t="shared" si="64"/>
        <v>#REF!</v>
      </c>
      <c r="K128" s="55" t="e">
        <f>VLOOKUP(B128,#REF!,2,0)</f>
        <v>#REF!</v>
      </c>
      <c r="L128" s="118">
        <v>2024</v>
      </c>
      <c r="M128" s="55" t="e">
        <f t="shared" si="173"/>
        <v>#REF!</v>
      </c>
      <c r="N128" s="55" t="e">
        <f>VLOOKUP(B128,#REF!,2,0)</f>
        <v>#REF!</v>
      </c>
      <c r="O128" s="56">
        <f t="shared" si="28"/>
        <v>82.5</v>
      </c>
      <c r="P128" s="56" t="e">
        <f t="shared" si="174"/>
        <v>#REF!</v>
      </c>
      <c r="Q128" s="56" t="e">
        <f t="shared" si="175"/>
        <v>#REF!</v>
      </c>
      <c r="R128" s="57" t="e">
        <f t="shared" si="176"/>
        <v>#REF!</v>
      </c>
      <c r="S128" s="52">
        <v>7</v>
      </c>
      <c r="T128" s="16" t="e">
        <f>+SUMIF(#REF!,'Özet Durum'!B128,#REF!)</f>
        <v>#REF!</v>
      </c>
      <c r="U128" s="83" t="e">
        <f t="shared" si="177"/>
        <v>#REF!</v>
      </c>
      <c r="V128" s="70" t="e">
        <f t="shared" si="178"/>
        <v>#REF!</v>
      </c>
      <c r="W128" s="156" t="s">
        <v>382</v>
      </c>
      <c r="X128" s="55" t="e">
        <f t="shared" si="179"/>
        <v>#REF!</v>
      </c>
      <c r="Y128" s="161"/>
    </row>
    <row r="129" spans="1:25" ht="19.95" hidden="1" customHeight="1" x14ac:dyDescent="0.25">
      <c r="A129" s="52">
        <v>128</v>
      </c>
      <c r="B129" s="54" t="s">
        <v>277</v>
      </c>
      <c r="C129" s="122" t="s">
        <v>276</v>
      </c>
      <c r="D129" s="54" t="s">
        <v>21</v>
      </c>
      <c r="E129" s="122"/>
      <c r="F129" s="54" t="s">
        <v>16</v>
      </c>
      <c r="G129" s="54" t="s">
        <v>17</v>
      </c>
      <c r="H129" s="133" t="s">
        <v>388</v>
      </c>
      <c r="I129" s="139" t="s">
        <v>320</v>
      </c>
      <c r="J129" s="13" t="e">
        <f t="shared" ref="J129:J130" si="180">+IF(V129=1,"Tamamlandı","Devam Ediyor")</f>
        <v>#REF!</v>
      </c>
      <c r="K129" s="55" t="e">
        <f>VLOOKUP(B129,#REF!,2,0)</f>
        <v>#REF!</v>
      </c>
      <c r="L129" s="118">
        <v>2025</v>
      </c>
      <c r="M129" s="55" t="e">
        <f t="shared" ref="M129:M130" si="181">+K129+O129</f>
        <v>#REF!</v>
      </c>
      <c r="N129" s="55" t="e">
        <f>VLOOKUP(B129,#REF!,2,0)</f>
        <v>#REF!</v>
      </c>
      <c r="O129" s="56">
        <f t="shared" si="28"/>
        <v>142.5</v>
      </c>
      <c r="P129" s="56" t="e">
        <f t="shared" ref="P129:P130" si="182">+N129-K129</f>
        <v>#REF!</v>
      </c>
      <c r="Q129" s="56" t="e">
        <f t="shared" ref="Q129:Q130" si="183">+YEAR(N129)</f>
        <v>#REF!</v>
      </c>
      <c r="R129" s="57" t="e">
        <f t="shared" si="176"/>
        <v>#REF!</v>
      </c>
      <c r="S129" s="52">
        <v>15</v>
      </c>
      <c r="T129" s="16" t="e">
        <f>+SUMIF(#REF!,'Özet Durum'!B129,#REF!)</f>
        <v>#REF!</v>
      </c>
      <c r="U129" s="83" t="e">
        <f t="shared" ref="U129:U136" si="184">+S129-T129</f>
        <v>#REF!</v>
      </c>
      <c r="V129" s="70" t="e">
        <f t="shared" ref="V129:V130" si="185">+T129/S129</f>
        <v>#REF!</v>
      </c>
      <c r="W129" s="97">
        <v>45000000</v>
      </c>
      <c r="X129" s="55" t="e">
        <f t="shared" si="179"/>
        <v>#REF!</v>
      </c>
      <c r="Y129" s="161">
        <v>1</v>
      </c>
    </row>
    <row r="130" spans="1:25" ht="19.95" customHeight="1" x14ac:dyDescent="0.25">
      <c r="A130" s="52">
        <v>129</v>
      </c>
      <c r="B130" s="54" t="s">
        <v>281</v>
      </c>
      <c r="C130" s="122" t="s">
        <v>280</v>
      </c>
      <c r="D130" s="54" t="s">
        <v>21</v>
      </c>
      <c r="E130" s="122" t="s">
        <v>321</v>
      </c>
      <c r="F130" s="54" t="s">
        <v>58</v>
      </c>
      <c r="G130" s="54" t="s">
        <v>17</v>
      </c>
      <c r="H130" s="133" t="s">
        <v>389</v>
      </c>
      <c r="I130" s="139" t="s">
        <v>320</v>
      </c>
      <c r="J130" s="13" t="e">
        <f t="shared" si="180"/>
        <v>#REF!</v>
      </c>
      <c r="K130" s="55" t="e">
        <f>VLOOKUP(B130,#REF!,2,0)</f>
        <v>#REF!</v>
      </c>
      <c r="L130" s="118">
        <v>2025</v>
      </c>
      <c r="M130" s="55" t="e">
        <f t="shared" si="181"/>
        <v>#REF!</v>
      </c>
      <c r="N130" s="55" t="e">
        <f>VLOOKUP(B130,#REF!,2,0)</f>
        <v>#REF!</v>
      </c>
      <c r="O130" s="56">
        <f t="shared" si="28"/>
        <v>142.5</v>
      </c>
      <c r="P130" s="56" t="e">
        <f t="shared" si="182"/>
        <v>#REF!</v>
      </c>
      <c r="Q130" s="56" t="e">
        <f t="shared" si="183"/>
        <v>#REF!</v>
      </c>
      <c r="R130" s="57" t="e">
        <f t="shared" si="176"/>
        <v>#REF!</v>
      </c>
      <c r="S130" s="52">
        <v>15</v>
      </c>
      <c r="T130" s="16" t="e">
        <f>+SUMIF(#REF!,'Özet Durum'!B130,#REF!)</f>
        <v>#REF!</v>
      </c>
      <c r="U130" s="83" t="e">
        <f t="shared" si="184"/>
        <v>#REF!</v>
      </c>
      <c r="V130" s="70" t="e">
        <f t="shared" si="185"/>
        <v>#REF!</v>
      </c>
      <c r="W130" s="118" t="s">
        <v>382</v>
      </c>
      <c r="X130" s="55" t="e">
        <f t="shared" si="179"/>
        <v>#REF!</v>
      </c>
      <c r="Y130" s="161"/>
    </row>
    <row r="131" spans="1:25" ht="19.95" customHeight="1" x14ac:dyDescent="0.25">
      <c r="A131" s="52">
        <v>130</v>
      </c>
      <c r="B131" s="54" t="s">
        <v>283</v>
      </c>
      <c r="C131" s="122" t="s">
        <v>279</v>
      </c>
      <c r="D131" s="54" t="s">
        <v>181</v>
      </c>
      <c r="E131" s="122" t="s">
        <v>342</v>
      </c>
      <c r="F131" s="54" t="s">
        <v>386</v>
      </c>
      <c r="G131" s="54" t="s">
        <v>17</v>
      </c>
      <c r="H131" s="133" t="s">
        <v>389</v>
      </c>
      <c r="I131" s="139" t="s">
        <v>320</v>
      </c>
      <c r="J131" s="13" t="e">
        <f t="shared" ref="J131" si="186">+IF(V131=1,"Tamamlandı","Devam Ediyor")</f>
        <v>#REF!</v>
      </c>
      <c r="K131" s="55" t="e">
        <f>VLOOKUP(B131,#REF!,2,0)</f>
        <v>#REF!</v>
      </c>
      <c r="L131" s="118">
        <v>2025</v>
      </c>
      <c r="M131" s="55" t="e">
        <f t="shared" ref="M131:M135" si="187">+K131+O131</f>
        <v>#REF!</v>
      </c>
      <c r="N131" s="55" t="e">
        <f>VLOOKUP(B131,#REF!,2,0)</f>
        <v>#REF!</v>
      </c>
      <c r="O131" s="56">
        <f t="shared" ref="O131:O136" si="188">+IF(I131="Öğren Dönüş",(S131/4)*30+30,0)</f>
        <v>142.5</v>
      </c>
      <c r="P131" s="56" t="e">
        <f t="shared" ref="P131:P136" si="189">+N131-K131</f>
        <v>#REF!</v>
      </c>
      <c r="Q131" s="56" t="e">
        <f t="shared" ref="Q131:Q136" si="190">+YEAR(N131)</f>
        <v>#REF!</v>
      </c>
      <c r="R131" s="57" t="e">
        <f t="shared" ref="R131:R136" si="191">IF(P131&lt;O131,1,1-(ABS(O131-P131)/O131))</f>
        <v>#REF!</v>
      </c>
      <c r="S131" s="52">
        <v>15</v>
      </c>
      <c r="T131" s="16" t="e">
        <f>+SUMIF(#REF!,'Özet Durum'!B131,#REF!)</f>
        <v>#REF!</v>
      </c>
      <c r="U131" s="83" t="e">
        <f t="shared" si="184"/>
        <v>#REF!</v>
      </c>
      <c r="V131" s="70" t="e">
        <f t="shared" ref="V131:V136" si="192">+T131/S131</f>
        <v>#REF!</v>
      </c>
      <c r="W131" s="118" t="s">
        <v>382</v>
      </c>
      <c r="X131" s="55" t="e">
        <f t="shared" si="179"/>
        <v>#REF!</v>
      </c>
      <c r="Y131" s="161"/>
    </row>
    <row r="132" spans="1:25" ht="19.95" customHeight="1" x14ac:dyDescent="0.25">
      <c r="A132" s="52">
        <v>131</v>
      </c>
      <c r="B132" s="54" t="s">
        <v>282</v>
      </c>
      <c r="C132" s="122" t="s">
        <v>19</v>
      </c>
      <c r="D132" s="54" t="s">
        <v>21</v>
      </c>
      <c r="E132" s="122" t="s">
        <v>318</v>
      </c>
      <c r="F132" s="54" t="s">
        <v>16</v>
      </c>
      <c r="G132" s="54" t="s">
        <v>17</v>
      </c>
      <c r="H132" s="133"/>
      <c r="I132" s="139" t="s">
        <v>123</v>
      </c>
      <c r="J132" s="13" t="s">
        <v>390</v>
      </c>
      <c r="K132" s="55" t="e">
        <f>VLOOKUP(B132,#REF!,2,0)</f>
        <v>#REF!</v>
      </c>
      <c r="L132" s="118">
        <v>2025</v>
      </c>
      <c r="M132" s="55" t="e">
        <f t="shared" si="187"/>
        <v>#REF!</v>
      </c>
      <c r="N132" s="55" t="e">
        <f>VLOOKUP(B132,#REF!,2,0)</f>
        <v>#REF!</v>
      </c>
      <c r="O132" s="56">
        <v>300</v>
      </c>
      <c r="P132" s="56" t="e">
        <f t="shared" si="189"/>
        <v>#REF!</v>
      </c>
      <c r="Q132" s="56" t="e">
        <f t="shared" si="190"/>
        <v>#REF!</v>
      </c>
      <c r="R132" s="57" t="e">
        <f t="shared" si="191"/>
        <v>#REF!</v>
      </c>
      <c r="S132" s="52">
        <v>20</v>
      </c>
      <c r="T132" s="16" t="e">
        <f>+SUMIF(#REF!,'Özet Durum'!B132,#REF!)</f>
        <v>#REF!</v>
      </c>
      <c r="U132" s="83" t="e">
        <f t="shared" si="184"/>
        <v>#REF!</v>
      </c>
      <c r="V132" s="70" t="e">
        <f t="shared" si="192"/>
        <v>#REF!</v>
      </c>
      <c r="W132" s="118" t="s">
        <v>382</v>
      </c>
      <c r="X132" s="55" t="e">
        <f t="shared" si="179"/>
        <v>#REF!</v>
      </c>
      <c r="Y132" s="161"/>
    </row>
    <row r="133" spans="1:25" ht="19.95" customHeight="1" x14ac:dyDescent="0.25">
      <c r="A133" s="52">
        <v>132</v>
      </c>
      <c r="B133" s="54" t="s">
        <v>285</v>
      </c>
      <c r="C133" s="122" t="s">
        <v>278</v>
      </c>
      <c r="D133" s="54" t="s">
        <v>21</v>
      </c>
      <c r="E133" s="54" t="s">
        <v>322</v>
      </c>
      <c r="F133" s="54" t="s">
        <v>391</v>
      </c>
      <c r="G133" s="54" t="s">
        <v>17</v>
      </c>
      <c r="H133" s="54" t="s">
        <v>392</v>
      </c>
      <c r="I133" s="54" t="s">
        <v>320</v>
      </c>
      <c r="J133" s="13" t="s">
        <v>390</v>
      </c>
      <c r="K133" s="55" t="e">
        <f>VLOOKUP(B133,#REF!,2,0)</f>
        <v>#REF!</v>
      </c>
      <c r="L133" s="118">
        <v>2025</v>
      </c>
      <c r="M133" s="55" t="e">
        <f t="shared" si="187"/>
        <v>#REF!</v>
      </c>
      <c r="N133" s="55" t="e">
        <f>VLOOKUP(B133,#REF!,2,0)</f>
        <v>#REF!</v>
      </c>
      <c r="O133" s="56">
        <f t="shared" si="188"/>
        <v>142.5</v>
      </c>
      <c r="P133" s="56" t="e">
        <f t="shared" si="189"/>
        <v>#REF!</v>
      </c>
      <c r="Q133" s="56" t="e">
        <f t="shared" si="190"/>
        <v>#REF!</v>
      </c>
      <c r="R133" s="57" t="e">
        <f t="shared" si="191"/>
        <v>#REF!</v>
      </c>
      <c r="S133" s="158">
        <v>15</v>
      </c>
      <c r="T133" s="16" t="e">
        <f>+SUMIF(#REF!,'Özet Durum'!B133,#REF!)</f>
        <v>#REF!</v>
      </c>
      <c r="U133" s="83" t="e">
        <f t="shared" si="184"/>
        <v>#REF!</v>
      </c>
      <c r="V133" s="70" t="e">
        <f t="shared" si="192"/>
        <v>#REF!</v>
      </c>
      <c r="W133" s="118" t="s">
        <v>382</v>
      </c>
      <c r="X133" s="55" t="e">
        <f t="shared" si="179"/>
        <v>#REF!</v>
      </c>
      <c r="Y133" s="161"/>
    </row>
    <row r="134" spans="1:25" ht="19.95" customHeight="1" x14ac:dyDescent="0.25">
      <c r="A134" s="52">
        <v>133</v>
      </c>
      <c r="B134" s="54" t="s">
        <v>284</v>
      </c>
      <c r="C134" s="122" t="s">
        <v>28</v>
      </c>
      <c r="D134" s="54" t="s">
        <v>21</v>
      </c>
      <c r="E134" s="54" t="s">
        <v>324</v>
      </c>
      <c r="F134" s="54" t="s">
        <v>391</v>
      </c>
      <c r="G134" s="54" t="s">
        <v>17</v>
      </c>
      <c r="H134" s="54" t="s">
        <v>392</v>
      </c>
      <c r="I134" s="54" t="s">
        <v>320</v>
      </c>
      <c r="J134" s="13" t="s">
        <v>390</v>
      </c>
      <c r="K134" s="55" t="e">
        <f>VLOOKUP(B134,#REF!,2,0)</f>
        <v>#REF!</v>
      </c>
      <c r="L134" s="118">
        <v>2025</v>
      </c>
      <c r="M134" s="55" t="e">
        <f t="shared" si="187"/>
        <v>#REF!</v>
      </c>
      <c r="N134" s="55" t="e">
        <f>VLOOKUP(B134,#REF!,2,0)</f>
        <v>#REF!</v>
      </c>
      <c r="O134" s="56">
        <f t="shared" si="188"/>
        <v>142.5</v>
      </c>
      <c r="P134" s="56" t="e">
        <f t="shared" si="189"/>
        <v>#REF!</v>
      </c>
      <c r="Q134" s="56" t="e">
        <f t="shared" si="190"/>
        <v>#REF!</v>
      </c>
      <c r="R134" s="57" t="e">
        <f t="shared" si="191"/>
        <v>#REF!</v>
      </c>
      <c r="S134" s="158">
        <v>15</v>
      </c>
      <c r="T134" s="16" t="e">
        <f>+SUMIF(#REF!,'Özet Durum'!B134,#REF!)</f>
        <v>#REF!</v>
      </c>
      <c r="U134" s="83" t="e">
        <f t="shared" si="184"/>
        <v>#REF!</v>
      </c>
      <c r="V134" s="70" t="e">
        <f t="shared" si="192"/>
        <v>#REF!</v>
      </c>
      <c r="W134" s="118" t="s">
        <v>382</v>
      </c>
      <c r="X134" s="55" t="e">
        <f t="shared" si="179"/>
        <v>#REF!</v>
      </c>
      <c r="Y134" s="161"/>
    </row>
    <row r="135" spans="1:25" ht="19.95" customHeight="1" x14ac:dyDescent="0.25">
      <c r="A135" s="52">
        <v>134</v>
      </c>
      <c r="B135" s="54" t="s">
        <v>287</v>
      </c>
      <c r="C135" s="122" t="s">
        <v>286</v>
      </c>
      <c r="D135" s="54" t="s">
        <v>21</v>
      </c>
      <c r="E135" s="54" t="s">
        <v>322</v>
      </c>
      <c r="F135" s="54" t="s">
        <v>58</v>
      </c>
      <c r="G135" s="54" t="s">
        <v>17</v>
      </c>
      <c r="H135" s="54"/>
      <c r="I135" s="54" t="s">
        <v>320</v>
      </c>
      <c r="J135" s="13" t="s">
        <v>390</v>
      </c>
      <c r="K135" s="55" t="e">
        <f>VLOOKUP(B135,#REF!,2,0)</f>
        <v>#REF!</v>
      </c>
      <c r="L135" s="118">
        <v>2025</v>
      </c>
      <c r="M135" s="55" t="e">
        <f t="shared" si="187"/>
        <v>#REF!</v>
      </c>
      <c r="N135" s="55" t="e">
        <f>VLOOKUP(B135,#REF!,2,0)</f>
        <v>#REF!</v>
      </c>
      <c r="O135" s="56">
        <f t="shared" si="188"/>
        <v>142.5</v>
      </c>
      <c r="P135" s="56" t="e">
        <f t="shared" si="189"/>
        <v>#REF!</v>
      </c>
      <c r="Q135" s="56" t="e">
        <f t="shared" si="190"/>
        <v>#REF!</v>
      </c>
      <c r="R135" s="57" t="e">
        <f t="shared" si="191"/>
        <v>#REF!</v>
      </c>
      <c r="S135" s="158">
        <v>15</v>
      </c>
      <c r="T135" s="16" t="e">
        <f>+SUMIF(#REF!,'Özet Durum'!B135,#REF!)</f>
        <v>#REF!</v>
      </c>
      <c r="U135" s="83" t="e">
        <f t="shared" si="184"/>
        <v>#REF!</v>
      </c>
      <c r="V135" s="70" t="e">
        <f t="shared" si="192"/>
        <v>#REF!</v>
      </c>
      <c r="W135" s="118" t="s">
        <v>382</v>
      </c>
      <c r="X135" s="55" t="e">
        <f t="shared" si="179"/>
        <v>#REF!</v>
      </c>
      <c r="Y135" s="161"/>
    </row>
    <row r="136" spans="1:25" ht="19.95" customHeight="1" x14ac:dyDescent="0.25">
      <c r="A136" s="52">
        <v>135</v>
      </c>
      <c r="B136" s="54" t="s">
        <v>289</v>
      </c>
      <c r="C136" s="122" t="s">
        <v>288</v>
      </c>
      <c r="D136" s="54" t="s">
        <v>21</v>
      </c>
      <c r="E136" s="54" t="s">
        <v>322</v>
      </c>
      <c r="F136" s="54" t="s">
        <v>16</v>
      </c>
      <c r="G136" s="54" t="s">
        <v>17</v>
      </c>
      <c r="H136" s="54" t="s">
        <v>393</v>
      </c>
      <c r="I136" s="54" t="s">
        <v>320</v>
      </c>
      <c r="J136" s="13" t="s">
        <v>390</v>
      </c>
      <c r="K136" s="55" t="e">
        <f>VLOOKUP(B136,#REF!,2,0)</f>
        <v>#REF!</v>
      </c>
      <c r="L136" s="118">
        <v>2025</v>
      </c>
      <c r="M136" s="55" t="e">
        <f t="shared" ref="M136" si="193">+K136+O136</f>
        <v>#REF!</v>
      </c>
      <c r="N136" s="55" t="e">
        <f>VLOOKUP(B136,#REF!,2,0)</f>
        <v>#REF!</v>
      </c>
      <c r="O136" s="56">
        <f t="shared" si="188"/>
        <v>142.5</v>
      </c>
      <c r="P136" s="56" t="e">
        <f t="shared" si="189"/>
        <v>#REF!</v>
      </c>
      <c r="Q136" s="56" t="e">
        <f t="shared" si="190"/>
        <v>#REF!</v>
      </c>
      <c r="R136" s="57" t="e">
        <f t="shared" si="191"/>
        <v>#REF!</v>
      </c>
      <c r="S136" s="158">
        <v>15</v>
      </c>
      <c r="T136" s="16" t="e">
        <f>+SUMIF(#REF!,'Özet Durum'!B136,#REF!)</f>
        <v>#REF!</v>
      </c>
      <c r="U136" s="83" t="e">
        <f t="shared" si="184"/>
        <v>#REF!</v>
      </c>
      <c r="V136" s="70" t="e">
        <f t="shared" si="192"/>
        <v>#REF!</v>
      </c>
      <c r="W136" s="118" t="s">
        <v>382</v>
      </c>
      <c r="X136" s="55" t="e">
        <f t="shared" si="179"/>
        <v>#REF!</v>
      </c>
      <c r="Y136" s="161"/>
    </row>
    <row r="137" spans="1:25" ht="19.95" customHeight="1" x14ac:dyDescent="0.25">
      <c r="A137" s="52">
        <v>136</v>
      </c>
      <c r="B137" s="54" t="s">
        <v>291</v>
      </c>
      <c r="C137" s="122" t="s">
        <v>290</v>
      </c>
      <c r="D137" s="54" t="s">
        <v>21</v>
      </c>
      <c r="E137" s="54" t="s">
        <v>394</v>
      </c>
      <c r="F137" s="54" t="s">
        <v>16</v>
      </c>
      <c r="G137" s="54" t="s">
        <v>17</v>
      </c>
      <c r="H137" s="54" t="s">
        <v>395</v>
      </c>
      <c r="I137" s="54" t="s">
        <v>320</v>
      </c>
      <c r="J137" s="13" t="s">
        <v>390</v>
      </c>
      <c r="K137" s="55" t="e">
        <f>VLOOKUP(B137,#REF!,2,0)</f>
        <v>#REF!</v>
      </c>
      <c r="L137" s="118">
        <v>2026</v>
      </c>
      <c r="M137" s="55" t="e">
        <f t="shared" ref="M137" si="194">+K137+O137</f>
        <v>#REF!</v>
      </c>
      <c r="N137" s="55" t="e">
        <f>VLOOKUP(B137,#REF!,2,0)</f>
        <v>#REF!</v>
      </c>
      <c r="O137" s="56">
        <f t="shared" ref="O137" si="195">+IF(I137="Öğren Dönüş",(S137/4)*30+30,0)</f>
        <v>142.5</v>
      </c>
      <c r="P137" s="56" t="e">
        <f t="shared" ref="P137" si="196">+N137-K137</f>
        <v>#REF!</v>
      </c>
      <c r="Q137" s="56" t="e">
        <f t="shared" ref="Q137" si="197">+YEAR(N137)</f>
        <v>#REF!</v>
      </c>
      <c r="R137" s="57" t="e">
        <f t="shared" ref="R137" si="198">IF(P137&lt;O137,1,1-(ABS(O137-P137)/O137))</f>
        <v>#REF!</v>
      </c>
      <c r="S137" s="52">
        <v>15</v>
      </c>
      <c r="T137" s="16" t="e">
        <f>+SUMIF(#REF!,'Özet Durum'!B137,#REF!)</f>
        <v>#REF!</v>
      </c>
      <c r="U137" s="83" t="e">
        <f t="shared" ref="U137" si="199">+S137-T137</f>
        <v>#REF!</v>
      </c>
      <c r="V137" s="70" t="e">
        <f t="shared" ref="V137" si="200">+T137/S137</f>
        <v>#REF!</v>
      </c>
      <c r="W137" s="118" t="s">
        <v>382</v>
      </c>
      <c r="X137" s="55" t="e">
        <f t="shared" ref="X137" si="201">IF(T137&lt;S137/2," ",IF(T137=S137/2,"1.Anket Zamanı Geldi",IF(T137&gt;S137/2,"2.Anket Zamanı Geldi")))</f>
        <v>#REF!</v>
      </c>
      <c r="Y137" s="161" t="e">
        <v>#N/A</v>
      </c>
    </row>
    <row r="138" spans="1:25" ht="19.95" customHeight="1" x14ac:dyDescent="0.25">
      <c r="A138" s="52">
        <v>137</v>
      </c>
      <c r="B138" s="54" t="s">
        <v>396</v>
      </c>
      <c r="C138" s="122" t="s">
        <v>397</v>
      </c>
      <c r="D138" s="54" t="s">
        <v>21</v>
      </c>
      <c r="E138" s="54" t="s">
        <v>322</v>
      </c>
      <c r="F138" s="54" t="s">
        <v>223</v>
      </c>
      <c r="G138" s="54" t="s">
        <v>17</v>
      </c>
      <c r="H138" s="54" t="s">
        <v>398</v>
      </c>
      <c r="I138" s="54" t="s">
        <v>320</v>
      </c>
      <c r="J138" s="13" t="s">
        <v>390</v>
      </c>
      <c r="K138" s="55">
        <v>45992</v>
      </c>
      <c r="L138" s="118">
        <v>2026</v>
      </c>
      <c r="M138" s="55">
        <f t="shared" ref="M138" si="202">+K138+O138</f>
        <v>46134.5</v>
      </c>
      <c r="N138" s="55" t="e">
        <f>VLOOKUP(B138,#REF!,2,0)</f>
        <v>#REF!</v>
      </c>
      <c r="O138" s="56">
        <f t="shared" ref="O138" si="203">+IF(I138="Öğren Dönüş",(S138/4)*30+30,0)</f>
        <v>142.5</v>
      </c>
      <c r="P138" s="56" t="e">
        <f t="shared" ref="P138" si="204">+N138-K138</f>
        <v>#REF!</v>
      </c>
      <c r="Q138" s="56" t="e">
        <f t="shared" ref="Q138" si="205">+YEAR(N138)</f>
        <v>#REF!</v>
      </c>
      <c r="R138" s="57" t="e">
        <f t="shared" ref="R138" si="206">IF(P138&lt;O138,1,1-(ABS(O138-P138)/O138))</f>
        <v>#REF!</v>
      </c>
      <c r="S138" s="52">
        <v>15</v>
      </c>
      <c r="T138" s="16" t="e">
        <f>+SUMIF(#REF!,'Özet Durum'!B138,#REF!)</f>
        <v>#REF!</v>
      </c>
      <c r="U138" s="83" t="e">
        <f t="shared" ref="U138" si="207">+S138-T138</f>
        <v>#REF!</v>
      </c>
      <c r="V138" s="70" t="e">
        <f t="shared" ref="V138" si="208">+T138/S138</f>
        <v>#REF!</v>
      </c>
      <c r="W138" s="118" t="s">
        <v>382</v>
      </c>
      <c r="X138" s="55" t="e">
        <f t="shared" ref="X138" si="209">IF(T138&lt;S138/2," ",IF(T138=S138/2,"1.Anket Zamanı Geldi",IF(T138&gt;S138/2,"2.Anket Zamanı Geldi")))</f>
        <v>#REF!</v>
      </c>
      <c r="Y138" s="161" t="e">
        <v>#N/A</v>
      </c>
    </row>
    <row r="139" spans="1:25" ht="19.95" customHeight="1" x14ac:dyDescent="0.25">
      <c r="A139" s="52">
        <v>138</v>
      </c>
      <c r="B139" s="54" t="s">
        <v>399</v>
      </c>
      <c r="C139" s="122" t="s">
        <v>400</v>
      </c>
      <c r="D139" s="54" t="s">
        <v>21</v>
      </c>
      <c r="E139" s="54" t="s">
        <v>401</v>
      </c>
      <c r="F139" s="54" t="s">
        <v>16</v>
      </c>
      <c r="G139" s="54" t="s">
        <v>17</v>
      </c>
      <c r="H139" s="54" t="s">
        <v>398</v>
      </c>
      <c r="I139" s="54" t="s">
        <v>320</v>
      </c>
      <c r="J139" s="13" t="s">
        <v>390</v>
      </c>
      <c r="K139" s="55">
        <v>45992</v>
      </c>
      <c r="L139" s="118">
        <v>2026</v>
      </c>
      <c r="M139" s="55">
        <f t="shared" ref="M139" si="210">+K139+O139</f>
        <v>46134.5</v>
      </c>
      <c r="N139" s="55" t="e">
        <f>VLOOKUP(B139,#REF!,2,0)</f>
        <v>#REF!</v>
      </c>
      <c r="O139" s="56">
        <f t="shared" ref="O139" si="211">+IF(I139="Öğren Dönüş",(S139/4)*30+30,0)</f>
        <v>142.5</v>
      </c>
      <c r="P139" s="56" t="e">
        <f t="shared" ref="P139" si="212">+N139-K139</f>
        <v>#REF!</v>
      </c>
      <c r="Q139" s="56" t="e">
        <f t="shared" ref="Q139" si="213">+YEAR(N139)</f>
        <v>#REF!</v>
      </c>
      <c r="R139" s="57" t="e">
        <f t="shared" ref="R139" si="214">IF(P139&lt;O139,1,1-(ABS(O139-P139)/O139))</f>
        <v>#REF!</v>
      </c>
      <c r="S139" s="52">
        <v>15</v>
      </c>
      <c r="T139" s="16" t="e">
        <f>+SUMIF(#REF!,'Özet Durum'!B139,#REF!)</f>
        <v>#REF!</v>
      </c>
      <c r="U139" s="83" t="e">
        <f t="shared" ref="U139" si="215">+S139-T139</f>
        <v>#REF!</v>
      </c>
      <c r="V139" s="70" t="e">
        <f t="shared" ref="V139" si="216">+T139/S139</f>
        <v>#REF!</v>
      </c>
      <c r="W139" s="118" t="s">
        <v>382</v>
      </c>
      <c r="X139" s="55" t="e">
        <f t="shared" ref="X139" si="217">IF(T139&lt;S139/2," ",IF(T139=S139/2,"1.Anket Zamanı Geldi",IF(T139&gt;S139/2,"2.Anket Zamanı Geldi")))</f>
        <v>#REF!</v>
      </c>
      <c r="Y139" s="161" t="e">
        <v>#N/A</v>
      </c>
    </row>
    <row r="140" spans="1:25" ht="19.95" customHeight="1" x14ac:dyDescent="0.25">
      <c r="A140" s="52">
        <v>139</v>
      </c>
      <c r="B140" s="54" t="s">
        <v>402</v>
      </c>
      <c r="C140" s="122" t="s">
        <v>403</v>
      </c>
      <c r="D140" s="54" t="s">
        <v>21</v>
      </c>
      <c r="E140" s="54" t="s">
        <v>404</v>
      </c>
      <c r="F140" s="54" t="s">
        <v>223</v>
      </c>
      <c r="G140" s="54" t="s">
        <v>17</v>
      </c>
      <c r="H140" s="54" t="s">
        <v>398</v>
      </c>
      <c r="I140" s="54" t="s">
        <v>320</v>
      </c>
      <c r="J140" s="13" t="s">
        <v>390</v>
      </c>
      <c r="K140" s="55">
        <v>45992</v>
      </c>
      <c r="L140" s="118">
        <v>2026</v>
      </c>
      <c r="M140" s="55">
        <f t="shared" ref="M140" si="218">+K140+O140</f>
        <v>46134.5</v>
      </c>
      <c r="N140" s="55" t="e">
        <f>VLOOKUP(B140,#REF!,2,0)</f>
        <v>#REF!</v>
      </c>
      <c r="O140" s="56">
        <f t="shared" ref="O140" si="219">+IF(I140="Öğren Dönüş",(S140/4)*30+30,0)</f>
        <v>142.5</v>
      </c>
      <c r="P140" s="56" t="e">
        <f t="shared" ref="P140" si="220">+N140-K140</f>
        <v>#REF!</v>
      </c>
      <c r="Q140" s="56" t="e">
        <f t="shared" ref="Q140" si="221">+YEAR(N140)</f>
        <v>#REF!</v>
      </c>
      <c r="R140" s="57" t="e">
        <f t="shared" ref="R140" si="222">IF(P140&lt;O140,1,1-(ABS(O140-P140)/O140))</f>
        <v>#REF!</v>
      </c>
      <c r="S140" s="52">
        <v>15</v>
      </c>
      <c r="T140" s="16" t="e">
        <f>+SUMIF(#REF!,'Özet Durum'!B140,#REF!)</f>
        <v>#REF!</v>
      </c>
      <c r="U140" s="83" t="e">
        <f t="shared" ref="U140" si="223">+S140-T140</f>
        <v>#REF!</v>
      </c>
      <c r="V140" s="70" t="e">
        <f t="shared" ref="V140" si="224">+T140/S140</f>
        <v>#REF!</v>
      </c>
      <c r="W140" s="118" t="s">
        <v>382</v>
      </c>
      <c r="X140" s="55" t="e">
        <f t="shared" ref="X140" si="225">IF(T140&lt;S140/2," ",IF(T140=S140/2,"1.Anket Zamanı Geldi",IF(T140&gt;S140/2,"2.Anket Zamanı Geldi")))</f>
        <v>#REF!</v>
      </c>
      <c r="Y140" s="161" t="e">
        <v>#N/A</v>
      </c>
    </row>
    <row r="141" spans="1:25" ht="19.95" customHeight="1" x14ac:dyDescent="0.25">
      <c r="A141" s="52">
        <v>140</v>
      </c>
      <c r="B141" s="54" t="s">
        <v>405</v>
      </c>
      <c r="C141" s="122" t="s">
        <v>406</v>
      </c>
      <c r="D141" s="54" t="s">
        <v>21</v>
      </c>
      <c r="E141" s="122" t="s">
        <v>321</v>
      </c>
      <c r="F141" s="54" t="s">
        <v>16</v>
      </c>
      <c r="G141" s="54" t="s">
        <v>17</v>
      </c>
      <c r="H141" s="133"/>
      <c r="I141" s="139" t="s">
        <v>123</v>
      </c>
      <c r="J141" s="13" t="s">
        <v>390</v>
      </c>
      <c r="K141" s="55" t="e">
        <f>VLOOKUP(B141,#REF!,2,0)</f>
        <v>#REF!</v>
      </c>
      <c r="L141" s="118">
        <v>2025</v>
      </c>
      <c r="M141" s="55" t="e">
        <f t="shared" ref="M141" si="226">+K141+O141</f>
        <v>#REF!</v>
      </c>
      <c r="N141" s="55" t="e">
        <f>VLOOKUP(B141,#REF!,2,0)</f>
        <v>#REF!</v>
      </c>
      <c r="O141" s="56">
        <v>300</v>
      </c>
      <c r="P141" s="56" t="e">
        <f t="shared" ref="P141" si="227">+N141-K141</f>
        <v>#REF!</v>
      </c>
      <c r="Q141" s="56" t="e">
        <f t="shared" ref="Q141" si="228">+YEAR(N141)</f>
        <v>#REF!</v>
      </c>
      <c r="R141" s="57" t="e">
        <f t="shared" ref="R141" si="229">IF(P141&lt;O141,1,1-(ABS(O141-P141)/O141))</f>
        <v>#REF!</v>
      </c>
      <c r="S141" s="52">
        <v>7</v>
      </c>
      <c r="T141" s="16" t="e">
        <f>+SUMIF(#REF!,'Özet Durum'!B141,#REF!)</f>
        <v>#REF!</v>
      </c>
      <c r="U141" s="83" t="e">
        <f t="shared" ref="U141" si="230">+S141-T141</f>
        <v>#REF!</v>
      </c>
      <c r="V141" s="70" t="e">
        <f t="shared" ref="V141" si="231">+T141/S141</f>
        <v>#REF!</v>
      </c>
      <c r="W141" s="118" t="s">
        <v>382</v>
      </c>
      <c r="X141" s="55" t="e">
        <f t="shared" ref="X141" si="232">IF(T141&lt;S141/2," ",IF(T141=S141/2,"1.Anket Zamanı Geldi",IF(T141&gt;S141/2,"2.Anket Zamanı Geldi")))</f>
        <v>#REF!</v>
      </c>
      <c r="Y141" s="161"/>
    </row>
    <row r="142" spans="1:25" ht="19.95" customHeight="1" x14ac:dyDescent="0.25"/>
    <row r="143" spans="1:25" ht="19.95" customHeight="1" x14ac:dyDescent="0.25"/>
    <row r="144" spans="1:25" ht="19.95" customHeight="1" x14ac:dyDescent="0.25"/>
    <row r="145" ht="19.95" customHeight="1" x14ac:dyDescent="0.25"/>
    <row r="146" ht="19.95" customHeight="1" x14ac:dyDescent="0.25"/>
    <row r="147" ht="19.95" customHeight="1" x14ac:dyDescent="0.25"/>
    <row r="148" ht="19.95" customHeight="1" x14ac:dyDescent="0.25"/>
    <row r="149" ht="19.95" customHeight="1" x14ac:dyDescent="0.25"/>
    <row r="150" ht="19.95" customHeight="1" x14ac:dyDescent="0.25"/>
    <row r="151" ht="19.95" customHeight="1" x14ac:dyDescent="0.25"/>
    <row r="152" ht="19.95" customHeight="1" x14ac:dyDescent="0.25"/>
    <row r="153" ht="19.95" customHeight="1" x14ac:dyDescent="0.25"/>
    <row r="154" ht="19.95" customHeight="1" x14ac:dyDescent="0.25"/>
    <row r="155" ht="19.95" customHeight="1" x14ac:dyDescent="0.25"/>
    <row r="156" ht="19.95" customHeight="1" x14ac:dyDescent="0.25"/>
    <row r="157" ht="19.95" customHeight="1" x14ac:dyDescent="0.25"/>
    <row r="158" ht="19.95" customHeight="1" x14ac:dyDescent="0.25"/>
    <row r="159" ht="19.95" customHeight="1" x14ac:dyDescent="0.25"/>
    <row r="160" ht="19.95" customHeight="1" x14ac:dyDescent="0.25"/>
    <row r="161" ht="19.95" customHeight="1" x14ac:dyDescent="0.25"/>
    <row r="162" ht="19.95" customHeight="1" x14ac:dyDescent="0.25"/>
    <row r="163" ht="19.95" customHeight="1" x14ac:dyDescent="0.25"/>
    <row r="164" ht="19.95" customHeight="1" x14ac:dyDescent="0.25"/>
    <row r="165" ht="19.95" customHeight="1" x14ac:dyDescent="0.25"/>
    <row r="166" ht="19.95" customHeight="1" x14ac:dyDescent="0.25"/>
    <row r="167" ht="19.95" customHeight="1" x14ac:dyDescent="0.25"/>
    <row r="168" ht="19.95" customHeight="1" x14ac:dyDescent="0.25"/>
    <row r="169" ht="19.95" customHeight="1" x14ac:dyDescent="0.25"/>
    <row r="170" ht="19.95" customHeight="1" x14ac:dyDescent="0.25"/>
    <row r="171" ht="19.95" customHeight="1" x14ac:dyDescent="0.25"/>
    <row r="172" ht="19.95" customHeight="1" x14ac:dyDescent="0.25"/>
    <row r="173" ht="19.95" customHeight="1" x14ac:dyDescent="0.25"/>
    <row r="174" ht="19.95" customHeight="1" x14ac:dyDescent="0.25"/>
    <row r="175" ht="19.95" customHeight="1" x14ac:dyDescent="0.25"/>
    <row r="176" ht="19.95" customHeight="1" x14ac:dyDescent="0.25"/>
    <row r="177" ht="19.95" customHeight="1" x14ac:dyDescent="0.25"/>
    <row r="178" ht="19.95" customHeight="1" x14ac:dyDescent="0.25"/>
    <row r="179" ht="19.95" customHeight="1" x14ac:dyDescent="0.25"/>
    <row r="180" ht="19.95" customHeight="1" x14ac:dyDescent="0.25"/>
    <row r="181" ht="19.95" customHeight="1" x14ac:dyDescent="0.25"/>
    <row r="182" ht="19.95" customHeight="1" x14ac:dyDescent="0.25"/>
    <row r="183" ht="19.95" customHeight="1" x14ac:dyDescent="0.25"/>
    <row r="184" ht="19.95" customHeight="1" x14ac:dyDescent="0.25"/>
    <row r="185" ht="19.95" customHeight="1" x14ac:dyDescent="0.25"/>
    <row r="186" ht="19.95" customHeight="1" x14ac:dyDescent="0.25"/>
    <row r="187" ht="19.95" customHeight="1" x14ac:dyDescent="0.25"/>
    <row r="188" ht="19.95" customHeight="1" x14ac:dyDescent="0.25"/>
    <row r="189" ht="19.95" customHeight="1" x14ac:dyDescent="0.25"/>
    <row r="190" ht="19.95" customHeight="1" x14ac:dyDescent="0.25"/>
    <row r="191" ht="19.95" customHeight="1" x14ac:dyDescent="0.25"/>
    <row r="192" ht="19.95" customHeight="1" x14ac:dyDescent="0.25"/>
    <row r="193" ht="19.95" customHeight="1" x14ac:dyDescent="0.25"/>
    <row r="194" ht="19.95" customHeight="1" x14ac:dyDescent="0.25"/>
    <row r="195" ht="19.95" customHeight="1" x14ac:dyDescent="0.25"/>
    <row r="196" ht="19.95" customHeight="1" x14ac:dyDescent="0.25"/>
    <row r="197" ht="19.95" customHeight="1" x14ac:dyDescent="0.25"/>
    <row r="198" ht="19.95" customHeight="1" x14ac:dyDescent="0.25"/>
    <row r="199" ht="19.95" customHeight="1" x14ac:dyDescent="0.25"/>
    <row r="200" ht="19.95" customHeight="1" x14ac:dyDescent="0.25"/>
    <row r="201" ht="19.95" customHeight="1" x14ac:dyDescent="0.25"/>
    <row r="202" ht="19.95" customHeight="1" x14ac:dyDescent="0.25"/>
    <row r="203" ht="19.95" customHeight="1" x14ac:dyDescent="0.25"/>
    <row r="204" ht="19.95" customHeight="1" x14ac:dyDescent="0.25"/>
    <row r="205" ht="19.95" customHeight="1" x14ac:dyDescent="0.25"/>
    <row r="206" ht="19.95" customHeight="1" x14ac:dyDescent="0.25"/>
    <row r="207" ht="19.95" customHeight="1" x14ac:dyDescent="0.25"/>
    <row r="208" ht="19.95" customHeight="1" x14ac:dyDescent="0.25"/>
    <row r="209" ht="19.95" customHeight="1" x14ac:dyDescent="0.25"/>
    <row r="210" ht="19.95" customHeight="1" x14ac:dyDescent="0.25"/>
    <row r="211" ht="19.95" customHeight="1" x14ac:dyDescent="0.25"/>
    <row r="212" ht="19.95" customHeight="1" x14ac:dyDescent="0.25"/>
    <row r="213" ht="19.95" customHeight="1" x14ac:dyDescent="0.25"/>
    <row r="214" ht="19.95" customHeight="1" x14ac:dyDescent="0.25"/>
    <row r="215" ht="19.95" customHeight="1" x14ac:dyDescent="0.25"/>
    <row r="216" ht="19.95" customHeight="1" x14ac:dyDescent="0.25"/>
    <row r="217" ht="19.95" customHeight="1" x14ac:dyDescent="0.25"/>
    <row r="218" ht="19.95" customHeight="1" x14ac:dyDescent="0.25"/>
    <row r="219" ht="19.95" customHeight="1" x14ac:dyDescent="0.25"/>
    <row r="220" ht="19.95" customHeight="1" x14ac:dyDescent="0.25"/>
    <row r="221" ht="19.95" customHeight="1" x14ac:dyDescent="0.25"/>
    <row r="222" ht="19.95" customHeight="1" x14ac:dyDescent="0.25"/>
    <row r="223" ht="19.95" customHeight="1" x14ac:dyDescent="0.25"/>
    <row r="224" ht="19.95" customHeight="1" x14ac:dyDescent="0.25"/>
    <row r="225" ht="19.95" customHeight="1" x14ac:dyDescent="0.25"/>
    <row r="226" ht="19.95" customHeight="1" x14ac:dyDescent="0.25"/>
    <row r="227" ht="19.95" customHeight="1" x14ac:dyDescent="0.25"/>
    <row r="228" ht="19.95" customHeight="1" x14ac:dyDescent="0.25"/>
    <row r="229" ht="19.95" customHeight="1" x14ac:dyDescent="0.25"/>
    <row r="230" ht="19.95" customHeight="1" x14ac:dyDescent="0.25"/>
    <row r="231" ht="19.95" customHeight="1" x14ac:dyDescent="0.25"/>
    <row r="232" ht="19.95" customHeight="1" x14ac:dyDescent="0.25"/>
    <row r="233" ht="19.95" customHeight="1" x14ac:dyDescent="0.25"/>
    <row r="234" ht="19.95" customHeight="1" x14ac:dyDescent="0.25"/>
    <row r="235" ht="19.95" customHeight="1" x14ac:dyDescent="0.25"/>
    <row r="236" ht="19.95" customHeight="1" x14ac:dyDescent="0.25"/>
    <row r="237" ht="19.95" customHeight="1" x14ac:dyDescent="0.25"/>
    <row r="238" ht="19.95" customHeight="1" x14ac:dyDescent="0.25"/>
    <row r="239" ht="19.95" customHeight="1" x14ac:dyDescent="0.25"/>
    <row r="240" ht="19.95" customHeight="1" x14ac:dyDescent="0.25"/>
    <row r="241" ht="19.95" customHeight="1" x14ac:dyDescent="0.25"/>
    <row r="242" ht="19.95" customHeight="1" x14ac:dyDescent="0.25"/>
    <row r="243" ht="19.95" customHeight="1" x14ac:dyDescent="0.25"/>
    <row r="244" ht="19.95" customHeight="1" x14ac:dyDescent="0.25"/>
    <row r="245" ht="19.95" customHeight="1" x14ac:dyDescent="0.25"/>
    <row r="246" ht="19.95" customHeight="1" x14ac:dyDescent="0.25"/>
    <row r="247" ht="19.95" customHeight="1" x14ac:dyDescent="0.25"/>
    <row r="248" ht="19.95" customHeight="1" x14ac:dyDescent="0.25"/>
    <row r="249" ht="19.95" customHeight="1" x14ac:dyDescent="0.25"/>
    <row r="250" ht="19.95" customHeight="1" x14ac:dyDescent="0.25"/>
    <row r="251" ht="19.95" customHeight="1" x14ac:dyDescent="0.25"/>
    <row r="252" ht="19.95" customHeight="1" x14ac:dyDescent="0.25"/>
    <row r="253" ht="19.95" customHeight="1" x14ac:dyDescent="0.25"/>
    <row r="254" ht="19.95" customHeight="1" x14ac:dyDescent="0.25"/>
    <row r="255" ht="19.95" customHeight="1" x14ac:dyDescent="0.25"/>
    <row r="256" ht="19.95" customHeight="1" x14ac:dyDescent="0.25"/>
    <row r="257" ht="19.95" customHeight="1" x14ac:dyDescent="0.25"/>
    <row r="258" ht="19.95" customHeight="1" x14ac:dyDescent="0.25"/>
    <row r="259" ht="19.95" customHeight="1" x14ac:dyDescent="0.25"/>
    <row r="260" ht="19.95" customHeight="1" x14ac:dyDescent="0.25"/>
    <row r="261" ht="19.95" customHeight="1" x14ac:dyDescent="0.25"/>
    <row r="262" ht="19.95" customHeight="1" x14ac:dyDescent="0.25"/>
    <row r="263" ht="19.95" customHeight="1" x14ac:dyDescent="0.25"/>
    <row r="264" ht="19.95" customHeight="1" x14ac:dyDescent="0.25"/>
    <row r="265" ht="19.95" customHeight="1" x14ac:dyDescent="0.25"/>
    <row r="266" ht="19.95" customHeight="1" x14ac:dyDescent="0.25"/>
    <row r="267" ht="19.95" customHeight="1" x14ac:dyDescent="0.25"/>
    <row r="268" ht="19.95" customHeight="1" x14ac:dyDescent="0.25"/>
    <row r="269" ht="19.95" customHeight="1" x14ac:dyDescent="0.25"/>
    <row r="270" ht="19.95" customHeight="1" x14ac:dyDescent="0.25"/>
    <row r="271" ht="19.95" customHeight="1" x14ac:dyDescent="0.25"/>
    <row r="272" ht="19.95" customHeight="1" x14ac:dyDescent="0.25"/>
    <row r="273" ht="19.95" customHeight="1" x14ac:dyDescent="0.25"/>
    <row r="274" ht="19.95" customHeight="1" x14ac:dyDescent="0.25"/>
    <row r="275" ht="19.95" customHeight="1" x14ac:dyDescent="0.25"/>
    <row r="276" ht="19.95" customHeight="1" x14ac:dyDescent="0.25"/>
    <row r="277" ht="19.95" customHeight="1" x14ac:dyDescent="0.25"/>
    <row r="278" ht="19.95" customHeight="1" x14ac:dyDescent="0.25"/>
    <row r="279" ht="19.95" customHeight="1" x14ac:dyDescent="0.25"/>
    <row r="280" ht="19.95" customHeight="1" x14ac:dyDescent="0.25"/>
    <row r="281" ht="19.95" customHeight="1" x14ac:dyDescent="0.25"/>
    <row r="282" ht="19.95" customHeight="1" x14ac:dyDescent="0.25"/>
    <row r="283" ht="19.95" customHeight="1" x14ac:dyDescent="0.25"/>
    <row r="284" ht="19.95" customHeight="1" x14ac:dyDescent="0.25"/>
    <row r="285" ht="19.95" customHeight="1" x14ac:dyDescent="0.25"/>
    <row r="286" ht="19.95" customHeight="1" x14ac:dyDescent="0.25"/>
    <row r="287" ht="19.95" customHeight="1" x14ac:dyDescent="0.25"/>
    <row r="288" ht="19.95" customHeight="1" x14ac:dyDescent="0.25"/>
    <row r="289" ht="19.95" customHeight="1" x14ac:dyDescent="0.25"/>
    <row r="290" ht="19.95" customHeight="1" x14ac:dyDescent="0.25"/>
    <row r="291" ht="19.95" customHeight="1" x14ac:dyDescent="0.25"/>
    <row r="292" ht="19.95" customHeight="1" x14ac:dyDescent="0.25"/>
    <row r="293" ht="19.95" customHeight="1" x14ac:dyDescent="0.25"/>
    <row r="294" ht="19.95" customHeight="1" x14ac:dyDescent="0.25"/>
    <row r="295" ht="19.95" customHeight="1" x14ac:dyDescent="0.25"/>
    <row r="296" ht="19.95" customHeight="1" x14ac:dyDescent="0.25"/>
    <row r="297" ht="19.95" customHeight="1" x14ac:dyDescent="0.25"/>
    <row r="298" ht="19.95" customHeight="1" x14ac:dyDescent="0.25"/>
    <row r="299" ht="19.95" customHeight="1" x14ac:dyDescent="0.25"/>
    <row r="300" ht="19.95" customHeight="1" x14ac:dyDescent="0.25"/>
    <row r="301" ht="19.95" customHeight="1" x14ac:dyDescent="0.25"/>
    <row r="302" ht="19.95" customHeight="1" x14ac:dyDescent="0.25"/>
    <row r="303" ht="19.95" customHeight="1" x14ac:dyDescent="0.25"/>
    <row r="304" ht="19.95" customHeight="1" x14ac:dyDescent="0.25"/>
    <row r="305" ht="19.95" customHeight="1" x14ac:dyDescent="0.25"/>
    <row r="306" ht="19.95" customHeight="1" x14ac:dyDescent="0.25"/>
    <row r="307" ht="19.95" customHeight="1" x14ac:dyDescent="0.25"/>
    <row r="308" ht="19.95" customHeight="1" x14ac:dyDescent="0.25"/>
    <row r="1074" spans="4:4" x14ac:dyDescent="0.25">
      <c r="D1074" s="72">
        <v>44897</v>
      </c>
    </row>
    <row r="1075" spans="4:4" x14ac:dyDescent="0.25">
      <c r="D1075" s="72">
        <v>44897</v>
      </c>
    </row>
  </sheetData>
  <autoFilter ref="A1:AA140" xr:uid="{720B6563-C95E-4D3E-AFFB-616FEFFE3BC2}">
    <filterColumn colId="9">
      <filters>
        <filter val="Devam Ediyor"/>
      </filters>
    </filterColumn>
    <filterColumn colId="10">
      <filters>
        <dateGroupItem year="2025" dateTimeGrouping="year"/>
        <dateGroupItem year="2024" dateTimeGrouping="year"/>
        <dateGroupItem year="2023" dateTimeGrouping="year"/>
      </filters>
    </filterColumn>
    <filterColumn colId="11">
      <filters>
        <filter val="2024"/>
        <filter val="2025"/>
        <filter val="2026"/>
      </filters>
    </filterColumn>
  </autoFilter>
  <phoneticPr fontId="35" type="noConversion"/>
  <conditionalFormatting sqref="V2:V141">
    <cfRule type="dataBar" priority="76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{B8A5310B-F6AA-4B22-A7D6-05AFE4116EDE}</x14:id>
        </ext>
      </extLst>
    </cfRule>
  </conditionalFormatting>
  <conditionalFormatting sqref="V75:V81 V73 V84:V141">
    <cfRule type="dataBar" priority="768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{9C09E82B-438E-4D0A-B386-CD6639FEF55A}</x14:id>
        </ext>
      </extLst>
    </cfRule>
  </conditionalFormatting>
  <conditionalFormatting sqref="X2:X141">
    <cfRule type="containsText" dxfId="2" priority="4" operator="containsText" text="2.Anket Zamanı Geldi">
      <formula>NOT(ISERROR(SEARCH("2.Anket Zamanı Geldi",X2)))</formula>
    </cfRule>
    <cfRule type="containsText" dxfId="1" priority="5" operator="containsText" text="2. Anket zamanı geldi">
      <formula>NOT(ISERROR(SEARCH("2. Anket zamanı geldi",X2)))</formula>
    </cfRule>
    <cfRule type="containsText" dxfId="0" priority="6" operator="containsText" text="ANKET ZAMANI GELDİ">
      <formula>NOT(ISERROR(SEARCH("ANKET ZAMANI GELDİ",X2)))</formula>
    </cfRule>
  </conditionalFormatting>
  <pageMargins left="0.7" right="0.7" top="0.75" bottom="0.75" header="0.3" footer="0.3"/>
  <pageSetup paperSize="9" orientation="portrait" verticalDpi="0" r:id="rId1"/>
  <ignoredErrors>
    <ignoredError sqref="R87" evalError="1"/>
    <ignoredError sqref="O126" formula="1"/>
  </ignoredErrors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8A5310B-F6AA-4B22-A7D6-05AFE4116EDE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V2:V141</xm:sqref>
        </x14:conditionalFormatting>
        <x14:conditionalFormatting xmlns:xm="http://schemas.microsoft.com/office/excel/2006/main">
          <x14:cfRule type="dataBar" id="{9C09E82B-438E-4D0A-B386-CD6639FEF55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V75:V81 V73 V84:V141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5c24515-97f6-4883-9d2c-8e4a5efc37cd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Belge" ma:contentTypeID="0x010100B42AD956A4E5624F9EE00B96F146E6B6" ma:contentTypeVersion="19" ma:contentTypeDescription="Yeni belge oluşturun." ma:contentTypeScope="" ma:versionID="dca910c2f7fdcbd2ac92a9ef9f936d28">
  <xsd:schema xmlns:xsd="http://www.w3.org/2001/XMLSchema" xmlns:xs="http://www.w3.org/2001/XMLSchema" xmlns:p="http://schemas.microsoft.com/office/2006/metadata/properties" xmlns:ns3="95c24515-97f6-4883-9d2c-8e4a5efc37cd" xmlns:ns4="492c1af0-653c-4716-9253-10ed19b6bd18" targetNamespace="http://schemas.microsoft.com/office/2006/metadata/properties" ma:root="true" ma:fieldsID="ed42ef7ccd52651cb324ae19fc3e2db2" ns3:_="" ns4:_="">
    <xsd:import namespace="95c24515-97f6-4883-9d2c-8e4a5efc37cd"/>
    <xsd:import namespace="492c1af0-653c-4716-9253-10ed19b6bd18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MediaServiceOCR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c24515-97f6-4883-9d2c-8e4a5efc37c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2c1af0-653c-4716-9253-10ed19b6bd18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Paylaşılanla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Ayrıntıları ile Paylaşıldı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İpucu Paylaşımı Karması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İçerik Türü"/>
        <xsd:element ref="dc:title" minOccurs="0" maxOccurs="1" ma:index="4" ma:displayName="Başlı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D5105B2-746C-4823-83E4-3C84140BBD9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2F6683D-41AF-43E1-B7FC-CED0C683D37A}">
  <ds:schemaRefs>
    <ds:schemaRef ds:uri="http://purl.org/dc/dcmitype/"/>
    <ds:schemaRef ds:uri="http://schemas.microsoft.com/office/2006/metadata/properties"/>
    <ds:schemaRef ds:uri="95c24515-97f6-4883-9d2c-8e4a5efc37cd"/>
    <ds:schemaRef ds:uri="http://purl.org/dc/elements/1.1/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492c1af0-653c-4716-9253-10ed19b6bd18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F473BAB5-447A-427F-8FAF-3FBFC1A6B99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5c24515-97f6-4883-9d2c-8e4a5efc37cd"/>
    <ds:schemaRef ds:uri="492c1af0-653c-4716-9253-10ed19b6bd1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Ana Veri</vt:lpstr>
      <vt:lpstr>Özet Durum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emre koşar</dc:creator>
  <cp:keywords/>
  <dc:description/>
  <cp:lastModifiedBy>tuğba sorkulu</cp:lastModifiedBy>
  <cp:revision/>
  <dcterms:created xsi:type="dcterms:W3CDTF">2020-09-09T08:32:27Z</dcterms:created>
  <dcterms:modified xsi:type="dcterms:W3CDTF">2025-12-19T07:47:21Z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0x010100B42AD956A4E5624F9EE00B96F146E6B6</vt:lpwstr>
  </property>
</Properties>
</file>