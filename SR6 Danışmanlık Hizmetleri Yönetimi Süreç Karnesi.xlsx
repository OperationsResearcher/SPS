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PY_Cursor\SP_Code\"/>
    </mc:Choice>
  </mc:AlternateContent>
  <xr:revisionPtr revIDLastSave="0" documentId="13_ncr:1_{E71439F0-CF73-48C4-895B-CE00E21E2BD4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2021- ESKİ " sheetId="2" r:id="rId1"/>
    <sheet name="2022- ESKİ " sheetId="3" r:id="rId2"/>
    <sheet name="2023 - ESKİ " sheetId="4" r:id="rId3"/>
    <sheet name="2021" sheetId="12" r:id="rId4"/>
    <sheet name="2022" sheetId="11" r:id="rId5"/>
    <sheet name="2023" sheetId="10" r:id="rId6"/>
    <sheet name="2024" sheetId="5" r:id="rId7"/>
    <sheet name="2025" sheetId="13" r:id="rId8"/>
    <sheet name="Grafik" sheetId="1" r:id="rId9"/>
  </sheets>
  <definedNames>
    <definedName name="_xlnm._FilterDatabase" localSheetId="3" hidden="1">'2021'!$A$6:$X$25</definedName>
    <definedName name="_xlnm._FilterDatabase" localSheetId="4" hidden="1">'2022'!$A$6:$X$25</definedName>
    <definedName name="_xlnm._FilterDatabase" localSheetId="5" hidden="1">'2023'!$A$6:$X$25</definedName>
    <definedName name="_xlnm._FilterDatabase" localSheetId="6" hidden="1">'2024'!$A$6:$X$25</definedName>
    <definedName name="_xlnm._FilterDatabase" localSheetId="7" hidden="1">'2025'!$A$6:$X$39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3" l="1"/>
  <c r="L13" i="13"/>
  <c r="P31" i="13"/>
  <c r="P15" i="5"/>
  <c r="P25" i="13"/>
  <c r="R33" i="5"/>
  <c r="R31" i="5"/>
  <c r="R29" i="5"/>
  <c r="R31" i="13"/>
  <c r="Q39" i="13" s="1"/>
  <c r="P23" i="13" l="1"/>
  <c r="R23" i="13"/>
  <c r="R19" i="13"/>
  <c r="R21" i="13"/>
  <c r="G39" i="13" l="1"/>
  <c r="R37" i="13"/>
  <c r="R27" i="13"/>
  <c r="P27" i="13"/>
  <c r="R25" i="13"/>
  <c r="R15" i="13"/>
  <c r="P15" i="13"/>
  <c r="R11" i="13"/>
  <c r="P11" i="13"/>
  <c r="R9" i="13"/>
  <c r="P9" i="13"/>
  <c r="R7" i="13"/>
  <c r="P7" i="13"/>
  <c r="P23" i="12"/>
  <c r="P19" i="12"/>
  <c r="P17" i="12"/>
  <c r="P15" i="12"/>
  <c r="P11" i="12"/>
  <c r="P9" i="12"/>
  <c r="P7" i="12"/>
  <c r="P17" i="11"/>
  <c r="P7" i="5"/>
  <c r="P11" i="11"/>
  <c r="P15" i="11" l="1"/>
  <c r="P7" i="11"/>
  <c r="P19" i="10"/>
  <c r="P17" i="10"/>
  <c r="P9" i="10"/>
  <c r="P15" i="10"/>
  <c r="P11" i="10"/>
  <c r="P23" i="5"/>
  <c r="P19" i="5"/>
  <c r="P17" i="5"/>
  <c r="P11" i="5"/>
  <c r="P9" i="5"/>
  <c r="G25" i="12" l="1"/>
  <c r="R23" i="12"/>
  <c r="R19" i="12"/>
  <c r="R17" i="12"/>
  <c r="R15" i="12"/>
  <c r="R11" i="12"/>
  <c r="R9" i="12"/>
  <c r="R7" i="12"/>
  <c r="Q25" i="12" s="1"/>
  <c r="G25" i="11"/>
  <c r="R23" i="11"/>
  <c r="P23" i="11"/>
  <c r="R19" i="11"/>
  <c r="R17" i="11"/>
  <c r="R15" i="11"/>
  <c r="R11" i="11"/>
  <c r="R9" i="11"/>
  <c r="P9" i="11"/>
  <c r="R7" i="11"/>
  <c r="G25" i="10"/>
  <c r="R23" i="10"/>
  <c r="P23" i="10"/>
  <c r="R19" i="10"/>
  <c r="R17" i="10"/>
  <c r="R15" i="10"/>
  <c r="R11" i="10"/>
  <c r="R9" i="10"/>
  <c r="R7" i="10"/>
  <c r="P7" i="10"/>
  <c r="G25" i="5"/>
  <c r="Q25" i="11" l="1"/>
  <c r="Q25" i="10"/>
  <c r="Q23" i="4"/>
  <c r="R7" i="4"/>
  <c r="R17" i="4"/>
  <c r="R15" i="4"/>
  <c r="R13" i="4"/>
  <c r="R17" i="5"/>
  <c r="R15" i="5"/>
  <c r="R11" i="5"/>
  <c r="R19" i="5" l="1"/>
  <c r="R23" i="5" l="1"/>
  <c r="R9" i="5"/>
  <c r="R7" i="5"/>
  <c r="Q25" i="5" s="1"/>
  <c r="G23" i="4"/>
  <c r="R21" i="4"/>
  <c r="P17" i="4"/>
  <c r="P15" i="4"/>
  <c r="R13" i="3"/>
  <c r="G23" i="3" l="1"/>
  <c r="P19" i="2"/>
  <c r="L9" i="1" l="1"/>
  <c r="R21" i="3" l="1"/>
  <c r="P17" i="3"/>
  <c r="P15" i="3"/>
  <c r="O10" i="2" l="1"/>
  <c r="O11" i="2"/>
  <c r="O12" i="2"/>
  <c r="O8" i="2"/>
  <c r="O7" i="2"/>
  <c r="Q11" i="2" l="1"/>
  <c r="O9" i="2" l="1"/>
  <c r="N10" i="2" l="1"/>
  <c r="M10" i="2"/>
  <c r="L10" i="2"/>
  <c r="K10" i="2"/>
  <c r="R17" i="3"/>
  <c r="R15" i="3"/>
  <c r="P13" i="3"/>
  <c r="R7" i="3"/>
  <c r="Q23" i="3" l="1"/>
  <c r="Q15" i="2"/>
  <c r="Q13" i="2"/>
  <c r="Q9" i="2"/>
  <c r="Q7" i="2"/>
  <c r="Q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Ebru TAKCI</author>
  </authors>
  <commentList>
    <comment ref="L15" authorId="0" shapeId="0" xr:uid="{126C757D-C3CC-44F9-839B-4DCD24793CE4}">
      <text>
        <r>
          <rPr>
            <sz val="11"/>
            <color theme="1"/>
            <rFont val="Calibri"/>
            <family val="2"/>
            <scheme val="minor"/>
          </rPr>
          <t xml:space="preserve">Ebru TAKCI:
80 gün saha danışmanlık + 30 gün ön analiz </t>
        </r>
      </text>
    </comment>
    <comment ref="L23" authorId="0" shapeId="0" xr:uid="{DBEA5DA7-D490-48C5-AAE1-620DFDB744D5}">
      <text>
        <r>
          <rPr>
            <sz val="11"/>
            <color theme="1"/>
            <rFont val="Calibri"/>
            <family val="2"/>
            <scheme val="minor"/>
          </rPr>
          <t xml:space="preserve">Ebru TAKCI:
Saha Danışmanlık  +
Ön Analiz </t>
        </r>
      </text>
    </comment>
  </commentList>
</comments>
</file>

<file path=xl/sharedStrings.xml><?xml version="1.0" encoding="utf-8"?>
<sst xmlns="http://schemas.openxmlformats.org/spreadsheetml/2006/main" count="1222" uniqueCount="224">
  <si>
    <t>SR6 - DANIŞMANLIK HİZMETLERİ YÖNETİMİ  SÜREÇ KARNESİ</t>
  </si>
  <si>
    <t>REV. TARİHİ</t>
  </si>
  <si>
    <t>YAYIN TARİHİ</t>
  </si>
  <si>
    <t xml:space="preserve">DOKÜMAN NO : </t>
  </si>
  <si>
    <t>SÜREÇ LİDERİ</t>
  </si>
  <si>
    <t>Emre Koşar</t>
  </si>
  <si>
    <t>SÜREÇ EKİBİ</t>
  </si>
  <si>
    <t>Salih Yalçın, Ebru Takcı,Beyza Kaçar, M.Arif Kapusuzoğlu, Selimhan Bostancı, Ahmet Yavuz</t>
  </si>
  <si>
    <t>2021 Yılı Parametre Başarı Puanları</t>
  </si>
  <si>
    <t>Beklentinin Çok Altında  
 (1 puan)</t>
  </si>
  <si>
    <t>İyileştirmeye Açık
(2 puan)</t>
  </si>
  <si>
    <t>Hedefe Ulaşmış 
(3 puan)</t>
  </si>
  <si>
    <t>Hedefin Üzerinde
(4 puan)</t>
  </si>
  <si>
    <t>Mükemmel 
(5 puan)</t>
  </si>
  <si>
    <t>Ana Strateji</t>
  </si>
  <si>
    <t>Alt Strateji</t>
  </si>
  <si>
    <t>Gösterge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</si>
  <si>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</si>
  <si>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</si>
  <si>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</si>
  <si>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</si>
  <si>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</si>
  <si>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</si>
  <si>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</si>
  <si>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1.P</t>
  </si>
  <si>
    <t>2.P</t>
  </si>
  <si>
    <t>3.P</t>
  </si>
  <si>
    <t>4.P</t>
  </si>
  <si>
    <t>Yıl Sonu</t>
  </si>
  <si>
    <t>Başarı Puanı</t>
  </si>
  <si>
    <t>Ağırlıklı Başarı Puanı</t>
  </si>
  <si>
    <t>ST4</t>
  </si>
  <si>
    <t xml:space="preserve">
ST4.2.</t>
  </si>
  <si>
    <t>Danışmanlık Hizmeti Verilen Yeni Firma Sayısı</t>
  </si>
  <si>
    <t>iylş.</t>
  </si>
  <si>
    <t>DH</t>
  </si>
  <si>
    <t>Adet</t>
  </si>
  <si>
    <t>6 ay</t>
  </si>
  <si>
    <t>Fiili</t>
  </si>
  <si>
    <t>5-13</t>
  </si>
  <si>
    <t>14-22</t>
  </si>
  <si>
    <t>23-31</t>
  </si>
  <si>
    <t>31+</t>
  </si>
  <si>
    <t>Hedef</t>
  </si>
  <si>
    <t>Verilen Danışmanlık Süresi</t>
  </si>
  <si>
    <t>İnsan x gün</t>
  </si>
  <si>
    <t>1 yıl</t>
  </si>
  <si>
    <t>300-350</t>
  </si>
  <si>
    <t>350-400</t>
  </si>
  <si>
    <t>400-450</t>
  </si>
  <si>
    <t>450-</t>
  </si>
  <si>
    <t xml:space="preserve">Hizmet Verilen Kurumlardaki Getiri Tutarı </t>
  </si>
  <si>
    <t>HKY</t>
  </si>
  <si>
    <t>TL</t>
  </si>
  <si>
    <t>-10.000.000</t>
  </si>
  <si>
    <t>10.000.000-24.900.000</t>
  </si>
  <si>
    <t>25.000.000-39.900.000</t>
  </si>
  <si>
    <t>40.000.001-59.000.000</t>
  </si>
  <si>
    <t xml:space="preserve">60.000.000 - </t>
  </si>
  <si>
    <t>Danışmanlık Takvimine (Planına) Uyum Oranı</t>
  </si>
  <si>
    <t>%</t>
  </si>
  <si>
    <t>3 ay</t>
  </si>
  <si>
    <t>%50-85</t>
  </si>
  <si>
    <t>%85-90</t>
  </si>
  <si>
    <t>%91-95</t>
  </si>
  <si>
    <t>%96-</t>
  </si>
  <si>
    <t>Danışman Kapasite Kullanma Oranı</t>
  </si>
  <si>
    <t>%50-75</t>
  </si>
  <si>
    <t>%75-85</t>
  </si>
  <si>
    <t>%85-95</t>
  </si>
  <si>
    <t>%95-</t>
  </si>
  <si>
    <t>ST4.3.</t>
  </si>
  <si>
    <t>Danışmanlık Projesi Memnuniyet Oranı</t>
  </si>
  <si>
    <t>%80-89</t>
  </si>
  <si>
    <t>%90-100</t>
  </si>
  <si>
    <t>-</t>
  </si>
  <si>
    <t>SÜRECİN AĞIRLIKLI BAŞARI ORANI</t>
  </si>
  <si>
    <t>HER İŞLETMEYE ÖNCE VE SONRA YALIN OLGUNLUK SEVİYESİ ÖLÇÜMÜ YAPILACAK - BUNUNLA İLGİLİ PARAMETRE</t>
  </si>
  <si>
    <t>PROJE DENEYİM PAYLAŞIMI GÖSTERGESİ - BELKİ AYDA 1 GİBİ…</t>
  </si>
  <si>
    <t>ST2</t>
  </si>
  <si>
    <t>ST2.2.</t>
  </si>
  <si>
    <t>Danışmanlık Hizmetleri Yönetimi Gider Bütçesine Uyum Oranı</t>
  </si>
  <si>
    <t>pazarlama sürecine dahil olacak</t>
  </si>
  <si>
    <t>15-17</t>
  </si>
  <si>
    <t>18 - 22</t>
  </si>
  <si>
    <t>22 - 26</t>
  </si>
  <si>
    <t>26 - 30</t>
  </si>
  <si>
    <t>30 -</t>
  </si>
  <si>
    <t>22-26</t>
  </si>
  <si>
    <t xml:space="preserve"> gün</t>
  </si>
  <si>
    <t>150-379</t>
  </si>
  <si>
    <t>380 - 419</t>
  </si>
  <si>
    <t>420 - 449</t>
  </si>
  <si>
    <t>450 - 479</t>
  </si>
  <si>
    <t>480 -</t>
  </si>
  <si>
    <t>420-449</t>
  </si>
  <si>
    <t>Hizmet Verilen Kurumlardaki Getiri Miktarı</t>
  </si>
  <si>
    <t>50.000,00 TL - 74.999,00 TL</t>
  </si>
  <si>
    <t>75.000,00 TL - 99.999,00 TL</t>
  </si>
  <si>
    <t>100.000,00 TL - 124.999,00 TL</t>
  </si>
  <si>
    <t>125.000,00 TL - 149.999,00 TL</t>
  </si>
  <si>
    <t>+150.000,00 TL</t>
  </si>
  <si>
    <t>100.000,00 TL - 124.999,00</t>
  </si>
  <si>
    <t>75%-79%</t>
  </si>
  <si>
    <t>80%-89%</t>
  </si>
  <si>
    <t>90%-100%</t>
  </si>
  <si>
    <t>*</t>
  </si>
  <si>
    <t>Tam Zamanlı Danışman Kapasite Kullanma Oranı</t>
  </si>
  <si>
    <t>Yıl</t>
  </si>
  <si>
    <t>60%-69%</t>
  </si>
  <si>
    <t>70%-79%</t>
  </si>
  <si>
    <t>%80 - %89</t>
  </si>
  <si>
    <t>%90 - %95</t>
  </si>
  <si>
    <t>%95 - %100</t>
  </si>
  <si>
    <t>%80-100</t>
  </si>
  <si>
    <t>80%-100%</t>
  </si>
  <si>
    <t>Yarı Zamanlı Danışman Kullanma Oranı</t>
  </si>
  <si>
    <t>ist</t>
  </si>
  <si>
    <t>1 Yıl</t>
  </si>
  <si>
    <t>90-95</t>
  </si>
  <si>
    <t>95-100</t>
  </si>
  <si>
    <t>Danışmanlık süreci çalıştay sayısı</t>
  </si>
  <si>
    <t>Çalıştaydan elde edilen çıktı sayısı</t>
  </si>
  <si>
    <t>ist.</t>
  </si>
  <si>
    <t>Salih Yalçın, Ebru Takcı, Pınar Balcı</t>
  </si>
  <si>
    <t>Salih Yalçın, Ebru Takcı</t>
  </si>
  <si>
    <t>ST3</t>
  </si>
  <si>
    <t>ST3.3.</t>
  </si>
  <si>
    <t>Ortalama Proje Tamamlanma Süresi</t>
  </si>
  <si>
    <t>Hafta</t>
  </si>
  <si>
    <t>37+</t>
  </si>
  <si>
    <t>36-31</t>
  </si>
  <si>
    <t>24-30</t>
  </si>
  <si>
    <t>23-19</t>
  </si>
  <si>
    <t>18-</t>
  </si>
  <si>
    <t>Proje Takviminden Sapma (Gün)</t>
  </si>
  <si>
    <t>Gün</t>
  </si>
  <si>
    <t>Danışmanlık Gün Sayısı</t>
  </si>
  <si>
    <t>239-</t>
  </si>
  <si>
    <t>240-359</t>
  </si>
  <si>
    <t>360-479</t>
  </si>
  <si>
    <t>480+</t>
  </si>
  <si>
    <t>Danışmanlık Süresi (Adam/Gün)</t>
  </si>
  <si>
    <t>359-</t>
  </si>
  <si>
    <t>360-539</t>
  </si>
  <si>
    <t>540+</t>
  </si>
  <si>
    <t>%96 - %100</t>
  </si>
  <si>
    <t>ST3.4.</t>
  </si>
  <si>
    <t>90%-95%</t>
  </si>
  <si>
    <t>%96-%100</t>
  </si>
  <si>
    <t>Hizmet Verilen Firma Sayısı (Başladığı Yıl)</t>
  </si>
  <si>
    <t xml:space="preserve">Ebru Takcı </t>
  </si>
  <si>
    <t>2022 Yılı Parametre Başarı Puanları</t>
  </si>
  <si>
    <t xml:space="preserve">Emre Koşar </t>
  </si>
  <si>
    <t>2023 Yılı Parametre Başarı Puanları</t>
  </si>
  <si>
    <t>Mehmet Sürücü, Pınar Balcı, Buğra Doymaz</t>
  </si>
  <si>
    <t>2024 Yılı Parametre Başarı Puanları</t>
  </si>
  <si>
    <t>Sürdürülen Proje Sayısı</t>
  </si>
  <si>
    <t>Tamamlanan Proje Sayısı</t>
  </si>
  <si>
    <t>Danışmanlık Süresi (İnsan/Gün) Stajyerli</t>
  </si>
  <si>
    <t>2025 Yılı Parametre Başarı Puanları</t>
  </si>
  <si>
    <t>360.000,00 TL - 400.999,00</t>
  </si>
  <si>
    <t>6 Ay</t>
  </si>
  <si>
    <t>25+</t>
  </si>
  <si>
    <t>21-24</t>
  </si>
  <si>
    <t>18-20</t>
  </si>
  <si>
    <t>17-</t>
  </si>
  <si>
    <t>390-</t>
  </si>
  <si>
    <t>391-410</t>
  </si>
  <si>
    <t>411-430</t>
  </si>
  <si>
    <t>431-450</t>
  </si>
  <si>
    <t>451+</t>
  </si>
  <si>
    <t>27-</t>
  </si>
  <si>
    <t>28-32</t>
  </si>
  <si>
    <t>33-37</t>
  </si>
  <si>
    <t>38-42</t>
  </si>
  <si>
    <t>43+</t>
  </si>
  <si>
    <t>22-</t>
  </si>
  <si>
    <t>23-26</t>
  </si>
  <si>
    <t>27-30</t>
  </si>
  <si>
    <t>31-34</t>
  </si>
  <si>
    <t>35+</t>
  </si>
  <si>
    <t>Danışmanlık Süresi (İnsan/Gün)</t>
  </si>
  <si>
    <t>510-</t>
  </si>
  <si>
    <t>511-550</t>
  </si>
  <si>
    <t>551-590</t>
  </si>
  <si>
    <t>591-630</t>
  </si>
  <si>
    <t>631+</t>
  </si>
  <si>
    <t>1320-</t>
  </si>
  <si>
    <t>1321-1380</t>
  </si>
  <si>
    <t>1381-1440</t>
  </si>
  <si>
    <t>1441-1500</t>
  </si>
  <si>
    <t>1501+</t>
  </si>
  <si>
    <t>Mükerrer Hizmet Alan Firma Sayısı (Başladığı Yıl)</t>
  </si>
  <si>
    <t>Mükerrer Proje Sayısı (Başladığı Yıl)</t>
  </si>
  <si>
    <t>ST6</t>
  </si>
  <si>
    <t>ST6.1</t>
  </si>
  <si>
    <t>Projelerde Görev Alan Stajyer Sayısı(Tamamlanan Proje)</t>
  </si>
  <si>
    <t>48-</t>
  </si>
  <si>
    <t>49-53</t>
  </si>
  <si>
    <t>54-58</t>
  </si>
  <si>
    <t>59-63</t>
  </si>
  <si>
    <t>64+</t>
  </si>
  <si>
    <t>DANIŞMANLIK HİZMETLERİ YÖNETİMİ  SÜREÇ KARNESİ</t>
  </si>
  <si>
    <t>Doküman No</t>
  </si>
  <si>
    <t>Tarih</t>
  </si>
  <si>
    <t>Revizyon</t>
  </si>
  <si>
    <t>Sayfa</t>
  </si>
  <si>
    <t>AKSİYON</t>
  </si>
  <si>
    <t>PUAN</t>
  </si>
  <si>
    <t>DURUM</t>
  </si>
  <si>
    <t>ACİL İYİLEŞME GEREKLİ</t>
  </si>
  <si>
    <t>%40 ALTI</t>
  </si>
  <si>
    <t>İYİLEŞME GEREKLİ</t>
  </si>
  <si>
    <t>%40-%70</t>
  </si>
  <si>
    <t>TAKİP EDİLMELİ</t>
  </si>
  <si>
    <t>%70 - %85</t>
  </si>
  <si>
    <t>SÜRDÜRÜLMELİ</t>
  </si>
  <si>
    <t>%85 ÜSTÜ</t>
  </si>
  <si>
    <t>S</t>
  </si>
  <si>
    <t>VERİ DÖNEMİ</t>
  </si>
  <si>
    <t>ONAYLAR</t>
  </si>
  <si>
    <t>SÜREÇ YÖNETİCİSİ</t>
  </si>
  <si>
    <t>GENEL MÜDÜR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</si>
</sst>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0.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20"/>
      <color theme="1"/>
      <name val="Tahoma"/>
      <family val="2"/>
      <charset val="162"/>
    </font>
    <font>
      <b/>
      <sz val="10"/>
      <color theme="1"/>
      <name val="Symath"/>
      <charset val="162"/>
    </font>
    <font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0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  <charset val="162"/>
    </font>
    <font>
      <sz val="11"/>
      <color rgb="FF444444"/>
      <name val="Calibri"/>
      <family val="2"/>
      <charset val="162"/>
    </font>
    <font>
      <sz val="10"/>
      <color rgb="FF444444"/>
      <name val="Calibri"/>
      <family val="2"/>
      <charset val="1"/>
    </font>
    <font>
      <sz val="10"/>
      <color rgb="FF444444"/>
      <name val="Calibri"/>
      <family val="2"/>
      <charset val="162"/>
    </font>
    <font>
      <sz val="9"/>
      <name val="Calibri"/>
      <family val="2"/>
      <charset val="162"/>
      <scheme val="minor"/>
    </font>
    <font>
      <sz val="11"/>
      <color rgb="FF242424"/>
      <name val="Aptos Narrow"/>
      <charset val="1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4" borderId="5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1" fontId="9" fillId="0" borderId="5" xfId="1" applyNumberFormat="1" applyFont="1" applyFill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9" fontId="10" fillId="2" borderId="5" xfId="0" applyNumberFormat="1" applyFont="1" applyFill="1" applyBorder="1" applyAlignment="1">
      <alignment vertical="center"/>
    </xf>
    <xf numFmtId="9" fontId="9" fillId="0" borderId="5" xfId="2" applyFont="1" applyFill="1" applyBorder="1" applyAlignment="1">
      <alignment horizontal="center" vertical="center"/>
    </xf>
    <xf numFmtId="9" fontId="9" fillId="0" borderId="5" xfId="1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/>
    <xf numFmtId="0" fontId="2" fillId="4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6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1" fontId="9" fillId="0" borderId="20" xfId="1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64" fontId="9" fillId="0" borderId="23" xfId="1" applyNumberFormat="1" applyFont="1" applyFill="1" applyBorder="1" applyAlignment="1">
      <alignment horizontal="center" vertical="center"/>
    </xf>
    <xf numFmtId="9" fontId="9" fillId="0" borderId="5" xfId="2" applyFont="1" applyBorder="1" applyAlignment="1">
      <alignment horizontal="center" vertical="center"/>
    </xf>
    <xf numFmtId="164" fontId="9" fillId="0" borderId="5" xfId="1" applyNumberFormat="1" applyFont="1" applyFill="1" applyBorder="1" applyAlignment="1">
      <alignment vertical="center"/>
    </xf>
    <xf numFmtId="164" fontId="9" fillId="0" borderId="5" xfId="1" applyNumberFormat="1" applyFont="1" applyBorder="1" applyAlignment="1">
      <alignment vertical="center"/>
    </xf>
    <xf numFmtId="165" fontId="9" fillId="0" borderId="5" xfId="1" applyNumberFormat="1" applyFont="1" applyFill="1" applyBorder="1" applyAlignment="1">
      <alignment horizontal="center" vertical="center"/>
    </xf>
    <xf numFmtId="1" fontId="9" fillId="0" borderId="5" xfId="2" applyNumberFormat="1" applyFont="1" applyFill="1" applyBorder="1" applyAlignment="1">
      <alignment horizontal="center" vertical="center"/>
    </xf>
    <xf numFmtId="9" fontId="9" fillId="0" borderId="20" xfId="1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/>
    </xf>
    <xf numFmtId="0" fontId="17" fillId="0" borderId="3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indent="1"/>
    </xf>
    <xf numFmtId="9" fontId="16" fillId="0" borderId="5" xfId="0" applyNumberFormat="1" applyFont="1" applyBorder="1" applyAlignment="1">
      <alignment horizontal="center" vertical="center" indent="1"/>
    </xf>
    <xf numFmtId="0" fontId="9" fillId="11" borderId="5" xfId="0" applyFont="1" applyFill="1" applyBorder="1" applyAlignment="1">
      <alignment horizontal="center" vertical="center"/>
    </xf>
    <xf numFmtId="1" fontId="9" fillId="11" borderId="5" xfId="2" applyNumberFormat="1" applyFont="1" applyFill="1" applyBorder="1" applyAlignment="1">
      <alignment horizontal="center" vertical="center"/>
    </xf>
    <xf numFmtId="1" fontId="9" fillId="11" borderId="5" xfId="1" applyNumberFormat="1" applyFont="1" applyFill="1" applyBorder="1" applyAlignment="1">
      <alignment horizontal="center" vertical="center"/>
    </xf>
    <xf numFmtId="1" fontId="9" fillId="11" borderId="5" xfId="0" applyNumberFormat="1" applyFont="1" applyFill="1" applyBorder="1" applyAlignment="1">
      <alignment horizontal="center" vertical="center"/>
    </xf>
    <xf numFmtId="1" fontId="9" fillId="11" borderId="20" xfId="1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164" fontId="9" fillId="3" borderId="5" xfId="1" applyNumberFormat="1" applyFont="1" applyFill="1" applyBorder="1" applyAlignment="1">
      <alignment vertical="center"/>
    </xf>
    <xf numFmtId="164" fontId="9" fillId="3" borderId="23" xfId="1" applyNumberFormat="1" applyFont="1" applyFill="1" applyBorder="1" applyAlignment="1">
      <alignment horizontal="center" vertical="center"/>
    </xf>
    <xf numFmtId="9" fontId="9" fillId="3" borderId="20" xfId="1" applyNumberFormat="1" applyFont="1" applyFill="1" applyBorder="1" applyAlignment="1">
      <alignment horizontal="center" vertical="center"/>
    </xf>
    <xf numFmtId="9" fontId="9" fillId="3" borderId="5" xfId="1" applyNumberFormat="1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/>
    </xf>
    <xf numFmtId="0" fontId="16" fillId="0" borderId="0" xfId="0" applyFont="1" applyAlignment="1">
      <alignment horizontal="center" vertical="center" indent="1"/>
    </xf>
    <xf numFmtId="0" fontId="16" fillId="3" borderId="0" xfId="0" applyFont="1" applyFill="1" applyAlignment="1">
      <alignment horizontal="center" vertical="center" indent="1"/>
    </xf>
    <xf numFmtId="9" fontId="9" fillId="11" borderId="5" xfId="1" applyNumberFormat="1" applyFont="1" applyFill="1" applyBorder="1" applyAlignment="1">
      <alignment horizontal="center" vertical="center"/>
    </xf>
    <xf numFmtId="9" fontId="9" fillId="11" borderId="5" xfId="2" applyFont="1" applyFill="1" applyBorder="1" applyAlignment="1">
      <alignment horizontal="center" vertical="center"/>
    </xf>
    <xf numFmtId="164" fontId="12" fillId="0" borderId="5" xfId="1" applyNumberFormat="1" applyFont="1" applyFill="1" applyBorder="1" applyAlignment="1">
      <alignment vertical="center"/>
    </xf>
    <xf numFmtId="164" fontId="9" fillId="0" borderId="23" xfId="1" applyNumberFormat="1" applyFont="1" applyFill="1" applyBorder="1" applyAlignment="1">
      <alignment vertical="center"/>
    </xf>
    <xf numFmtId="0" fontId="16" fillId="3" borderId="5" xfId="0" applyFont="1" applyFill="1" applyBorder="1" applyAlignment="1">
      <alignment horizontal="center" vertical="center" indent="1"/>
    </xf>
    <xf numFmtId="0" fontId="16" fillId="3" borderId="23" xfId="0" applyFont="1" applyFill="1" applyBorder="1" applyAlignment="1">
      <alignment horizontal="center" vertical="center" indent="1"/>
    </xf>
    <xf numFmtId="0" fontId="20" fillId="0" borderId="0" xfId="0" applyFont="1"/>
    <xf numFmtId="1" fontId="9" fillId="0" borderId="18" xfId="1" applyNumberFormat="1" applyFont="1" applyFill="1" applyBorder="1" applyAlignment="1">
      <alignment horizontal="center" vertical="center"/>
    </xf>
    <xf numFmtId="1" fontId="9" fillId="0" borderId="23" xfId="1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2" fontId="9" fillId="0" borderId="5" xfId="0" quotePrefix="1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44" fontId="9" fillId="0" borderId="5" xfId="1" quotePrefix="1" applyFont="1" applyBorder="1" applyAlignment="1">
      <alignment horizontal="center" vertical="center"/>
    </xf>
    <xf numFmtId="44" fontId="9" fillId="0" borderId="5" xfId="1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9" fontId="9" fillId="0" borderId="18" xfId="1" applyNumberFormat="1" applyFont="1" applyFill="1" applyBorder="1" applyAlignment="1">
      <alignment horizontal="center" vertical="center"/>
    </xf>
    <xf numFmtId="9" fontId="9" fillId="0" borderId="19" xfId="1" applyNumberFormat="1" applyFont="1" applyFill="1" applyBorder="1" applyAlignment="1">
      <alignment horizontal="center" vertical="center"/>
    </xf>
    <xf numFmtId="9" fontId="9" fillId="0" borderId="23" xfId="1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4" fontId="10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10" fillId="10" borderId="5" xfId="0" applyFont="1" applyFill="1" applyBorder="1" applyAlignment="1">
      <alignment horizontal="left"/>
    </xf>
    <xf numFmtId="0" fontId="9" fillId="0" borderId="22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4" fontId="9" fillId="0" borderId="5" xfId="1" quotePrefix="1" applyNumberFormat="1" applyFont="1" applyBorder="1" applyAlignment="1">
      <alignment horizontal="center" vertical="center"/>
    </xf>
    <xf numFmtId="164" fontId="9" fillId="0" borderId="5" xfId="1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2" fontId="10" fillId="2" borderId="5" xfId="0" applyNumberFormat="1" applyFont="1" applyFill="1" applyBorder="1" applyAlignment="1">
      <alignment horizontal="center" vertical="center"/>
    </xf>
    <xf numFmtId="0" fontId="9" fillId="0" borderId="20" xfId="0" quotePrefix="1" applyFont="1" applyBorder="1" applyAlignment="1">
      <alignment horizontal="center" vertical="center"/>
    </xf>
    <xf numFmtId="9" fontId="9" fillId="0" borderId="35" xfId="2" applyFont="1" applyFill="1" applyBorder="1" applyAlignment="1">
      <alignment horizontal="center" vertical="center"/>
    </xf>
    <xf numFmtId="9" fontId="9" fillId="0" borderId="36" xfId="2" applyFont="1" applyFill="1" applyBorder="1" applyAlignment="1">
      <alignment horizontal="center" vertical="center"/>
    </xf>
    <xf numFmtId="9" fontId="9" fillId="0" borderId="37" xfId="2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9" fontId="9" fillId="0" borderId="20" xfId="0" applyNumberFormat="1" applyFont="1" applyBorder="1" applyAlignment="1">
      <alignment horizontal="center" vertical="center"/>
    </xf>
    <xf numFmtId="9" fontId="9" fillId="0" borderId="21" xfId="0" applyNumberFormat="1" applyFont="1" applyBorder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9" fontId="9" fillId="0" borderId="20" xfId="2" applyFont="1" applyFill="1" applyBorder="1" applyAlignment="1">
      <alignment horizontal="center" vertical="center"/>
    </xf>
    <xf numFmtId="9" fontId="9" fillId="0" borderId="21" xfId="2" applyFont="1" applyFill="1" applyBorder="1" applyAlignment="1">
      <alignment horizontal="center" vertical="center"/>
    </xf>
    <xf numFmtId="9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vertical="center" wrapText="1"/>
    </xf>
    <xf numFmtId="0" fontId="9" fillId="11" borderId="22" xfId="0" applyFont="1" applyFill="1" applyBorder="1" applyAlignment="1">
      <alignment vertical="center" wrapText="1"/>
    </xf>
    <xf numFmtId="0" fontId="9" fillId="11" borderId="21" xfId="0" applyFont="1" applyFill="1" applyBorder="1" applyAlignment="1">
      <alignment vertical="center" wrapText="1"/>
    </xf>
    <xf numFmtId="9" fontId="9" fillId="11" borderId="5" xfId="0" applyNumberFormat="1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9" fontId="9" fillId="0" borderId="20" xfId="1" applyNumberFormat="1" applyFont="1" applyFill="1" applyBorder="1" applyAlignment="1">
      <alignment horizontal="center" vertical="center"/>
    </xf>
    <xf numFmtId="9" fontId="9" fillId="0" borderId="21" xfId="1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0" fontId="19" fillId="11" borderId="11" xfId="0" applyFont="1" applyFill="1" applyBorder="1" applyAlignment="1">
      <alignment horizontal="center" vertical="center"/>
    </xf>
    <xf numFmtId="16" fontId="9" fillId="0" borderId="5" xfId="0" quotePrefix="1" applyNumberFormat="1" applyFont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1" fontId="9" fillId="11" borderId="18" xfId="1" applyNumberFormat="1" applyFont="1" applyFill="1" applyBorder="1" applyAlignment="1">
      <alignment horizontal="center" vertical="center"/>
    </xf>
    <xf numFmtId="1" fontId="9" fillId="11" borderId="23" xfId="1" applyNumberFormat="1" applyFont="1" applyFill="1" applyBorder="1" applyAlignment="1">
      <alignment horizontal="center" vertical="center"/>
    </xf>
    <xf numFmtId="164" fontId="9" fillId="0" borderId="20" xfId="1" applyNumberFormat="1" applyFont="1" applyFill="1" applyBorder="1" applyAlignment="1">
      <alignment horizontal="center" vertical="center"/>
    </xf>
    <xf numFmtId="164" fontId="9" fillId="0" borderId="21" xfId="1" applyNumberFormat="1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vertical="center" wrapText="1"/>
    </xf>
    <xf numFmtId="0" fontId="13" fillId="11" borderId="20" xfId="0" applyFont="1" applyFill="1" applyBorder="1" applyAlignment="1">
      <alignment horizontal="center" vertical="center" wrapText="1"/>
    </xf>
    <xf numFmtId="0" fontId="13" fillId="11" borderId="21" xfId="0" applyFont="1" applyFill="1" applyBorder="1" applyAlignment="1">
      <alignment horizontal="center" vertical="center" wrapText="1"/>
    </xf>
    <xf numFmtId="44" fontId="9" fillId="0" borderId="20" xfId="1" applyFont="1" applyBorder="1" applyAlignment="1">
      <alignment horizontal="center" vertical="center"/>
    </xf>
    <xf numFmtId="44" fontId="9" fillId="0" borderId="21" xfId="1" applyFont="1" applyBorder="1" applyAlignment="1">
      <alignment horizontal="center" vertical="center"/>
    </xf>
    <xf numFmtId="44" fontId="9" fillId="0" borderId="5" xfId="1" quotePrefix="1" applyFont="1" applyFill="1" applyBorder="1" applyAlignment="1">
      <alignment horizontal="center" vertical="center"/>
    </xf>
    <xf numFmtId="44" fontId="9" fillId="0" borderId="5" xfId="1" applyFont="1" applyFill="1" applyBorder="1" applyAlignment="1">
      <alignment horizontal="center" vertical="center"/>
    </xf>
    <xf numFmtId="9" fontId="9" fillId="0" borderId="5" xfId="2" applyFont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/>
    </xf>
    <xf numFmtId="9" fontId="9" fillId="3" borderId="20" xfId="2" applyFont="1" applyFill="1" applyBorder="1" applyAlignment="1">
      <alignment horizontal="center" vertical="center"/>
    </xf>
    <xf numFmtId="9" fontId="9" fillId="3" borderId="21" xfId="2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vertical="center" wrapText="1"/>
    </xf>
    <xf numFmtId="9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9" fillId="3" borderId="20" xfId="0" quotePrefix="1" applyFont="1" applyFill="1" applyBorder="1" applyAlignment="1">
      <alignment horizontal="center" vertical="center"/>
    </xf>
    <xf numFmtId="9" fontId="9" fillId="3" borderId="35" xfId="2" applyFont="1" applyFill="1" applyBorder="1" applyAlignment="1">
      <alignment horizontal="center" vertical="center"/>
    </xf>
    <xf numFmtId="9" fontId="9" fillId="3" borderId="36" xfId="2" applyFont="1" applyFill="1" applyBorder="1" applyAlignment="1">
      <alignment horizontal="center" vertical="center"/>
    </xf>
    <xf numFmtId="9" fontId="9" fillId="3" borderId="37" xfId="2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vertical="center" wrapText="1"/>
    </xf>
    <xf numFmtId="0" fontId="9" fillId="12" borderId="21" xfId="0" applyFont="1" applyFill="1" applyBorder="1" applyAlignment="1">
      <alignment vertical="center" wrapText="1"/>
    </xf>
    <xf numFmtId="9" fontId="9" fillId="3" borderId="23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9" fontId="9" fillId="3" borderId="7" xfId="2" applyFont="1" applyFill="1" applyBorder="1" applyAlignment="1">
      <alignment horizontal="center" vertical="center"/>
    </xf>
    <xf numFmtId="9" fontId="9" fillId="3" borderId="8" xfId="2" applyFont="1" applyFill="1" applyBorder="1" applyAlignment="1">
      <alignment horizontal="center" vertical="center"/>
    </xf>
    <xf numFmtId="9" fontId="9" fillId="3" borderId="10" xfId="2" applyFont="1" applyFill="1" applyBorder="1" applyAlignment="1">
      <alignment horizontal="center" vertical="center"/>
    </xf>
    <xf numFmtId="9" fontId="9" fillId="3" borderId="12" xfId="2" applyFont="1" applyFill="1" applyBorder="1" applyAlignment="1">
      <alignment horizontal="center" vertical="center"/>
    </xf>
    <xf numFmtId="9" fontId="9" fillId="3" borderId="13" xfId="2" applyFont="1" applyFill="1" applyBorder="1" applyAlignment="1">
      <alignment horizontal="center" vertical="center"/>
    </xf>
    <xf numFmtId="9" fontId="9" fillId="3" borderId="14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13" borderId="11" xfId="0" applyFont="1" applyFill="1" applyBorder="1" applyAlignment="1">
      <alignment vertical="center" wrapText="1"/>
    </xf>
    <xf numFmtId="0" fontId="9" fillId="13" borderId="14" xfId="0" applyFont="1" applyFill="1" applyBorder="1" applyAlignment="1">
      <alignment vertical="center" wrapText="1"/>
    </xf>
    <xf numFmtId="1" fontId="9" fillId="0" borderId="19" xfId="1" applyNumberFormat="1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vertical="center" wrapText="1"/>
    </xf>
    <xf numFmtId="0" fontId="9" fillId="13" borderId="21" xfId="0" applyFont="1" applyFill="1" applyBorder="1" applyAlignment="1">
      <alignment vertical="center" wrapText="1"/>
    </xf>
    <xf numFmtId="0" fontId="9" fillId="15" borderId="5" xfId="0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14" borderId="5" xfId="0" applyFont="1" applyFill="1" applyBorder="1" applyAlignment="1">
      <alignment vertical="center" wrapText="1"/>
    </xf>
    <xf numFmtId="0" fontId="9" fillId="3" borderId="45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vertical="center" wrapText="1"/>
    </xf>
    <xf numFmtId="0" fontId="9" fillId="14" borderId="21" xfId="0" applyFont="1" applyFill="1" applyBorder="1" applyAlignment="1">
      <alignment vertical="center" wrapText="1"/>
    </xf>
    <xf numFmtId="2" fontId="9" fillId="3" borderId="23" xfId="0" applyNumberFormat="1" applyFont="1" applyFill="1" applyBorder="1" applyAlignment="1">
      <alignment horizontal="center" vertical="center"/>
    </xf>
    <xf numFmtId="0" fontId="9" fillId="15" borderId="20" xfId="0" applyFont="1" applyFill="1" applyBorder="1" applyAlignment="1">
      <alignment vertical="center" wrapText="1"/>
    </xf>
    <xf numFmtId="0" fontId="9" fillId="15" borderId="21" xfId="0" applyFont="1" applyFill="1" applyBorder="1" applyAlignment="1">
      <alignment vertical="center" wrapText="1"/>
    </xf>
    <xf numFmtId="0" fontId="18" fillId="3" borderId="9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9" fontId="18" fillId="3" borderId="47" xfId="0" applyNumberFormat="1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3" borderId="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3" fillId="3" borderId="5" xfId="2" applyFont="1" applyFill="1" applyBorder="1" applyAlignment="1">
      <alignment horizontal="center" vertical="center"/>
    </xf>
    <xf numFmtId="9" fontId="3" fillId="3" borderId="20" xfId="2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left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</cellXfs>
  <cellStyles count="3">
    <cellStyle name="Normal" xfId="0" builtinId="0"/>
    <cellStyle name="ParaBirimi" xfId="1" builtin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'!$J$9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'!$K$9:$N$9</c:f>
              <c:numCache>
                <c:formatCode>0</c:formatCode>
                <c:ptCount val="4"/>
                <c:pt idx="0">
                  <c:v>87</c:v>
                </c:pt>
                <c:pt idx="1">
                  <c:v>63</c:v>
                </c:pt>
                <c:pt idx="2">
                  <c:v>129</c:v>
                </c:pt>
                <c:pt idx="3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C-4201-B144-548D7DBB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'!$J$10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'!$K$10:$N$10</c:f>
              <c:numCache>
                <c:formatCode>0</c:formatCode>
                <c:ptCount val="4"/>
                <c:pt idx="0">
                  <c:v>72</c:v>
                </c:pt>
                <c:pt idx="1">
                  <c:v>72</c:v>
                </c:pt>
                <c:pt idx="2">
                  <c:v>108</c:v>
                </c:pt>
                <c:pt idx="3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C-4201-B144-548D7DBB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455445377134733E-2"/>
          <c:y val="0.17223767212252289"/>
          <c:w val="0.90483068820576384"/>
          <c:h val="0.678034540677364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'2021'!#REF!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'2021'!#REF!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85-4416-9C37-C75EFF59C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'2021'!#REF!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'2021'!#REF!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485-4416-9C37-C75EFF59C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9407781992615E-2"/>
          <c:y val="0.17796609509742073"/>
          <c:w val="0.92472818482940078"/>
          <c:h val="0.64598941804983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'!$J$7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'!$K$7:$N$7</c:f>
              <c:numCache>
                <c:formatCode>0</c:formatCode>
                <c:ptCount val="4"/>
                <c:pt idx="0">
                  <c:v>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3-47EE-9E06-66CBA8AF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'!$J$8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'!$K$8:$N$8</c:f>
              <c:numCache>
                <c:formatCode>0</c:formatCode>
                <c:ptCount val="4"/>
                <c:pt idx="0">
                  <c:v>10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3-47EE-9E06-66CBA8AF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'!$J$11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'!$K$11:$N$11</c:f>
              <c:numCache>
                <c:formatCode>_-"₺"* #,##0_-;\-"₺"* #,##0_-;_-"₺"* "-"??_-;_-@_-</c:formatCode>
                <c:ptCount val="4"/>
                <c:pt idx="0">
                  <c:v>0</c:v>
                </c:pt>
                <c:pt idx="1">
                  <c:v>25110000</c:v>
                </c:pt>
                <c:pt idx="2">
                  <c:v>19309432</c:v>
                </c:pt>
                <c:pt idx="3">
                  <c:v>17711000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3-4E85-9654-DD7EC56C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'!$J$12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'!$K$12:$N$12</c:f>
              <c:numCache>
                <c:formatCode>_-"₺"* #,##0_-;\-"₺"* #,##0_-;_-"₺"* "-"??_-;_-@_-</c:formatCode>
                <c:ptCount val="4"/>
                <c:pt idx="0">
                  <c:v>9000000</c:v>
                </c:pt>
                <c:pt idx="1">
                  <c:v>9000000</c:v>
                </c:pt>
                <c:pt idx="2">
                  <c:v>9000000</c:v>
                </c:pt>
                <c:pt idx="3">
                  <c:v>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3-4E85-9654-DD7EC56C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₺&quot;* #,##0_-;\-&quot;₺&quot;* #,##0_-;_-&quot;₺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'!$J$13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'!$K$13:$N$13</c:f>
              <c:numCache>
                <c:formatCode>0%</c:formatCode>
                <c:ptCount val="4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D-4DF0-BE15-756EC0D6E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'!$J$14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'!$K$14:$N$14</c:f>
              <c:numCache>
                <c:formatCode>0%</c:formatCode>
                <c:ptCount val="4"/>
                <c:pt idx="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D-4DF0-BE15-756EC0D6E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'!$J$17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'!$K$17:$N$17</c:f>
              <c:numCache>
                <c:formatCode>0.0%</c:formatCode>
                <c:ptCount val="4"/>
                <c:pt idx="0">
                  <c:v>0.9597</c:v>
                </c:pt>
                <c:pt idx="1">
                  <c:v>0.9597</c:v>
                </c:pt>
                <c:pt idx="2">
                  <c:v>0.9597</c:v>
                </c:pt>
                <c:pt idx="3">
                  <c:v>0.9597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5-441D-935F-BA4C7133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'!$J$18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'!$K$18:$N$18</c:f>
              <c:numCache>
                <c:formatCode>0%</c:formatCode>
                <c:ptCount val="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5-441D-935F-BA4C7133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138248</xdr:colOff>
      <xdr:row>39</xdr:row>
      <xdr:rowOff>117021</xdr:rowOff>
    </xdr:from>
    <xdr:to>
      <xdr:col>12</xdr:col>
      <xdr:colOff>522248</xdr:colOff>
      <xdr:row>60</xdr:row>
      <xdr:rowOff>76521</xdr:rowOff>
    </xdr:to>
    <xdr:grpSp>
      <xdr:nvGrpSpPr>
        <xdr:cNvPr id="10" name="Grup 9">
          <a:extLst>
            <a:ext uri="{FF2B5EF4-FFF2-40B4-BE49-F238E27FC236}">
              <a16:creationId xmlns:a16="http://schemas.microsoft.com/office/drawing/2014/main" id="{A7D7A808-7424-AE5F-0896-06F00C40C7CC}"/>
            </a:ext>
          </a:extLst>
        </xdr:cNvPr>
        <xdr:cNvGrpSpPr/>
      </xdr:nvGrpSpPr>
      <xdr:grpSpPr>
        <a:xfrm>
          <a:off x="971686" y="9284834"/>
          <a:ext cx="6575250" cy="3960000"/>
          <a:chOff x="1121228" y="12804321"/>
          <a:chExt cx="6480000" cy="3960000"/>
        </a:xfrm>
      </xdr:grpSpPr>
      <xdr:graphicFrame macro="">
        <xdr:nvGraphicFramePr>
          <xdr:cNvPr id="4" name="Grafik 3">
            <a:extLst>
              <a:ext uri="{FF2B5EF4-FFF2-40B4-BE49-F238E27FC236}">
                <a16:creationId xmlns:a16="http://schemas.microsoft.com/office/drawing/2014/main" id="{6E621DED-00B6-4533-8B0C-48A6B5A7DC31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'2021- ESKİ '!C9">
        <xdr:nvSpPr>
          <xdr:cNvPr id="5" name="Metin kutusu 4">
            <a:extLst>
              <a:ext uri="{FF2B5EF4-FFF2-40B4-BE49-F238E27FC236}">
                <a16:creationId xmlns:a16="http://schemas.microsoft.com/office/drawing/2014/main" id="{E2FEE094-9FE3-D63B-8C15-CE79D1691CCF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F1B4BE0-C131-4A9D-B0C9-AFCB375BF11B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Verilen Danışmanlık Süresi</a:t>
            </a:fld>
            <a:endParaRPr lang="tr-TR" sz="2400" b="1"/>
          </a:p>
        </xdr:txBody>
      </xdr:sp>
    </xdr:grpSp>
    <xdr:clientData/>
  </xdr:twoCellAnchor>
  <xdr:twoCellAnchor>
    <xdr:from>
      <xdr:col>2</xdr:col>
      <xdr:colOff>148046</xdr:colOff>
      <xdr:row>13</xdr:row>
      <xdr:rowOff>174172</xdr:rowOff>
    </xdr:from>
    <xdr:to>
      <xdr:col>12</xdr:col>
      <xdr:colOff>532046</xdr:colOff>
      <xdr:row>35</xdr:row>
      <xdr:rowOff>62915</xdr:rowOff>
    </xdr:to>
    <xdr:grpSp>
      <xdr:nvGrpSpPr>
        <xdr:cNvPr id="23" name="Grup 7">
          <a:extLst>
            <a:ext uri="{FF2B5EF4-FFF2-40B4-BE49-F238E27FC236}">
              <a16:creationId xmlns:a16="http://schemas.microsoft.com/office/drawing/2014/main" id="{654B7F36-36A2-7BB9-9670-C60E61177AD0}"/>
            </a:ext>
            <a:ext uri="{147F2762-F138-4A5C-976F-8EAC2B608ADB}">
              <a16:predDERef xmlns:a16="http://schemas.microsoft.com/office/drawing/2014/main" pred="{A7D7A808-7424-AE5F-0896-06F00C40C7CC}"/>
            </a:ext>
          </a:extLst>
        </xdr:cNvPr>
        <xdr:cNvGrpSpPr/>
      </xdr:nvGrpSpPr>
      <xdr:grpSpPr>
        <a:xfrm>
          <a:off x="981484" y="4388985"/>
          <a:ext cx="6575250" cy="4079743"/>
          <a:chOff x="1001486" y="8262257"/>
          <a:chExt cx="6480000" cy="3960000"/>
        </a:xfrm>
      </xdr:grpSpPr>
      <xdr:graphicFrame macro="">
        <xdr:nvGraphicFramePr>
          <xdr:cNvPr id="24" name="Grafik 1">
            <a:extLst>
              <a:ext uri="{FF2B5EF4-FFF2-40B4-BE49-F238E27FC236}">
                <a16:creationId xmlns:a16="http://schemas.microsoft.com/office/drawing/2014/main" id="{BC01F8F8-C4E8-4793-B598-27C6A40A0B5C}"/>
              </a:ext>
            </a:extLst>
          </xdr:cNvPr>
          <xdr:cNvGraphicFramePr>
            <a:graphicFrameLocks/>
          </xdr:cNvGraphicFramePr>
        </xdr:nvGraphicFramePr>
        <xdr:xfrm>
          <a:off x="1001486" y="8262257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'2021- ESKİ '!#REF!">
        <xdr:nvSpPr>
          <xdr:cNvPr id="25" name="Metin kutusu 5">
            <a:extLst>
              <a:ext uri="{FF2B5EF4-FFF2-40B4-BE49-F238E27FC236}">
                <a16:creationId xmlns:a16="http://schemas.microsoft.com/office/drawing/2014/main" id="{10866830-B97A-4DE7-8662-C65D2219E2F6}"/>
              </a:ext>
            </a:extLst>
          </xdr:cNvPr>
          <xdr:cNvSpPr txBox="1"/>
        </xdr:nvSpPr>
        <xdr:spPr>
          <a:xfrm>
            <a:off x="1469570" y="8414657"/>
            <a:ext cx="5921829" cy="395132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1570F33-9CA9-4849-9642-3F1029632DE3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Danışmanlık Hizmetleri Yönetimi Gider Bütçesine Uyum Oranı</a:t>
            </a:fld>
            <a:endParaRPr lang="tr-TR" sz="4800" b="1"/>
          </a:p>
        </xdr:txBody>
      </xdr:sp>
    </xdr:grpSp>
    <xdr:clientData/>
  </xdr:twoCellAnchor>
  <xdr:twoCellAnchor>
    <xdr:from>
      <xdr:col>13</xdr:col>
      <xdr:colOff>21769</xdr:colOff>
      <xdr:row>13</xdr:row>
      <xdr:rowOff>179068</xdr:rowOff>
    </xdr:from>
    <xdr:to>
      <xdr:col>23</xdr:col>
      <xdr:colOff>405769</xdr:colOff>
      <xdr:row>35</xdr:row>
      <xdr:rowOff>62368</xdr:rowOff>
    </xdr:to>
    <xdr:grpSp>
      <xdr:nvGrpSpPr>
        <xdr:cNvPr id="29" name="Grup 8">
          <a:extLst>
            <a:ext uri="{FF2B5EF4-FFF2-40B4-BE49-F238E27FC236}">
              <a16:creationId xmlns:a16="http://schemas.microsoft.com/office/drawing/2014/main" id="{2C935751-69BD-7567-67F7-C909CC2E8E46}"/>
            </a:ext>
            <a:ext uri="{147F2762-F138-4A5C-976F-8EAC2B608ADB}">
              <a16:predDERef xmlns:a16="http://schemas.microsoft.com/office/drawing/2014/main" pred="{654B7F36-36A2-7BB9-9670-C60E61177AD0}"/>
            </a:ext>
          </a:extLst>
        </xdr:cNvPr>
        <xdr:cNvGrpSpPr/>
      </xdr:nvGrpSpPr>
      <xdr:grpSpPr>
        <a:xfrm>
          <a:off x="7665582" y="4393881"/>
          <a:ext cx="6575250" cy="4074300"/>
          <a:chOff x="7565569" y="8273141"/>
          <a:chExt cx="6480000" cy="3960000"/>
        </a:xfrm>
      </xdr:grpSpPr>
      <xdr:graphicFrame macro="">
        <xdr:nvGraphicFramePr>
          <xdr:cNvPr id="31" name="Grafik 2">
            <a:extLst>
              <a:ext uri="{FF2B5EF4-FFF2-40B4-BE49-F238E27FC236}">
                <a16:creationId xmlns:a16="http://schemas.microsoft.com/office/drawing/2014/main" id="{F94059EF-9F4D-47BF-A741-52E9D56A48DA}"/>
              </a:ext>
            </a:extLst>
          </xdr:cNvPr>
          <xdr:cNvGraphicFramePr>
            <a:graphicFrameLocks/>
          </xdr:cNvGraphicFramePr>
        </xdr:nvGraphicFramePr>
        <xdr:xfrm>
          <a:off x="7565569" y="827314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'2021- ESKİ '!C7">
        <xdr:nvSpPr>
          <xdr:cNvPr id="32" name="Metin kutusu 6">
            <a:extLst>
              <a:ext uri="{FF2B5EF4-FFF2-40B4-BE49-F238E27FC236}">
                <a16:creationId xmlns:a16="http://schemas.microsoft.com/office/drawing/2014/main" id="{956F58BC-CC05-437A-8D48-C863CAADE926}"/>
              </a:ext>
            </a:extLst>
          </xdr:cNvPr>
          <xdr:cNvSpPr txBox="1"/>
        </xdr:nvSpPr>
        <xdr:spPr>
          <a:xfrm>
            <a:off x="7892143" y="8458200"/>
            <a:ext cx="6019800" cy="348343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9EF96330-DF6E-402B-AF0B-C2BAC3197E41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Danışmanlık Hizmeti Verilen Yeni Firma Sayısı</a:t>
            </a:fld>
            <a:endParaRPr lang="tr-TR" sz="1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13</xdr:col>
      <xdr:colOff>71302</xdr:colOff>
      <xdr:row>39</xdr:row>
      <xdr:rowOff>117021</xdr:rowOff>
    </xdr:from>
    <xdr:to>
      <xdr:col>23</xdr:col>
      <xdr:colOff>455302</xdr:colOff>
      <xdr:row>60</xdr:row>
      <xdr:rowOff>76521</xdr:rowOff>
    </xdr:to>
    <xdr:grpSp>
      <xdr:nvGrpSpPr>
        <xdr:cNvPr id="7" name="Grup 16">
          <a:extLst>
            <a:ext uri="{FF2B5EF4-FFF2-40B4-BE49-F238E27FC236}">
              <a16:creationId xmlns:a16="http://schemas.microsoft.com/office/drawing/2014/main" id="{03BDC03C-572F-4277-A5D9-9232530FA148}"/>
            </a:ext>
            <a:ext uri="{147F2762-F138-4A5C-976F-8EAC2B608ADB}">
              <a16:predDERef xmlns:a16="http://schemas.microsoft.com/office/drawing/2014/main" pred="{2C935751-69BD-7567-67F7-C909CC2E8E46}"/>
            </a:ext>
          </a:extLst>
        </xdr:cNvPr>
        <xdr:cNvGrpSpPr/>
      </xdr:nvGrpSpPr>
      <xdr:grpSpPr>
        <a:xfrm>
          <a:off x="7715115" y="9284834"/>
          <a:ext cx="6575250" cy="3960000"/>
          <a:chOff x="1121228" y="12804321"/>
          <a:chExt cx="6480000" cy="3960000"/>
        </a:xfrm>
      </xdr:grpSpPr>
      <xdr:graphicFrame macro="">
        <xdr:nvGraphicFramePr>
          <xdr:cNvPr id="8" name="Grafik 17">
            <a:extLst>
              <a:ext uri="{FF2B5EF4-FFF2-40B4-BE49-F238E27FC236}">
                <a16:creationId xmlns:a16="http://schemas.microsoft.com/office/drawing/2014/main" id="{6A855A61-CD51-29A5-D051-E9D42E51866B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2021- ESKİ '!C11">
        <xdr:nvSpPr>
          <xdr:cNvPr id="9" name="Metin kutusu 18">
            <a:extLst>
              <a:ext uri="{FF2B5EF4-FFF2-40B4-BE49-F238E27FC236}">
                <a16:creationId xmlns:a16="http://schemas.microsoft.com/office/drawing/2014/main" id="{B20F3C82-E81D-2330-128A-54056A5EC8B3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1868EE1-8042-4B6A-9AF5-87F154351BA3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Hizmet Verilen Kurumlardaki Getiri Tutarı </a:t>
            </a:fld>
            <a:endParaRPr lang="tr-TR" sz="4800" b="1"/>
          </a:p>
        </xdr:txBody>
      </xdr:sp>
    </xdr:grpSp>
    <xdr:clientData/>
  </xdr:twoCellAnchor>
  <xdr:twoCellAnchor>
    <xdr:from>
      <xdr:col>2</xdr:col>
      <xdr:colOff>128868</xdr:colOff>
      <xdr:row>64</xdr:row>
      <xdr:rowOff>170329</xdr:rowOff>
    </xdr:from>
    <xdr:to>
      <xdr:col>12</xdr:col>
      <xdr:colOff>513988</xdr:colOff>
      <xdr:row>85</xdr:row>
      <xdr:rowOff>103159</xdr:rowOff>
    </xdr:to>
    <xdr:grpSp>
      <xdr:nvGrpSpPr>
        <xdr:cNvPr id="20" name="Grup 19">
          <a:extLst>
            <a:ext uri="{FF2B5EF4-FFF2-40B4-BE49-F238E27FC236}">
              <a16:creationId xmlns:a16="http://schemas.microsoft.com/office/drawing/2014/main" id="{C084CB11-E7E7-459F-8537-AEB0CAF664F0}"/>
            </a:ext>
            <a:ext uri="{147F2762-F138-4A5C-976F-8EAC2B608ADB}">
              <a16:predDERef xmlns:a16="http://schemas.microsoft.com/office/drawing/2014/main" pred="{03BDC03C-572F-4277-A5D9-9232530FA148}"/>
            </a:ext>
          </a:extLst>
        </xdr:cNvPr>
        <xdr:cNvGrpSpPr/>
      </xdr:nvGrpSpPr>
      <xdr:grpSpPr>
        <a:xfrm>
          <a:off x="962306" y="14100642"/>
          <a:ext cx="6576370" cy="3933330"/>
          <a:chOff x="1121228" y="12804321"/>
          <a:chExt cx="6480000" cy="3960000"/>
        </a:xfrm>
      </xdr:grpSpPr>
      <xdr:graphicFrame macro="">
        <xdr:nvGraphicFramePr>
          <xdr:cNvPr id="21" name="Grafik 20">
            <a:extLst>
              <a:ext uri="{FF2B5EF4-FFF2-40B4-BE49-F238E27FC236}">
                <a16:creationId xmlns:a16="http://schemas.microsoft.com/office/drawing/2014/main" id="{4A39ED81-7C7E-2418-9D0E-9A1A2ADCC13C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2021- ESKİ '!C13">
        <xdr:nvSpPr>
          <xdr:cNvPr id="22" name="Metin kutusu 21">
            <a:extLst>
              <a:ext uri="{FF2B5EF4-FFF2-40B4-BE49-F238E27FC236}">
                <a16:creationId xmlns:a16="http://schemas.microsoft.com/office/drawing/2014/main" id="{EC290697-2D42-4286-99A9-D4742C8A16ED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F0DE0B4-BB03-40C3-AF58-1867F844BCD3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Danışmanlık Takvimine (Planına) Uyum Oranı</a:t>
            </a:fld>
            <a:endParaRPr lang="tr-TR" sz="4800" b="1"/>
          </a:p>
        </xdr:txBody>
      </xdr:sp>
    </xdr:grpSp>
    <xdr:clientData/>
  </xdr:twoCellAnchor>
  <xdr:twoCellAnchor>
    <xdr:from>
      <xdr:col>13</xdr:col>
      <xdr:colOff>57150</xdr:colOff>
      <xdr:row>64</xdr:row>
      <xdr:rowOff>152400</xdr:rowOff>
    </xdr:from>
    <xdr:to>
      <xdr:col>23</xdr:col>
      <xdr:colOff>442270</xdr:colOff>
      <xdr:row>85</xdr:row>
      <xdr:rowOff>85230</xdr:rowOff>
    </xdr:to>
    <xdr:grpSp>
      <xdr:nvGrpSpPr>
        <xdr:cNvPr id="26" name="Grup 25">
          <a:extLst>
            <a:ext uri="{FF2B5EF4-FFF2-40B4-BE49-F238E27FC236}">
              <a16:creationId xmlns:a16="http://schemas.microsoft.com/office/drawing/2014/main" id="{2BE830C6-9C0C-4689-8424-F548E41BE9CF}"/>
            </a:ext>
            <a:ext uri="{147F2762-F138-4A5C-976F-8EAC2B608ADB}">
              <a16:predDERef xmlns:a16="http://schemas.microsoft.com/office/drawing/2014/main" pred="{C084CB11-E7E7-459F-8537-AEB0CAF664F0}"/>
            </a:ext>
          </a:extLst>
        </xdr:cNvPr>
        <xdr:cNvGrpSpPr/>
      </xdr:nvGrpSpPr>
      <xdr:grpSpPr>
        <a:xfrm>
          <a:off x="7700963" y="14082713"/>
          <a:ext cx="6576370" cy="3933330"/>
          <a:chOff x="1121228" y="12804321"/>
          <a:chExt cx="6480000" cy="3960000"/>
        </a:xfrm>
      </xdr:grpSpPr>
      <xdr:graphicFrame macro="">
        <xdr:nvGraphicFramePr>
          <xdr:cNvPr id="27" name="Grafik 26">
            <a:extLst>
              <a:ext uri="{FF2B5EF4-FFF2-40B4-BE49-F238E27FC236}">
                <a16:creationId xmlns:a16="http://schemas.microsoft.com/office/drawing/2014/main" id="{9503A4FA-8BD0-B4DA-FD9E-2DEBF7D26147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'2021- ESKİ '!C17">
        <xdr:nvSpPr>
          <xdr:cNvPr id="28" name="Metin kutusu 27">
            <a:extLst>
              <a:ext uri="{FF2B5EF4-FFF2-40B4-BE49-F238E27FC236}">
                <a16:creationId xmlns:a16="http://schemas.microsoft.com/office/drawing/2014/main" id="{99D32790-9670-B583-1AE9-B511E41B466C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D30D178-C5BD-41E0-9B4A-09BCD585AC14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Danışmanlık Projesi Memnuniyet Oranı</a:t>
            </a:fld>
            <a:endParaRPr lang="tr-TR" sz="8800" b="1"/>
          </a:p>
        </xdr:txBody>
      </xdr:sp>
    </xdr:grpSp>
    <xdr:clientData/>
  </xdr:twoCellAnchor>
  <xdr:twoCellAnchor editAs="oneCell">
    <xdr:from>
      <xdr:col>2</xdr:col>
      <xdr:colOff>26896</xdr:colOff>
      <xdr:row>3</xdr:row>
      <xdr:rowOff>152401</xdr:rowOff>
    </xdr:from>
    <xdr:to>
      <xdr:col>4</xdr:col>
      <xdr:colOff>587911</xdr:colOff>
      <xdr:row>6</xdr:row>
      <xdr:rowOff>125506</xdr:rowOff>
    </xdr:to>
    <xdr:pic>
      <xdr:nvPicPr>
        <xdr:cNvPr id="30" name="Resim 29" descr="Kayseri Model Fabrika | Facebook">
          <a:extLst>
            <a:ext uri="{FF2B5EF4-FFF2-40B4-BE49-F238E27FC236}">
              <a16:creationId xmlns:a16="http://schemas.microsoft.com/office/drawing/2014/main" id="{CD970CD5-7CAE-59ED-3BB2-F2677966E1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9" r="3341"/>
        <a:stretch/>
      </xdr:blipFill>
      <xdr:spPr bwMode="auto">
        <a:xfrm>
          <a:off x="869578" y="708213"/>
          <a:ext cx="1780215" cy="726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3"/>
  <sheetViews>
    <sheetView zoomScale="70" zoomScaleNormal="70" workbookViewId="0">
      <selection activeCell="C3" sqref="C3:Q4"/>
    </sheetView>
  </sheetViews>
  <sheetFormatPr defaultColWidth="8.85546875" defaultRowHeight="12.75"/>
  <cols>
    <col min="1" max="1" width="6.7109375" style="9" customWidth="1"/>
    <col min="2" max="2" width="7.42578125" style="9" customWidth="1"/>
    <col min="3" max="3" width="27.28515625" style="9" customWidth="1"/>
    <col min="4" max="4" width="5.140625" style="9" customWidth="1"/>
    <col min="5" max="5" width="7" style="9" customWidth="1"/>
    <col min="6" max="6" width="6.28515625" style="9" customWidth="1"/>
    <col min="7" max="7" width="5.7109375" style="9" customWidth="1"/>
    <col min="8" max="8" width="6" style="9" customWidth="1"/>
    <col min="9" max="9" width="6.85546875" style="9" customWidth="1"/>
    <col min="10" max="10" width="6.5703125" style="10" customWidth="1"/>
    <col min="11" max="11" width="12" style="29" bestFit="1" customWidth="1"/>
    <col min="12" max="14" width="12" style="10" bestFit="1" customWidth="1"/>
    <col min="15" max="15" width="17.140625" style="10" customWidth="1"/>
    <col min="16" max="17" width="8" style="10" customWidth="1"/>
    <col min="18" max="18" width="8.85546875" style="9"/>
    <col min="19" max="23" width="20.7109375" style="9" customWidth="1"/>
    <col min="24" max="16384" width="8.85546875" style="9"/>
  </cols>
  <sheetData>
    <row r="1" spans="1:23" ht="31.9" customHeight="1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23" ht="16.149999999999999" customHeight="1">
      <c r="A2" s="101" t="s">
        <v>1</v>
      </c>
      <c r="B2" s="101"/>
      <c r="C2" s="104">
        <v>44767</v>
      </c>
      <c r="D2" s="105"/>
      <c r="E2" s="13" t="s">
        <v>2</v>
      </c>
      <c r="F2" s="13"/>
      <c r="G2" s="104">
        <v>43862</v>
      </c>
      <c r="H2" s="105"/>
      <c r="I2" s="105"/>
      <c r="J2" s="105"/>
      <c r="K2" s="105"/>
      <c r="L2" s="105"/>
      <c r="M2" s="105"/>
      <c r="N2" s="28"/>
      <c r="O2" s="108" t="s">
        <v>3</v>
      </c>
      <c r="P2" s="108"/>
      <c r="Q2" s="108"/>
    </row>
    <row r="3" spans="1:23" ht="16.149999999999999" customHeight="1">
      <c r="A3" s="101" t="s">
        <v>4</v>
      </c>
      <c r="B3" s="101"/>
      <c r="C3" s="103" t="s">
        <v>5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23" ht="16.149999999999999" customHeight="1">
      <c r="A4" s="102" t="s">
        <v>6</v>
      </c>
      <c r="B4" s="102"/>
      <c r="C4" s="107" t="s">
        <v>7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S4" s="81" t="s">
        <v>8</v>
      </c>
      <c r="T4" s="81"/>
      <c r="U4" s="81"/>
      <c r="V4" s="81"/>
      <c r="W4" s="81"/>
    </row>
    <row r="5" spans="1:23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S5" s="82" t="s">
        <v>9</v>
      </c>
      <c r="T5" s="82" t="s">
        <v>10</v>
      </c>
      <c r="U5" s="82" t="s">
        <v>11</v>
      </c>
      <c r="V5" s="82" t="s">
        <v>12</v>
      </c>
      <c r="W5" s="82" t="s">
        <v>13</v>
      </c>
    </row>
    <row r="6" spans="1:23" s="12" customFormat="1" ht="51" customHeight="1">
      <c r="A6" s="14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5" t="s">
        <v>19</v>
      </c>
      <c r="G6" s="15" t="s">
        <v>20</v>
      </c>
      <c r="H6" s="15" t="s">
        <v>21</v>
      </c>
      <c r="I6" s="15" t="s">
        <v>22</v>
      </c>
      <c r="J6" s="16" t="s">
        <v>23</v>
      </c>
      <c r="K6" s="16" t="s">
        <v>24</v>
      </c>
      <c r="L6" s="16" t="s">
        <v>25</v>
      </c>
      <c r="M6" s="16" t="s">
        <v>26</v>
      </c>
      <c r="N6" s="16" t="s">
        <v>27</v>
      </c>
      <c r="O6" s="17" t="s">
        <v>28</v>
      </c>
      <c r="P6" s="17" t="s">
        <v>29</v>
      </c>
      <c r="Q6" s="17" t="s">
        <v>30</v>
      </c>
      <c r="S6" s="82"/>
      <c r="T6" s="82"/>
      <c r="U6" s="82"/>
      <c r="V6" s="82"/>
      <c r="W6" s="82"/>
    </row>
    <row r="7" spans="1:23" s="11" customFormat="1" ht="19.899999999999999" customHeight="1">
      <c r="A7" s="109" t="s">
        <v>31</v>
      </c>
      <c r="B7" s="116" t="s">
        <v>32</v>
      </c>
      <c r="C7" s="117" t="s">
        <v>33</v>
      </c>
      <c r="D7" s="89" t="s">
        <v>34</v>
      </c>
      <c r="E7" s="83" t="s">
        <v>35</v>
      </c>
      <c r="F7" s="89">
        <v>0.15</v>
      </c>
      <c r="G7" s="95" t="s">
        <v>36</v>
      </c>
      <c r="H7" s="83" t="s">
        <v>37</v>
      </c>
      <c r="I7" s="83"/>
      <c r="J7" s="25" t="s">
        <v>38</v>
      </c>
      <c r="K7" s="79">
        <v>8</v>
      </c>
      <c r="L7" s="80"/>
      <c r="M7" s="79">
        <v>24</v>
      </c>
      <c r="N7" s="80"/>
      <c r="O7" s="46">
        <f>+K7+L7+M7+N7</f>
        <v>32</v>
      </c>
      <c r="P7" s="83">
        <v>5</v>
      </c>
      <c r="Q7" s="81">
        <f>P7*F7</f>
        <v>0.75</v>
      </c>
      <c r="R7" s="86"/>
      <c r="S7" s="85">
        <v>5</v>
      </c>
      <c r="T7" s="84" t="s">
        <v>39</v>
      </c>
      <c r="U7" s="84" t="s">
        <v>40</v>
      </c>
      <c r="V7" s="84" t="s">
        <v>41</v>
      </c>
      <c r="W7" s="84" t="s">
        <v>42</v>
      </c>
    </row>
    <row r="8" spans="1:23" s="11" customFormat="1" ht="19.899999999999999" customHeight="1">
      <c r="A8" s="109"/>
      <c r="B8" s="109"/>
      <c r="C8" s="94"/>
      <c r="D8" s="83"/>
      <c r="E8" s="83"/>
      <c r="F8" s="83"/>
      <c r="G8" s="96"/>
      <c r="H8" s="83"/>
      <c r="I8" s="83"/>
      <c r="J8" s="25" t="s">
        <v>43</v>
      </c>
      <c r="K8" s="79">
        <v>10</v>
      </c>
      <c r="L8" s="80"/>
      <c r="M8" s="79">
        <v>10</v>
      </c>
      <c r="N8" s="80"/>
      <c r="O8" s="46">
        <f>+K8+L8+M8+N8</f>
        <v>20</v>
      </c>
      <c r="P8" s="83"/>
      <c r="Q8" s="81"/>
      <c r="R8" s="86"/>
      <c r="S8" s="85"/>
      <c r="T8" s="85"/>
      <c r="U8" s="85"/>
      <c r="V8" s="85"/>
      <c r="W8" s="85"/>
    </row>
    <row r="9" spans="1:23" s="11" customFormat="1" ht="19.899999999999999" customHeight="1">
      <c r="A9" s="109"/>
      <c r="B9" s="109"/>
      <c r="C9" s="93" t="s">
        <v>44</v>
      </c>
      <c r="D9" s="89" t="s">
        <v>34</v>
      </c>
      <c r="E9" s="83" t="s">
        <v>35</v>
      </c>
      <c r="F9" s="89">
        <v>0.15</v>
      </c>
      <c r="G9" s="98" t="s">
        <v>45</v>
      </c>
      <c r="H9" s="83" t="s">
        <v>46</v>
      </c>
      <c r="I9" s="83"/>
      <c r="J9" s="25" t="s">
        <v>38</v>
      </c>
      <c r="K9" s="18">
        <v>87</v>
      </c>
      <c r="L9" s="18">
        <v>63</v>
      </c>
      <c r="M9" s="18">
        <v>129</v>
      </c>
      <c r="N9" s="18">
        <v>166</v>
      </c>
      <c r="O9" s="19">
        <f>+SUM(K9:N9)</f>
        <v>445</v>
      </c>
      <c r="P9" s="83">
        <v>4</v>
      </c>
      <c r="Q9" s="81">
        <f>P9*F9</f>
        <v>0.6</v>
      </c>
      <c r="R9" s="86"/>
      <c r="S9" s="112">
        <v>-300</v>
      </c>
      <c r="T9" s="85" t="s">
        <v>47</v>
      </c>
      <c r="U9" s="85" t="s">
        <v>48</v>
      </c>
      <c r="V9" s="85" t="s">
        <v>49</v>
      </c>
      <c r="W9" s="85" t="s">
        <v>50</v>
      </c>
    </row>
    <row r="10" spans="1:23" s="11" customFormat="1" ht="19.899999999999999" customHeight="1">
      <c r="A10" s="109"/>
      <c r="B10" s="109"/>
      <c r="C10" s="94"/>
      <c r="D10" s="83"/>
      <c r="E10" s="83"/>
      <c r="F10" s="83"/>
      <c r="G10" s="99"/>
      <c r="H10" s="83"/>
      <c r="I10" s="83"/>
      <c r="J10" s="25" t="s">
        <v>43</v>
      </c>
      <c r="K10" s="39">
        <f>12*3*2</f>
        <v>72</v>
      </c>
      <c r="L10" s="39">
        <f>12*3*2</f>
        <v>72</v>
      </c>
      <c r="M10" s="18">
        <f>12*3*3</f>
        <v>108</v>
      </c>
      <c r="N10" s="18">
        <f>12*3*3</f>
        <v>108</v>
      </c>
      <c r="O10" s="19">
        <f t="shared" ref="O10:O12" si="0">+SUM(K10:N10)</f>
        <v>360</v>
      </c>
      <c r="P10" s="83"/>
      <c r="Q10" s="81"/>
      <c r="R10" s="86"/>
      <c r="S10" s="112"/>
      <c r="T10" s="85"/>
      <c r="U10" s="85"/>
      <c r="V10" s="85"/>
      <c r="W10" s="85"/>
    </row>
    <row r="11" spans="1:23" s="11" customFormat="1" ht="19.899999999999999" customHeight="1">
      <c r="A11" s="109"/>
      <c r="B11" s="109"/>
      <c r="C11" s="97" t="s">
        <v>51</v>
      </c>
      <c r="D11" s="89" t="s">
        <v>34</v>
      </c>
      <c r="E11" s="83" t="s">
        <v>52</v>
      </c>
      <c r="F11" s="89">
        <v>0.3</v>
      </c>
      <c r="G11" s="95" t="s">
        <v>53</v>
      </c>
      <c r="H11" s="83" t="s">
        <v>37</v>
      </c>
      <c r="I11" s="83"/>
      <c r="J11" s="40" t="s">
        <v>38</v>
      </c>
      <c r="K11" s="43">
        <v>0</v>
      </c>
      <c r="L11" s="43">
        <v>25110000</v>
      </c>
      <c r="M11" s="43">
        <v>19309432</v>
      </c>
      <c r="N11" s="43">
        <v>17711000</v>
      </c>
      <c r="O11" s="43">
        <f t="shared" si="0"/>
        <v>62130432</v>
      </c>
      <c r="P11" s="83">
        <v>5</v>
      </c>
      <c r="Q11" s="81">
        <f>P11*F11</f>
        <v>1.5</v>
      </c>
      <c r="R11" s="86"/>
      <c r="S11" s="87" t="s">
        <v>54</v>
      </c>
      <c r="T11" s="88" t="s">
        <v>55</v>
      </c>
      <c r="U11" s="114" t="s">
        <v>56</v>
      </c>
      <c r="V11" s="87" t="s">
        <v>57</v>
      </c>
      <c r="W11" s="87" t="s">
        <v>58</v>
      </c>
    </row>
    <row r="12" spans="1:23" s="11" customFormat="1" ht="19.899999999999999" customHeight="1">
      <c r="A12" s="109"/>
      <c r="B12" s="109"/>
      <c r="C12" s="97"/>
      <c r="D12" s="83"/>
      <c r="E12" s="83"/>
      <c r="F12" s="83"/>
      <c r="G12" s="96"/>
      <c r="H12" s="83"/>
      <c r="I12" s="83"/>
      <c r="J12" s="40" t="s">
        <v>43</v>
      </c>
      <c r="K12" s="43">
        <v>9000000</v>
      </c>
      <c r="L12" s="44">
        <v>9000000</v>
      </c>
      <c r="M12" s="43">
        <v>9000000</v>
      </c>
      <c r="N12" s="44">
        <v>9000000</v>
      </c>
      <c r="O12" s="43">
        <f t="shared" si="0"/>
        <v>36000000</v>
      </c>
      <c r="P12" s="83"/>
      <c r="Q12" s="81"/>
      <c r="R12" s="86"/>
      <c r="S12" s="88"/>
      <c r="T12" s="88"/>
      <c r="U12" s="115"/>
      <c r="V12" s="88"/>
      <c r="W12" s="88"/>
    </row>
    <row r="13" spans="1:23" s="11" customFormat="1" ht="19.899999999999999" customHeight="1">
      <c r="A13" s="109"/>
      <c r="B13" s="109"/>
      <c r="C13" s="93" t="s">
        <v>59</v>
      </c>
      <c r="D13" s="89" t="s">
        <v>34</v>
      </c>
      <c r="E13" s="83" t="s">
        <v>52</v>
      </c>
      <c r="F13" s="89">
        <v>7.0000000000000007E-2</v>
      </c>
      <c r="G13" s="95" t="s">
        <v>60</v>
      </c>
      <c r="H13" s="83" t="s">
        <v>61</v>
      </c>
      <c r="I13" s="83"/>
      <c r="J13" s="25" t="s">
        <v>38</v>
      </c>
      <c r="K13" s="90">
        <v>0.9</v>
      </c>
      <c r="L13" s="91"/>
      <c r="M13" s="91"/>
      <c r="N13" s="92"/>
      <c r="O13" s="24">
        <v>0.9</v>
      </c>
      <c r="P13" s="83">
        <v>3</v>
      </c>
      <c r="Q13" s="81">
        <f>P13*F13</f>
        <v>0.21000000000000002</v>
      </c>
      <c r="R13" s="86"/>
      <c r="S13" s="89">
        <v>-0.5</v>
      </c>
      <c r="T13" s="85" t="s">
        <v>62</v>
      </c>
      <c r="U13" s="85" t="s">
        <v>63</v>
      </c>
      <c r="V13" s="85" t="s">
        <v>64</v>
      </c>
      <c r="W13" s="85" t="s">
        <v>65</v>
      </c>
    </row>
    <row r="14" spans="1:23" s="11" customFormat="1" ht="19.899999999999999" customHeight="1">
      <c r="A14" s="109"/>
      <c r="B14" s="109"/>
      <c r="C14" s="94"/>
      <c r="D14" s="83"/>
      <c r="E14" s="83"/>
      <c r="F14" s="83"/>
      <c r="G14" s="96"/>
      <c r="H14" s="83"/>
      <c r="I14" s="83"/>
      <c r="J14" s="25" t="s">
        <v>43</v>
      </c>
      <c r="K14" s="90">
        <v>0.86</v>
      </c>
      <c r="L14" s="91"/>
      <c r="M14" s="91"/>
      <c r="N14" s="92"/>
      <c r="O14" s="23">
        <v>0.86</v>
      </c>
      <c r="P14" s="83"/>
      <c r="Q14" s="81"/>
      <c r="R14" s="86"/>
      <c r="S14" s="89"/>
      <c r="T14" s="85"/>
      <c r="U14" s="85"/>
      <c r="V14" s="85"/>
      <c r="W14" s="85"/>
    </row>
    <row r="15" spans="1:23" s="11" customFormat="1" ht="19.899999999999999" customHeight="1">
      <c r="A15" s="109"/>
      <c r="B15" s="109"/>
      <c r="C15" s="93" t="s">
        <v>66</v>
      </c>
      <c r="D15" s="89" t="s">
        <v>34</v>
      </c>
      <c r="E15" s="83" t="s">
        <v>52</v>
      </c>
      <c r="F15" s="89">
        <v>0.1</v>
      </c>
      <c r="G15" s="95" t="s">
        <v>60</v>
      </c>
      <c r="H15" s="83" t="s">
        <v>46</v>
      </c>
      <c r="I15" s="83"/>
      <c r="J15" s="25" t="s">
        <v>38</v>
      </c>
      <c r="K15" s="90">
        <v>0.69</v>
      </c>
      <c r="L15" s="91"/>
      <c r="M15" s="91"/>
      <c r="N15" s="92"/>
      <c r="O15" s="42">
        <v>0.69</v>
      </c>
      <c r="P15" s="83">
        <v>2</v>
      </c>
      <c r="Q15" s="81">
        <f>P15*F15</f>
        <v>0.2</v>
      </c>
      <c r="R15" s="26"/>
      <c r="S15" s="89">
        <v>-0.5</v>
      </c>
      <c r="T15" s="85" t="s">
        <v>67</v>
      </c>
      <c r="U15" s="85" t="s">
        <v>68</v>
      </c>
      <c r="V15" s="85" t="s">
        <v>69</v>
      </c>
      <c r="W15" s="85" t="s">
        <v>70</v>
      </c>
    </row>
    <row r="16" spans="1:23" s="11" customFormat="1" ht="19.899999999999999" customHeight="1">
      <c r="A16" s="109"/>
      <c r="B16" s="109"/>
      <c r="C16" s="94"/>
      <c r="D16" s="83"/>
      <c r="E16" s="83"/>
      <c r="F16" s="83"/>
      <c r="G16" s="96"/>
      <c r="H16" s="83"/>
      <c r="I16" s="83"/>
      <c r="J16" s="25" t="s">
        <v>43</v>
      </c>
      <c r="K16" s="90">
        <v>0.9</v>
      </c>
      <c r="L16" s="91"/>
      <c r="M16" s="91"/>
      <c r="N16" s="92"/>
      <c r="O16" s="23">
        <v>0.9</v>
      </c>
      <c r="P16" s="83"/>
      <c r="Q16" s="81"/>
      <c r="R16" s="26"/>
      <c r="S16" s="89"/>
      <c r="T16" s="85"/>
      <c r="U16" s="85"/>
      <c r="V16" s="85"/>
      <c r="W16" s="85"/>
    </row>
    <row r="17" spans="1:23" s="11" customFormat="1" ht="19.899999999999999" customHeight="1">
      <c r="A17" s="109"/>
      <c r="B17" s="111" t="s">
        <v>71</v>
      </c>
      <c r="C17" s="97" t="s">
        <v>72</v>
      </c>
      <c r="D17" s="89" t="s">
        <v>34</v>
      </c>
      <c r="E17" s="83" t="s">
        <v>52</v>
      </c>
      <c r="F17" s="89">
        <v>0.15</v>
      </c>
      <c r="G17" s="95" t="s">
        <v>60</v>
      </c>
      <c r="H17" s="83" t="s">
        <v>61</v>
      </c>
      <c r="I17" s="83"/>
      <c r="J17" s="25" t="s">
        <v>38</v>
      </c>
      <c r="K17" s="45">
        <v>0.9597</v>
      </c>
      <c r="L17" s="45">
        <v>0.9597</v>
      </c>
      <c r="M17" s="45">
        <v>0.9597</v>
      </c>
      <c r="N17" s="45">
        <v>0.9597</v>
      </c>
      <c r="O17" s="27">
        <v>0.96</v>
      </c>
      <c r="P17" s="83">
        <v>3</v>
      </c>
      <c r="Q17" s="81">
        <f>P17*F17</f>
        <v>0.44999999999999996</v>
      </c>
      <c r="R17" s="86"/>
      <c r="S17" s="89">
        <v>-0.79</v>
      </c>
      <c r="T17" s="85" t="s">
        <v>73</v>
      </c>
      <c r="U17" s="85" t="s">
        <v>74</v>
      </c>
      <c r="V17" s="85" t="s">
        <v>75</v>
      </c>
      <c r="W17" s="85" t="s">
        <v>75</v>
      </c>
    </row>
    <row r="18" spans="1:23" s="11" customFormat="1" ht="19.899999999999999" customHeight="1">
      <c r="A18" s="110"/>
      <c r="B18" s="111"/>
      <c r="C18" s="97"/>
      <c r="D18" s="83"/>
      <c r="E18" s="83"/>
      <c r="F18" s="83"/>
      <c r="G18" s="96"/>
      <c r="H18" s="83"/>
      <c r="I18" s="83"/>
      <c r="J18" s="25" t="s">
        <v>43</v>
      </c>
      <c r="K18" s="24">
        <v>0.9</v>
      </c>
      <c r="L18" s="24">
        <v>0.9</v>
      </c>
      <c r="M18" s="24">
        <v>0.9</v>
      </c>
      <c r="N18" s="24">
        <v>0.9</v>
      </c>
      <c r="O18" s="23">
        <v>0.9</v>
      </c>
      <c r="P18" s="83"/>
      <c r="Q18" s="81"/>
      <c r="R18" s="86"/>
      <c r="S18" s="89"/>
      <c r="T18" s="85"/>
      <c r="U18" s="85"/>
      <c r="V18" s="85"/>
      <c r="W18" s="85"/>
    </row>
    <row r="19" spans="1:23" ht="27.6" customHeight="1">
      <c r="A19" s="20"/>
      <c r="B19" s="21"/>
      <c r="C19" s="21"/>
      <c r="D19" s="21"/>
      <c r="E19" s="21"/>
      <c r="F19" s="22">
        <v>1</v>
      </c>
      <c r="G19" s="21"/>
      <c r="H19" s="21"/>
      <c r="I19" s="21"/>
      <c r="J19" s="21"/>
      <c r="K19" s="113" t="s">
        <v>76</v>
      </c>
      <c r="L19" s="113"/>
      <c r="M19" s="113"/>
      <c r="N19" s="113"/>
      <c r="O19" s="113"/>
      <c r="P19" s="118">
        <f>SUM(Q7:Q18)</f>
        <v>3.71</v>
      </c>
      <c r="Q19" s="118"/>
    </row>
    <row r="22" spans="1:23" hidden="1">
      <c r="C22" s="9" t="s">
        <v>77</v>
      </c>
    </row>
    <row r="23" spans="1:23" hidden="1">
      <c r="C23" s="9" t="s">
        <v>78</v>
      </c>
    </row>
  </sheetData>
  <mergeCells count="118">
    <mergeCell ref="K19:O19"/>
    <mergeCell ref="U11:U12"/>
    <mergeCell ref="V11:V12"/>
    <mergeCell ref="B7:B16"/>
    <mergeCell ref="W13:W14"/>
    <mergeCell ref="Q13:Q14"/>
    <mergeCell ref="R13:R14"/>
    <mergeCell ref="S13:S14"/>
    <mergeCell ref="T13:T14"/>
    <mergeCell ref="U13:U14"/>
    <mergeCell ref="C7:C8"/>
    <mergeCell ref="D7:D8"/>
    <mergeCell ref="E7:E8"/>
    <mergeCell ref="P19:Q19"/>
    <mergeCell ref="P13:P14"/>
    <mergeCell ref="H7:H8"/>
    <mergeCell ref="E13:E14"/>
    <mergeCell ref="F13:F14"/>
    <mergeCell ref="G13:G14"/>
    <mergeCell ref="H13:H14"/>
    <mergeCell ref="W17:W18"/>
    <mergeCell ref="T15:T16"/>
    <mergeCell ref="U15:U16"/>
    <mergeCell ref="V15:V16"/>
    <mergeCell ref="R17:R18"/>
    <mergeCell ref="R7:R8"/>
    <mergeCell ref="Q9:Q10"/>
    <mergeCell ref="P11:P12"/>
    <mergeCell ref="Q11:Q12"/>
    <mergeCell ref="P15:P16"/>
    <mergeCell ref="Q15:Q16"/>
    <mergeCell ref="Q17:Q18"/>
    <mergeCell ref="V7:V8"/>
    <mergeCell ref="T9:T10"/>
    <mergeCell ref="T7:T8"/>
    <mergeCell ref="U9:U10"/>
    <mergeCell ref="V9:V10"/>
    <mergeCell ref="S9:S10"/>
    <mergeCell ref="S7:S8"/>
    <mergeCell ref="S17:S18"/>
    <mergeCell ref="T17:T18"/>
    <mergeCell ref="U17:U18"/>
    <mergeCell ref="V17:V18"/>
    <mergeCell ref="A1:Q1"/>
    <mergeCell ref="A2:B2"/>
    <mergeCell ref="A3:B3"/>
    <mergeCell ref="A4:B4"/>
    <mergeCell ref="C3:Q3"/>
    <mergeCell ref="C2:D2"/>
    <mergeCell ref="A5:Q5"/>
    <mergeCell ref="G2:M2"/>
    <mergeCell ref="Q7:Q8"/>
    <mergeCell ref="C4:Q4"/>
    <mergeCell ref="O2:Q2"/>
    <mergeCell ref="A7:A18"/>
    <mergeCell ref="B17:B18"/>
    <mergeCell ref="C15:C16"/>
    <mergeCell ref="C11:C12"/>
    <mergeCell ref="D11:D12"/>
    <mergeCell ref="F7:F8"/>
    <mergeCell ref="F11:F12"/>
    <mergeCell ref="G11:G12"/>
    <mergeCell ref="I7:I8"/>
    <mergeCell ref="H15:H16"/>
    <mergeCell ref="I15:I16"/>
    <mergeCell ref="K15:N15"/>
    <mergeCell ref="K16:N16"/>
    <mergeCell ref="C9:C10"/>
    <mergeCell ref="D9:D10"/>
    <mergeCell ref="I9:I10"/>
    <mergeCell ref="P9:P10"/>
    <mergeCell ref="G7:G8"/>
    <mergeCell ref="F17:F18"/>
    <mergeCell ref="G17:G18"/>
    <mergeCell ref="C17:C18"/>
    <mergeCell ref="D17:D18"/>
    <mergeCell ref="E17:E18"/>
    <mergeCell ref="H17:H18"/>
    <mergeCell ref="I17:I18"/>
    <mergeCell ref="E9:E10"/>
    <mergeCell ref="F9:F10"/>
    <mergeCell ref="G9:G10"/>
    <mergeCell ref="H9:H10"/>
    <mergeCell ref="E11:E12"/>
    <mergeCell ref="C13:C14"/>
    <mergeCell ref="D13:D14"/>
    <mergeCell ref="D15:D16"/>
    <mergeCell ref="E15:E16"/>
    <mergeCell ref="F15:F16"/>
    <mergeCell ref="G15:G16"/>
    <mergeCell ref="P17:P18"/>
    <mergeCell ref="H11:H12"/>
    <mergeCell ref="I11:I12"/>
    <mergeCell ref="W15:W16"/>
    <mergeCell ref="W9:W10"/>
    <mergeCell ref="V13:V14"/>
    <mergeCell ref="R11:R12"/>
    <mergeCell ref="S11:S12"/>
    <mergeCell ref="T11:T12"/>
    <mergeCell ref="I13:I14"/>
    <mergeCell ref="S15:S16"/>
    <mergeCell ref="R9:R10"/>
    <mergeCell ref="W11:W12"/>
    <mergeCell ref="K13:N13"/>
    <mergeCell ref="K14:N14"/>
    <mergeCell ref="M8:N8"/>
    <mergeCell ref="K7:L7"/>
    <mergeCell ref="M7:N7"/>
    <mergeCell ref="S4:W4"/>
    <mergeCell ref="S5:S6"/>
    <mergeCell ref="T5:T6"/>
    <mergeCell ref="U5:U6"/>
    <mergeCell ref="V5:V6"/>
    <mergeCell ref="W5:W6"/>
    <mergeCell ref="P7:P8"/>
    <mergeCell ref="U7:U8"/>
    <mergeCell ref="W7:W8"/>
    <mergeCell ref="K8:L8"/>
  </mergeCells>
  <phoneticPr fontId="11" type="noConversion"/>
  <printOptions horizontalCentered="1" verticalCentered="1"/>
  <pageMargins left="0.35433070866141736" right="0.15748031496062992" top="0.31496062992125984" bottom="0.11811023622047245" header="0.11811023622047245" footer="0.11811023622047245"/>
  <pageSetup paperSize="9" scale="5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E784-EC93-4428-92D0-69B0353A71F3}">
  <dimension ref="B1:X34"/>
  <sheetViews>
    <sheetView zoomScale="70" zoomScaleNormal="70" workbookViewId="0">
      <selection activeCell="L17" sqref="L17:O17"/>
    </sheetView>
  </sheetViews>
  <sheetFormatPr defaultColWidth="8.85546875" defaultRowHeight="12.75"/>
  <cols>
    <col min="1" max="1" width="4.28515625" style="9" customWidth="1"/>
    <col min="2" max="2" width="6.7109375" style="9" customWidth="1"/>
    <col min="3" max="3" width="7.42578125" style="9" customWidth="1"/>
    <col min="4" max="4" width="27.2851562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3.140625" style="9" bestFit="1" customWidth="1"/>
    <col min="11" max="11" width="6.5703125" style="10" customWidth="1"/>
    <col min="12" max="12" width="14.57031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31.9" customHeight="1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24" ht="16.149999999999999" customHeight="1">
      <c r="B2" s="101" t="s">
        <v>1</v>
      </c>
      <c r="C2" s="101"/>
      <c r="D2" s="104">
        <v>44774</v>
      </c>
      <c r="E2" s="105"/>
      <c r="F2" s="134" t="s">
        <v>2</v>
      </c>
      <c r="G2" s="135"/>
      <c r="H2" s="104">
        <v>43862</v>
      </c>
      <c r="I2" s="105"/>
      <c r="J2" s="105"/>
      <c r="K2" s="105"/>
      <c r="L2" s="105"/>
      <c r="M2" s="105"/>
      <c r="N2" s="105"/>
      <c r="O2" s="28"/>
      <c r="P2" s="108" t="s">
        <v>3</v>
      </c>
      <c r="Q2" s="108"/>
      <c r="R2" s="108"/>
    </row>
    <row r="3" spans="2:24" ht="16.149999999999999" customHeight="1">
      <c r="B3" s="101" t="s">
        <v>4</v>
      </c>
      <c r="C3" s="101"/>
      <c r="D3" s="103" t="s">
        <v>5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2:24" ht="16.149999999999999" customHeight="1">
      <c r="B4" s="102" t="s">
        <v>6</v>
      </c>
      <c r="C4" s="102"/>
      <c r="D4" s="107" t="s">
        <v>7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T4" s="81" t="s">
        <v>8</v>
      </c>
      <c r="U4" s="81"/>
      <c r="V4" s="81"/>
      <c r="W4" s="81"/>
      <c r="X4" s="81"/>
    </row>
    <row r="5" spans="2:24"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T5" s="82" t="s">
        <v>9</v>
      </c>
      <c r="U5" s="82" t="s">
        <v>10</v>
      </c>
      <c r="V5" s="82" t="s">
        <v>11</v>
      </c>
      <c r="W5" s="82" t="s">
        <v>12</v>
      </c>
      <c r="X5" s="82" t="s">
        <v>13</v>
      </c>
    </row>
    <row r="6" spans="2:24" s="12" customFormat="1" ht="51" customHeight="1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82"/>
      <c r="U6" s="82"/>
      <c r="V6" s="82"/>
      <c r="W6" s="82"/>
      <c r="X6" s="82"/>
    </row>
    <row r="7" spans="2:24" s="11" customFormat="1" ht="19.899999999999999" hidden="1" customHeight="1">
      <c r="B7" s="111" t="s">
        <v>79</v>
      </c>
      <c r="C7" s="111" t="s">
        <v>80</v>
      </c>
      <c r="D7" s="93" t="s">
        <v>81</v>
      </c>
      <c r="E7" s="89" t="s">
        <v>34</v>
      </c>
      <c r="F7" s="83" t="s">
        <v>35</v>
      </c>
      <c r="G7" s="89">
        <v>0.08</v>
      </c>
      <c r="H7" s="95" t="s">
        <v>53</v>
      </c>
      <c r="I7" s="83" t="s">
        <v>61</v>
      </c>
      <c r="J7" s="83"/>
      <c r="K7" s="25" t="s">
        <v>38</v>
      </c>
      <c r="L7" s="24">
        <v>1</v>
      </c>
      <c r="M7" s="24">
        <v>1</v>
      </c>
      <c r="N7" s="24"/>
      <c r="O7" s="24"/>
      <c r="P7" s="24">
        <v>1</v>
      </c>
      <c r="Q7" s="83">
        <v>5</v>
      </c>
      <c r="R7" s="81">
        <f>Q7*G7</f>
        <v>0.4</v>
      </c>
      <c r="S7" s="86"/>
      <c r="T7" s="89">
        <v>-0.79</v>
      </c>
      <c r="U7" s="85" t="s">
        <v>73</v>
      </c>
      <c r="V7" s="85" t="s">
        <v>74</v>
      </c>
      <c r="W7" s="85" t="s">
        <v>75</v>
      </c>
      <c r="X7" s="85" t="s">
        <v>75</v>
      </c>
    </row>
    <row r="8" spans="2:24" ht="19.899999999999999" hidden="1" customHeight="1">
      <c r="B8" s="111"/>
      <c r="C8" s="116"/>
      <c r="D8" s="94"/>
      <c r="E8" s="83"/>
      <c r="F8" s="83"/>
      <c r="G8" s="83"/>
      <c r="H8" s="96"/>
      <c r="I8" s="83"/>
      <c r="J8" s="83"/>
      <c r="K8" s="25" t="s">
        <v>43</v>
      </c>
      <c r="L8" s="24">
        <v>0.95</v>
      </c>
      <c r="M8" s="24">
        <v>0.95</v>
      </c>
      <c r="N8" s="24">
        <v>0.95</v>
      </c>
      <c r="O8" s="24">
        <v>0.95</v>
      </c>
      <c r="P8" s="23">
        <v>0.95</v>
      </c>
      <c r="Q8" s="83"/>
      <c r="R8" s="81"/>
      <c r="S8" s="86"/>
      <c r="T8" s="89"/>
      <c r="U8" s="85"/>
      <c r="V8" s="85"/>
      <c r="W8" s="85"/>
      <c r="X8" s="85"/>
    </row>
    <row r="9" spans="2:24" s="11" customFormat="1" ht="19.899999999999999" customHeight="1">
      <c r="B9" s="136" t="s">
        <v>31</v>
      </c>
      <c r="C9" s="116" t="s">
        <v>32</v>
      </c>
      <c r="D9" s="137" t="s">
        <v>33</v>
      </c>
      <c r="E9" s="139" t="s">
        <v>34</v>
      </c>
      <c r="F9" s="140" t="s">
        <v>35</v>
      </c>
      <c r="G9" s="139">
        <v>0</v>
      </c>
      <c r="H9" s="147" t="s">
        <v>36</v>
      </c>
      <c r="I9" s="140" t="s">
        <v>37</v>
      </c>
      <c r="J9" s="140">
        <v>16</v>
      </c>
      <c r="K9" s="55" t="s">
        <v>38</v>
      </c>
      <c r="L9" s="150">
        <v>21</v>
      </c>
      <c r="M9" s="151"/>
      <c r="N9" s="150">
        <v>16</v>
      </c>
      <c r="O9" s="151"/>
      <c r="P9" s="56">
        <v>37</v>
      </c>
      <c r="Q9" s="140">
        <v>5</v>
      </c>
      <c r="R9" s="149">
        <v>0</v>
      </c>
      <c r="S9" s="145" t="s">
        <v>82</v>
      </c>
      <c r="T9" s="85" t="s">
        <v>83</v>
      </c>
      <c r="U9" s="146" t="s">
        <v>84</v>
      </c>
      <c r="V9" s="84" t="s">
        <v>85</v>
      </c>
      <c r="W9" s="84" t="s">
        <v>86</v>
      </c>
      <c r="X9" s="84" t="s">
        <v>87</v>
      </c>
    </row>
    <row r="10" spans="2:24" s="11" customFormat="1" ht="19.899999999999999" customHeight="1">
      <c r="B10" s="136"/>
      <c r="C10" s="109"/>
      <c r="D10" s="138"/>
      <c r="E10" s="140"/>
      <c r="F10" s="140"/>
      <c r="G10" s="140"/>
      <c r="H10" s="148"/>
      <c r="I10" s="140"/>
      <c r="J10" s="140"/>
      <c r="K10" s="55" t="s">
        <v>43</v>
      </c>
      <c r="L10" s="150">
        <v>12</v>
      </c>
      <c r="M10" s="151"/>
      <c r="N10" s="150">
        <v>12</v>
      </c>
      <c r="O10" s="151"/>
      <c r="P10" s="56" t="s">
        <v>88</v>
      </c>
      <c r="Q10" s="140"/>
      <c r="R10" s="149"/>
      <c r="S10" s="145"/>
      <c r="T10" s="85"/>
      <c r="U10" s="83"/>
      <c r="V10" s="85"/>
      <c r="W10" s="85"/>
      <c r="X10" s="85"/>
    </row>
    <row r="11" spans="2:24" s="11" customFormat="1" ht="19.899999999999999" customHeight="1">
      <c r="B11" s="109"/>
      <c r="C11" s="109"/>
      <c r="D11" s="154" t="s">
        <v>44</v>
      </c>
      <c r="E11" s="139" t="s">
        <v>34</v>
      </c>
      <c r="F11" s="140" t="s">
        <v>35</v>
      </c>
      <c r="G11" s="139">
        <v>0</v>
      </c>
      <c r="H11" s="155" t="s">
        <v>89</v>
      </c>
      <c r="I11" s="140" t="s">
        <v>61</v>
      </c>
      <c r="J11" s="140">
        <v>111</v>
      </c>
      <c r="K11" s="55" t="s">
        <v>38</v>
      </c>
      <c r="L11" s="57">
        <v>284</v>
      </c>
      <c r="M11" s="57">
        <v>227</v>
      </c>
      <c r="N11" s="57">
        <v>158</v>
      </c>
      <c r="O11" s="57">
        <v>112</v>
      </c>
      <c r="P11" s="58">
        <v>781</v>
      </c>
      <c r="Q11" s="140">
        <v>5</v>
      </c>
      <c r="R11" s="149">
        <v>0</v>
      </c>
      <c r="S11" s="145" t="s">
        <v>82</v>
      </c>
      <c r="T11" s="112" t="s">
        <v>90</v>
      </c>
      <c r="U11" s="85" t="s">
        <v>91</v>
      </c>
      <c r="V11" s="85" t="s">
        <v>92</v>
      </c>
      <c r="W11" s="85" t="s">
        <v>93</v>
      </c>
      <c r="X11" s="85" t="s">
        <v>94</v>
      </c>
    </row>
    <row r="12" spans="2:24" s="11" customFormat="1" ht="19.899999999999999" customHeight="1">
      <c r="B12" s="109"/>
      <c r="C12" s="109"/>
      <c r="D12" s="138"/>
      <c r="E12" s="140"/>
      <c r="F12" s="140"/>
      <c r="G12" s="140"/>
      <c r="H12" s="156"/>
      <c r="I12" s="140"/>
      <c r="J12" s="140"/>
      <c r="K12" s="55" t="s">
        <v>43</v>
      </c>
      <c r="L12" s="59">
        <v>108</v>
      </c>
      <c r="M12" s="59">
        <v>108</v>
      </c>
      <c r="N12" s="59">
        <v>108</v>
      </c>
      <c r="O12" s="59">
        <v>108</v>
      </c>
      <c r="P12" s="58" t="s">
        <v>95</v>
      </c>
      <c r="Q12" s="140"/>
      <c r="R12" s="149"/>
      <c r="S12" s="145"/>
      <c r="T12" s="112"/>
      <c r="U12" s="85"/>
      <c r="V12" s="85"/>
      <c r="W12" s="85"/>
      <c r="X12" s="85"/>
    </row>
    <row r="13" spans="2:24" s="11" customFormat="1" ht="19.899999999999999" customHeight="1">
      <c r="B13" s="109"/>
      <c r="C13" s="109"/>
      <c r="D13" s="97" t="s">
        <v>96</v>
      </c>
      <c r="E13" s="89" t="s">
        <v>34</v>
      </c>
      <c r="F13" s="83" t="s">
        <v>52</v>
      </c>
      <c r="G13" s="89">
        <v>0.2</v>
      </c>
      <c r="H13" s="95" t="s">
        <v>53</v>
      </c>
      <c r="I13" s="83" t="s">
        <v>61</v>
      </c>
      <c r="J13" s="152">
        <v>15553608</v>
      </c>
      <c r="K13" s="40" t="s">
        <v>38</v>
      </c>
      <c r="L13" s="43">
        <v>16477968</v>
      </c>
      <c r="M13" s="43">
        <v>29344099</v>
      </c>
      <c r="N13" s="43">
        <v>15590852</v>
      </c>
      <c r="O13" s="43">
        <v>848400</v>
      </c>
      <c r="P13" s="41">
        <f>+SUM(L13:O13)</f>
        <v>62261319</v>
      </c>
      <c r="Q13" s="83">
        <v>1</v>
      </c>
      <c r="R13" s="81">
        <f>Q13*G13</f>
        <v>0.2</v>
      </c>
      <c r="S13" s="86"/>
      <c r="T13" s="157" t="s">
        <v>97</v>
      </c>
      <c r="U13" s="88" t="s">
        <v>98</v>
      </c>
      <c r="V13" s="159" t="s">
        <v>99</v>
      </c>
      <c r="W13" s="87" t="s">
        <v>100</v>
      </c>
      <c r="X13" s="87" t="s">
        <v>101</v>
      </c>
    </row>
    <row r="14" spans="2:24" s="11" customFormat="1" ht="19.899999999999999" customHeight="1">
      <c r="B14" s="109"/>
      <c r="C14" s="109"/>
      <c r="D14" s="97"/>
      <c r="E14" s="83"/>
      <c r="F14" s="83"/>
      <c r="G14" s="83"/>
      <c r="H14" s="96"/>
      <c r="I14" s="83"/>
      <c r="J14" s="153"/>
      <c r="K14" s="40" t="s">
        <v>43</v>
      </c>
      <c r="L14" s="43">
        <v>25000000</v>
      </c>
      <c r="M14" s="43">
        <v>25000000</v>
      </c>
      <c r="N14" s="43">
        <v>25000000</v>
      </c>
      <c r="O14" s="43">
        <v>25000000</v>
      </c>
      <c r="P14" s="41" t="s">
        <v>102</v>
      </c>
      <c r="Q14" s="83"/>
      <c r="R14" s="81"/>
      <c r="S14" s="86"/>
      <c r="T14" s="158"/>
      <c r="U14" s="88"/>
      <c r="V14" s="160"/>
      <c r="W14" s="88"/>
      <c r="X14" s="88"/>
    </row>
    <row r="15" spans="2:24" s="11" customFormat="1" ht="19.899999999999999" customHeight="1">
      <c r="B15" s="109"/>
      <c r="C15" s="109"/>
      <c r="D15" s="93" t="s">
        <v>59</v>
      </c>
      <c r="E15" s="89" t="s">
        <v>34</v>
      </c>
      <c r="F15" s="83" t="s">
        <v>52</v>
      </c>
      <c r="G15" s="89">
        <v>0.3</v>
      </c>
      <c r="H15" s="95" t="s">
        <v>60</v>
      </c>
      <c r="I15" s="83" t="s">
        <v>61</v>
      </c>
      <c r="J15" s="141">
        <v>0.9</v>
      </c>
      <c r="K15" s="25" t="s">
        <v>38</v>
      </c>
      <c r="L15" s="47">
        <v>0.89</v>
      </c>
      <c r="M15" s="47">
        <v>0.89</v>
      </c>
      <c r="N15" s="47">
        <v>0.8</v>
      </c>
      <c r="O15" s="47">
        <v>0.94</v>
      </c>
      <c r="P15" s="24">
        <f>AVERAGE(L15:O15)</f>
        <v>0.88</v>
      </c>
      <c r="Q15" s="83">
        <v>2</v>
      </c>
      <c r="R15" s="81">
        <f>Q15*G15</f>
        <v>0.6</v>
      </c>
      <c r="S15" s="86"/>
      <c r="T15" s="89" t="s">
        <v>103</v>
      </c>
      <c r="U15" s="85" t="s">
        <v>104</v>
      </c>
      <c r="V15" s="85" t="s">
        <v>105</v>
      </c>
      <c r="W15" s="85" t="s">
        <v>106</v>
      </c>
      <c r="X15" s="85" t="s">
        <v>106</v>
      </c>
    </row>
    <row r="16" spans="2:24" s="11" customFormat="1" ht="19.899999999999999" customHeight="1">
      <c r="B16" s="109"/>
      <c r="C16" s="109"/>
      <c r="D16" s="94"/>
      <c r="E16" s="83"/>
      <c r="F16" s="83"/>
      <c r="G16" s="83"/>
      <c r="H16" s="96"/>
      <c r="I16" s="83"/>
      <c r="J16" s="142"/>
      <c r="K16" s="40" t="s">
        <v>43</v>
      </c>
      <c r="L16" s="50" t="s">
        <v>105</v>
      </c>
      <c r="M16" s="50" t="s">
        <v>105</v>
      </c>
      <c r="N16" s="50" t="s">
        <v>105</v>
      </c>
      <c r="O16" s="50" t="s">
        <v>105</v>
      </c>
      <c r="P16" s="49" t="s">
        <v>105</v>
      </c>
      <c r="Q16" s="83"/>
      <c r="R16" s="81"/>
      <c r="S16" s="86"/>
      <c r="T16" s="89"/>
      <c r="U16" s="85"/>
      <c r="V16" s="85"/>
      <c r="W16" s="85"/>
      <c r="X16" s="85"/>
    </row>
    <row r="17" spans="2:24" s="11" customFormat="1" ht="19.899999999999999" customHeight="1">
      <c r="B17" s="109"/>
      <c r="C17" s="109"/>
      <c r="D17" s="143" t="s">
        <v>107</v>
      </c>
      <c r="E17" s="89" t="s">
        <v>34</v>
      </c>
      <c r="F17" s="83" t="s">
        <v>35</v>
      </c>
      <c r="G17" s="89">
        <v>0.2</v>
      </c>
      <c r="H17" s="95" t="s">
        <v>60</v>
      </c>
      <c r="I17" s="83" t="s">
        <v>108</v>
      </c>
      <c r="J17" s="130">
        <v>0.71</v>
      </c>
      <c r="K17" s="25" t="s">
        <v>38</v>
      </c>
      <c r="L17" s="120">
        <v>0.84</v>
      </c>
      <c r="M17" s="121"/>
      <c r="N17" s="121"/>
      <c r="O17" s="122"/>
      <c r="P17" s="27">
        <f>AVERAGE(L17:O17)</f>
        <v>0.84</v>
      </c>
      <c r="Q17" s="83">
        <v>3</v>
      </c>
      <c r="R17" s="81">
        <f>Q17*G17</f>
        <v>0.60000000000000009</v>
      </c>
      <c r="S17" s="26"/>
      <c r="T17" s="89" t="s">
        <v>109</v>
      </c>
      <c r="U17" s="85" t="s">
        <v>110</v>
      </c>
      <c r="V17" s="85" t="s">
        <v>111</v>
      </c>
      <c r="W17" s="85" t="s">
        <v>112</v>
      </c>
      <c r="X17" s="85" t="s">
        <v>113</v>
      </c>
    </row>
    <row r="18" spans="2:24" s="11" customFormat="1" ht="19.899999999999999" customHeight="1">
      <c r="B18" s="109"/>
      <c r="C18" s="109"/>
      <c r="D18" s="144"/>
      <c r="E18" s="83"/>
      <c r="F18" s="83"/>
      <c r="G18" s="83"/>
      <c r="H18" s="96"/>
      <c r="I18" s="83"/>
      <c r="J18" s="131"/>
      <c r="K18" s="25" t="s">
        <v>43</v>
      </c>
      <c r="L18" s="123" t="s">
        <v>114</v>
      </c>
      <c r="M18" s="124"/>
      <c r="N18" s="124"/>
      <c r="O18" s="125"/>
      <c r="P18" s="70" t="s">
        <v>115</v>
      </c>
      <c r="Q18" s="83"/>
      <c r="R18" s="81"/>
      <c r="S18" s="26"/>
      <c r="T18" s="89"/>
      <c r="U18" s="85"/>
      <c r="V18" s="85"/>
      <c r="W18" s="85"/>
      <c r="X18" s="85"/>
    </row>
    <row r="19" spans="2:24" s="11" customFormat="1" ht="19.899999999999999" customHeight="1">
      <c r="B19" s="109"/>
      <c r="C19" s="109"/>
      <c r="D19" s="128" t="s">
        <v>116</v>
      </c>
      <c r="E19" s="95" t="s">
        <v>117</v>
      </c>
      <c r="F19" s="95"/>
      <c r="G19" s="95"/>
      <c r="H19" s="95"/>
      <c r="I19" s="95" t="s">
        <v>118</v>
      </c>
      <c r="J19" s="130">
        <v>0.35</v>
      </c>
      <c r="K19" s="25" t="s">
        <v>38</v>
      </c>
      <c r="L19" s="132">
        <v>0.28999999999999998</v>
      </c>
      <c r="M19" s="133"/>
      <c r="N19" s="133"/>
      <c r="O19" s="133"/>
      <c r="P19" s="54">
        <v>0.28999999999999998</v>
      </c>
      <c r="Q19" s="119" t="s">
        <v>75</v>
      </c>
      <c r="R19" s="119" t="s">
        <v>75</v>
      </c>
      <c r="S19" s="26"/>
      <c r="T19" s="126"/>
      <c r="U19" s="126"/>
      <c r="V19" s="126"/>
      <c r="W19" s="126"/>
      <c r="X19" s="126"/>
    </row>
    <row r="20" spans="2:24" s="11" customFormat="1" ht="19.899999999999999" customHeight="1">
      <c r="B20" s="109"/>
      <c r="C20" s="110"/>
      <c r="D20" s="129"/>
      <c r="E20" s="96"/>
      <c r="F20" s="96"/>
      <c r="G20" s="96"/>
      <c r="H20" s="96"/>
      <c r="I20" s="96"/>
      <c r="J20" s="131"/>
      <c r="K20" s="25" t="s">
        <v>43</v>
      </c>
      <c r="L20" s="133" t="s">
        <v>75</v>
      </c>
      <c r="M20" s="133"/>
      <c r="N20" s="133"/>
      <c r="O20" s="133"/>
      <c r="P20" s="53" t="s">
        <v>75</v>
      </c>
      <c r="Q20" s="96"/>
      <c r="R20" s="96"/>
      <c r="S20" s="26"/>
      <c r="T20" s="127"/>
      <c r="U20" s="127"/>
      <c r="V20" s="127"/>
      <c r="W20" s="127"/>
      <c r="X20" s="127"/>
    </row>
    <row r="21" spans="2:24" s="11" customFormat="1" ht="19.899999999999999" customHeight="1">
      <c r="B21" s="109"/>
      <c r="C21" s="111" t="s">
        <v>71</v>
      </c>
      <c r="D21" s="97" t="s">
        <v>72</v>
      </c>
      <c r="E21" s="89" t="s">
        <v>34</v>
      </c>
      <c r="F21" s="83" t="s">
        <v>52</v>
      </c>
      <c r="G21" s="89">
        <v>0.3</v>
      </c>
      <c r="H21" s="95" t="s">
        <v>60</v>
      </c>
      <c r="I21" s="83" t="s">
        <v>61</v>
      </c>
      <c r="J21" s="130">
        <v>0.96</v>
      </c>
      <c r="K21" s="25" t="s">
        <v>38</v>
      </c>
      <c r="L21" s="45">
        <v>0.96350000000000002</v>
      </c>
      <c r="M21" s="45">
        <v>0.96350000000000002</v>
      </c>
      <c r="N21" s="45">
        <v>0.96340000000000003</v>
      </c>
      <c r="O21" s="24"/>
      <c r="P21" s="48">
        <v>0.96350000000000002</v>
      </c>
      <c r="Q21" s="83">
        <v>4</v>
      </c>
      <c r="R21" s="81">
        <f>Q21*G21</f>
        <v>1.2</v>
      </c>
      <c r="S21" s="86"/>
      <c r="T21" s="161" t="s">
        <v>110</v>
      </c>
      <c r="U21" s="85" t="s">
        <v>104</v>
      </c>
      <c r="V21" s="85" t="s">
        <v>119</v>
      </c>
      <c r="W21" s="85" t="s">
        <v>120</v>
      </c>
      <c r="X21" s="85" t="s">
        <v>75</v>
      </c>
    </row>
    <row r="22" spans="2:24" s="11" customFormat="1" ht="19.899999999999999" customHeight="1">
      <c r="B22" s="110"/>
      <c r="C22" s="111"/>
      <c r="D22" s="97"/>
      <c r="E22" s="83"/>
      <c r="F22" s="83"/>
      <c r="G22" s="83"/>
      <c r="H22" s="96"/>
      <c r="I22" s="83"/>
      <c r="J22" s="131"/>
      <c r="K22" s="25" t="s">
        <v>43</v>
      </c>
      <c r="L22" s="52" t="s">
        <v>74</v>
      </c>
      <c r="M22" s="52" t="s">
        <v>74</v>
      </c>
      <c r="N22" s="52" t="s">
        <v>74</v>
      </c>
      <c r="O22" s="52" t="s">
        <v>74</v>
      </c>
      <c r="P22" s="51" t="s">
        <v>74</v>
      </c>
      <c r="Q22" s="83"/>
      <c r="R22" s="81"/>
      <c r="S22" s="86"/>
      <c r="T22" s="161"/>
      <c r="U22" s="85"/>
      <c r="V22" s="85"/>
      <c r="W22" s="85"/>
      <c r="X22" s="85"/>
    </row>
    <row r="23" spans="2:24" ht="27.6" customHeight="1">
      <c r="B23" s="20"/>
      <c r="C23" s="21"/>
      <c r="D23" s="21"/>
      <c r="E23" s="21"/>
      <c r="F23" s="21"/>
      <c r="G23" s="22">
        <f>SUM(G13:G22)</f>
        <v>1</v>
      </c>
      <c r="H23" s="21"/>
      <c r="I23" s="21"/>
      <c r="J23" s="21"/>
      <c r="K23" s="21"/>
      <c r="L23" s="113" t="s">
        <v>76</v>
      </c>
      <c r="M23" s="113"/>
      <c r="N23" s="113"/>
      <c r="O23" s="113"/>
      <c r="P23" s="113"/>
      <c r="Q23" s="118">
        <f>+SUM(R13:R22)</f>
        <v>2.6</v>
      </c>
      <c r="R23" s="118"/>
    </row>
    <row r="24" spans="2:24" ht="13.9" customHeight="1"/>
    <row r="25" spans="2:24" ht="13.9" customHeight="1"/>
    <row r="28" spans="2:24">
      <c r="T28" s="10"/>
    </row>
    <row r="33" spans="4:5">
      <c r="D33" s="60" t="s">
        <v>121</v>
      </c>
    </row>
    <row r="34" spans="4:5">
      <c r="D34" s="9" t="s">
        <v>122</v>
      </c>
      <c r="E34" s="9" t="s">
        <v>123</v>
      </c>
    </row>
  </sheetData>
  <mergeCells count="150">
    <mergeCell ref="L23:P23"/>
    <mergeCell ref="Q23:R23"/>
    <mergeCell ref="J21:J22"/>
    <mergeCell ref="Q21:Q22"/>
    <mergeCell ref="R21:R22"/>
    <mergeCell ref="C21:C22"/>
    <mergeCell ref="D21:D22"/>
    <mergeCell ref="E21:E22"/>
    <mergeCell ref="F21:F22"/>
    <mergeCell ref="G21:G22"/>
    <mergeCell ref="H21:H22"/>
    <mergeCell ref="I21:I22"/>
    <mergeCell ref="V21:V22"/>
    <mergeCell ref="W21:W22"/>
    <mergeCell ref="X21:X22"/>
    <mergeCell ref="T17:T18"/>
    <mergeCell ref="U17:U18"/>
    <mergeCell ref="V17:V18"/>
    <mergeCell ref="S21:S22"/>
    <mergeCell ref="T21:T22"/>
    <mergeCell ref="U21:U22"/>
    <mergeCell ref="R13:R14"/>
    <mergeCell ref="S13:S14"/>
    <mergeCell ref="T13:T14"/>
    <mergeCell ref="U13:U14"/>
    <mergeCell ref="V13:V14"/>
    <mergeCell ref="X15:X16"/>
    <mergeCell ref="R15:R16"/>
    <mergeCell ref="S15:S16"/>
    <mergeCell ref="T15:T16"/>
    <mergeCell ref="U15:U16"/>
    <mergeCell ref="V15:V16"/>
    <mergeCell ref="W15:W16"/>
    <mergeCell ref="V11:V12"/>
    <mergeCell ref="W11:W12"/>
    <mergeCell ref="X11:X12"/>
    <mergeCell ref="D13:D14"/>
    <mergeCell ref="E13:E14"/>
    <mergeCell ref="F13:F14"/>
    <mergeCell ref="G13:G14"/>
    <mergeCell ref="H13:H14"/>
    <mergeCell ref="I13:I14"/>
    <mergeCell ref="J13:J14"/>
    <mergeCell ref="J11:J12"/>
    <mergeCell ref="Q11:Q12"/>
    <mergeCell ref="R11:R12"/>
    <mergeCell ref="S11:S12"/>
    <mergeCell ref="T11:T12"/>
    <mergeCell ref="U11:U12"/>
    <mergeCell ref="D11:D12"/>
    <mergeCell ref="E11:E12"/>
    <mergeCell ref="F11:F12"/>
    <mergeCell ref="G11:G12"/>
    <mergeCell ref="H11:H12"/>
    <mergeCell ref="I11:I12"/>
    <mergeCell ref="W13:W14"/>
    <mergeCell ref="X13:X14"/>
    <mergeCell ref="S9:S10"/>
    <mergeCell ref="T9:T10"/>
    <mergeCell ref="U9:U10"/>
    <mergeCell ref="V9:V10"/>
    <mergeCell ref="W9:W10"/>
    <mergeCell ref="X9:X10"/>
    <mergeCell ref="G9:G10"/>
    <mergeCell ref="H9:H10"/>
    <mergeCell ref="I9:I10"/>
    <mergeCell ref="J9:J10"/>
    <mergeCell ref="Q9:Q10"/>
    <mergeCell ref="R9:R10"/>
    <mergeCell ref="L10:M10"/>
    <mergeCell ref="L9:M9"/>
    <mergeCell ref="N9:O9"/>
    <mergeCell ref="N10:O10"/>
    <mergeCell ref="B9:B22"/>
    <mergeCell ref="D9:D10"/>
    <mergeCell ref="E9:E10"/>
    <mergeCell ref="F9:F10"/>
    <mergeCell ref="H7:H8"/>
    <mergeCell ref="I7:I8"/>
    <mergeCell ref="J7:J8"/>
    <mergeCell ref="Q7:Q8"/>
    <mergeCell ref="B7:B8"/>
    <mergeCell ref="C7:C8"/>
    <mergeCell ref="D7:D8"/>
    <mergeCell ref="E7:E8"/>
    <mergeCell ref="F7:F8"/>
    <mergeCell ref="G7:G8"/>
    <mergeCell ref="D15:D16"/>
    <mergeCell ref="E15:E16"/>
    <mergeCell ref="F15:F16"/>
    <mergeCell ref="G15:G16"/>
    <mergeCell ref="H15:H16"/>
    <mergeCell ref="I15:I16"/>
    <mergeCell ref="J15:J16"/>
    <mergeCell ref="Q15:Q16"/>
    <mergeCell ref="Q13:Q14"/>
    <mergeCell ref="D17:D18"/>
    <mergeCell ref="T4:X4"/>
    <mergeCell ref="B5:R5"/>
    <mergeCell ref="T5:T6"/>
    <mergeCell ref="U5:U6"/>
    <mergeCell ref="V5:V6"/>
    <mergeCell ref="W5:W6"/>
    <mergeCell ref="X5:X6"/>
    <mergeCell ref="T7:T8"/>
    <mergeCell ref="U7:U8"/>
    <mergeCell ref="V7:V8"/>
    <mergeCell ref="W7:W8"/>
    <mergeCell ref="X7:X8"/>
    <mergeCell ref="R7:R8"/>
    <mergeCell ref="S7:S8"/>
    <mergeCell ref="F2:G2"/>
    <mergeCell ref="B1:R1"/>
    <mergeCell ref="B2:C2"/>
    <mergeCell ref="D2:E2"/>
    <mergeCell ref="H2:N2"/>
    <mergeCell ref="P2:R2"/>
    <mergeCell ref="B3:C3"/>
    <mergeCell ref="D3:R3"/>
    <mergeCell ref="B4:C4"/>
    <mergeCell ref="D4:R4"/>
    <mergeCell ref="D19:D20"/>
    <mergeCell ref="C9:C20"/>
    <mergeCell ref="E19:E20"/>
    <mergeCell ref="F19:F20"/>
    <mergeCell ref="G19:G20"/>
    <mergeCell ref="H19:H20"/>
    <mergeCell ref="I19:I20"/>
    <mergeCell ref="J19:J20"/>
    <mergeCell ref="L19:O19"/>
    <mergeCell ref="L20:O20"/>
    <mergeCell ref="E17:E18"/>
    <mergeCell ref="F17:F18"/>
    <mergeCell ref="G17:G18"/>
    <mergeCell ref="H17:H18"/>
    <mergeCell ref="I17:I18"/>
    <mergeCell ref="J17:J18"/>
    <mergeCell ref="Q19:Q20"/>
    <mergeCell ref="R19:R20"/>
    <mergeCell ref="L17:O17"/>
    <mergeCell ref="L18:O18"/>
    <mergeCell ref="T19:T20"/>
    <mergeCell ref="U19:U20"/>
    <mergeCell ref="V19:V20"/>
    <mergeCell ref="W19:W20"/>
    <mergeCell ref="X19:X20"/>
    <mergeCell ref="Q17:Q18"/>
    <mergeCell ref="R17:R18"/>
    <mergeCell ref="W17:W18"/>
    <mergeCell ref="X17:X1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8AD5-E673-4B9A-A124-EA64F60A0A71}">
  <dimension ref="B1:X34"/>
  <sheetViews>
    <sheetView zoomScale="80" zoomScaleNormal="80" workbookViewId="0">
      <selection activeCell="L15" sqref="L15"/>
    </sheetView>
  </sheetViews>
  <sheetFormatPr defaultColWidth="8.85546875" defaultRowHeight="12.75"/>
  <cols>
    <col min="1" max="1" width="4.28515625" style="9" customWidth="1"/>
    <col min="2" max="2" width="6.7109375" style="9" customWidth="1"/>
    <col min="3" max="3" width="7.42578125" style="9" customWidth="1"/>
    <col min="4" max="4" width="27.2851562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3.140625" style="9" bestFit="1" customWidth="1"/>
    <col min="11" max="11" width="6.5703125" style="10" customWidth="1"/>
    <col min="12" max="12" width="14.57031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31.9" customHeight="1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24" ht="16.149999999999999" customHeight="1">
      <c r="B2" s="101" t="s">
        <v>1</v>
      </c>
      <c r="C2" s="101"/>
      <c r="D2" s="104">
        <v>44774</v>
      </c>
      <c r="E2" s="105"/>
      <c r="F2" s="134" t="s">
        <v>2</v>
      </c>
      <c r="G2" s="135"/>
      <c r="H2" s="104">
        <v>43862</v>
      </c>
      <c r="I2" s="105"/>
      <c r="J2" s="105"/>
      <c r="K2" s="105"/>
      <c r="L2" s="105"/>
      <c r="M2" s="105"/>
      <c r="N2" s="105"/>
      <c r="O2" s="28"/>
      <c r="P2" s="108" t="s">
        <v>3</v>
      </c>
      <c r="Q2" s="108"/>
      <c r="R2" s="108"/>
    </row>
    <row r="3" spans="2:24" ht="16.149999999999999" customHeight="1">
      <c r="B3" s="101" t="s">
        <v>4</v>
      </c>
      <c r="C3" s="101"/>
      <c r="D3" s="103" t="s">
        <v>5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2:24" ht="16.149999999999999" customHeight="1">
      <c r="B4" s="102" t="s">
        <v>6</v>
      </c>
      <c r="C4" s="102"/>
      <c r="D4" s="107" t="s">
        <v>124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T4" s="81" t="s">
        <v>8</v>
      </c>
      <c r="U4" s="81"/>
      <c r="V4" s="81"/>
      <c r="W4" s="81"/>
      <c r="X4" s="81"/>
    </row>
    <row r="5" spans="2:24"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T5" s="82" t="s">
        <v>9</v>
      </c>
      <c r="U5" s="82" t="s">
        <v>10</v>
      </c>
      <c r="V5" s="82" t="s">
        <v>11</v>
      </c>
      <c r="W5" s="82" t="s">
        <v>12</v>
      </c>
      <c r="X5" s="82" t="s">
        <v>13</v>
      </c>
    </row>
    <row r="6" spans="2:24" s="12" customFormat="1" ht="38.2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82"/>
      <c r="U6" s="82"/>
      <c r="V6" s="82"/>
      <c r="W6" s="82"/>
      <c r="X6" s="82"/>
    </row>
    <row r="7" spans="2:24" s="11" customFormat="1">
      <c r="B7" s="111" t="s">
        <v>79</v>
      </c>
      <c r="C7" s="111" t="s">
        <v>80</v>
      </c>
      <c r="D7" s="154" t="s">
        <v>81</v>
      </c>
      <c r="E7" s="139" t="s">
        <v>34</v>
      </c>
      <c r="F7" s="140" t="s">
        <v>35</v>
      </c>
      <c r="G7" s="139">
        <v>0.08</v>
      </c>
      <c r="H7" s="147" t="s">
        <v>53</v>
      </c>
      <c r="I7" s="140" t="s">
        <v>61</v>
      </c>
      <c r="J7" s="140"/>
      <c r="K7" s="55" t="s">
        <v>38</v>
      </c>
      <c r="L7" s="72">
        <v>1</v>
      </c>
      <c r="M7" s="72">
        <v>1</v>
      </c>
      <c r="N7" s="72"/>
      <c r="O7" s="72"/>
      <c r="P7" s="72">
        <v>1</v>
      </c>
      <c r="Q7" s="140">
        <v>5</v>
      </c>
      <c r="R7" s="149">
        <f>Q7*G7</f>
        <v>0.4</v>
      </c>
      <c r="S7" s="162"/>
      <c r="T7" s="89">
        <v>-0.79</v>
      </c>
      <c r="U7" s="85" t="s">
        <v>73</v>
      </c>
      <c r="V7" s="85" t="s">
        <v>74</v>
      </c>
      <c r="W7" s="85" t="s">
        <v>75</v>
      </c>
      <c r="X7" s="85" t="s">
        <v>75</v>
      </c>
    </row>
    <row r="8" spans="2:24">
      <c r="B8" s="111"/>
      <c r="C8" s="116"/>
      <c r="D8" s="138"/>
      <c r="E8" s="140"/>
      <c r="F8" s="140"/>
      <c r="G8" s="140"/>
      <c r="H8" s="148"/>
      <c r="I8" s="140"/>
      <c r="J8" s="140"/>
      <c r="K8" s="55" t="s">
        <v>43</v>
      </c>
      <c r="L8" s="72">
        <v>0.95</v>
      </c>
      <c r="M8" s="72">
        <v>0.95</v>
      </c>
      <c r="N8" s="72">
        <v>0.95</v>
      </c>
      <c r="O8" s="72">
        <v>0.95</v>
      </c>
      <c r="P8" s="73">
        <v>0.95</v>
      </c>
      <c r="Q8" s="140"/>
      <c r="R8" s="149"/>
      <c r="S8" s="162"/>
      <c r="T8" s="89"/>
      <c r="U8" s="85"/>
      <c r="V8" s="85"/>
      <c r="W8" s="85"/>
      <c r="X8" s="85"/>
    </row>
    <row r="9" spans="2:24" s="11" customFormat="1">
      <c r="B9" s="136" t="s">
        <v>31</v>
      </c>
      <c r="C9" s="116" t="s">
        <v>32</v>
      </c>
      <c r="D9" s="137" t="s">
        <v>33</v>
      </c>
      <c r="E9" s="139" t="s">
        <v>34</v>
      </c>
      <c r="F9" s="140" t="s">
        <v>35</v>
      </c>
      <c r="G9" s="139">
        <v>0</v>
      </c>
      <c r="H9" s="147" t="s">
        <v>36</v>
      </c>
      <c r="I9" s="140" t="s">
        <v>37</v>
      </c>
      <c r="J9" s="140">
        <v>16</v>
      </c>
      <c r="K9" s="55" t="s">
        <v>38</v>
      </c>
      <c r="L9" s="150">
        <v>21</v>
      </c>
      <c r="M9" s="151"/>
      <c r="N9" s="150">
        <v>16</v>
      </c>
      <c r="O9" s="151"/>
      <c r="P9" s="56">
        <v>37</v>
      </c>
      <c r="Q9" s="140">
        <v>5</v>
      </c>
      <c r="R9" s="149">
        <v>0</v>
      </c>
      <c r="S9" s="145" t="s">
        <v>82</v>
      </c>
      <c r="T9" s="85" t="s">
        <v>83</v>
      </c>
      <c r="U9" s="146" t="s">
        <v>84</v>
      </c>
      <c r="V9" s="84" t="s">
        <v>85</v>
      </c>
      <c r="W9" s="84" t="s">
        <v>86</v>
      </c>
      <c r="X9" s="84" t="s">
        <v>87</v>
      </c>
    </row>
    <row r="10" spans="2:24" s="11" customFormat="1" ht="19.899999999999999" customHeight="1">
      <c r="B10" s="136"/>
      <c r="C10" s="109"/>
      <c r="D10" s="138"/>
      <c r="E10" s="140"/>
      <c r="F10" s="140"/>
      <c r="G10" s="140"/>
      <c r="H10" s="148"/>
      <c r="I10" s="140"/>
      <c r="J10" s="140"/>
      <c r="K10" s="55" t="s">
        <v>43</v>
      </c>
      <c r="L10" s="150">
        <v>12</v>
      </c>
      <c r="M10" s="151"/>
      <c r="N10" s="150">
        <v>12</v>
      </c>
      <c r="O10" s="151"/>
      <c r="P10" s="56" t="s">
        <v>88</v>
      </c>
      <c r="Q10" s="140"/>
      <c r="R10" s="149"/>
      <c r="S10" s="145"/>
      <c r="T10" s="85"/>
      <c r="U10" s="83"/>
      <c r="V10" s="85"/>
      <c r="W10" s="85"/>
      <c r="X10" s="85"/>
    </row>
    <row r="11" spans="2:24" s="11" customFormat="1" ht="19.899999999999999" customHeight="1">
      <c r="B11" s="109"/>
      <c r="C11" s="109"/>
      <c r="D11" s="154" t="s">
        <v>44</v>
      </c>
      <c r="E11" s="139" t="s">
        <v>34</v>
      </c>
      <c r="F11" s="140" t="s">
        <v>35</v>
      </c>
      <c r="G11" s="139">
        <v>0</v>
      </c>
      <c r="H11" s="155" t="s">
        <v>89</v>
      </c>
      <c r="I11" s="140" t="s">
        <v>61</v>
      </c>
      <c r="J11" s="140">
        <v>111</v>
      </c>
      <c r="K11" s="55" t="s">
        <v>38</v>
      </c>
      <c r="L11" s="57">
        <v>284</v>
      </c>
      <c r="M11" s="57">
        <v>227</v>
      </c>
      <c r="N11" s="57">
        <v>158</v>
      </c>
      <c r="O11" s="57">
        <v>112</v>
      </c>
      <c r="P11" s="58">
        <v>781</v>
      </c>
      <c r="Q11" s="140">
        <v>5</v>
      </c>
      <c r="R11" s="149">
        <v>0</v>
      </c>
      <c r="S11" s="145" t="s">
        <v>82</v>
      </c>
      <c r="T11" s="112" t="s">
        <v>90</v>
      </c>
      <c r="U11" s="85" t="s">
        <v>91</v>
      </c>
      <c r="V11" s="85" t="s">
        <v>92</v>
      </c>
      <c r="W11" s="85" t="s">
        <v>93</v>
      </c>
      <c r="X11" s="85" t="s">
        <v>94</v>
      </c>
    </row>
    <row r="12" spans="2:24" s="11" customFormat="1" ht="19.899999999999999" customHeight="1">
      <c r="B12" s="109"/>
      <c r="C12" s="109"/>
      <c r="D12" s="138"/>
      <c r="E12" s="140"/>
      <c r="F12" s="140"/>
      <c r="G12" s="140"/>
      <c r="H12" s="156"/>
      <c r="I12" s="140"/>
      <c r="J12" s="140"/>
      <c r="K12" s="55" t="s">
        <v>43</v>
      </c>
      <c r="L12" s="59">
        <v>108</v>
      </c>
      <c r="M12" s="59">
        <v>108</v>
      </c>
      <c r="N12" s="59">
        <v>108</v>
      </c>
      <c r="O12" s="59">
        <v>108</v>
      </c>
      <c r="P12" s="58" t="s">
        <v>95</v>
      </c>
      <c r="Q12" s="140"/>
      <c r="R12" s="149"/>
      <c r="S12" s="145"/>
      <c r="T12" s="112"/>
      <c r="U12" s="85"/>
      <c r="V12" s="85"/>
      <c r="W12" s="85"/>
      <c r="X12" s="85"/>
    </row>
    <row r="13" spans="2:24" s="11" customFormat="1" ht="19.899999999999999" customHeight="1">
      <c r="B13" s="109"/>
      <c r="C13" s="109"/>
      <c r="D13" s="97" t="s">
        <v>96</v>
      </c>
      <c r="E13" s="89" t="s">
        <v>34</v>
      </c>
      <c r="F13" s="83" t="s">
        <v>52</v>
      </c>
      <c r="G13" s="89">
        <v>0.2</v>
      </c>
      <c r="H13" s="95" t="s">
        <v>53</v>
      </c>
      <c r="I13" s="83" t="s">
        <v>61</v>
      </c>
      <c r="J13" s="152">
        <v>15565330</v>
      </c>
      <c r="K13" s="40" t="s">
        <v>38</v>
      </c>
      <c r="L13" s="43"/>
      <c r="M13" s="43"/>
      <c r="N13" s="43"/>
      <c r="O13" s="43"/>
      <c r="P13" s="41"/>
      <c r="Q13" s="83">
        <v>1</v>
      </c>
      <c r="R13" s="81">
        <f>Q13*G13</f>
        <v>0.2</v>
      </c>
      <c r="S13" s="86"/>
      <c r="T13" s="157" t="s">
        <v>97</v>
      </c>
      <c r="U13" s="88" t="s">
        <v>98</v>
      </c>
      <c r="V13" s="159" t="s">
        <v>99</v>
      </c>
      <c r="W13" s="87" t="s">
        <v>100</v>
      </c>
      <c r="X13" s="87" t="s">
        <v>101</v>
      </c>
    </row>
    <row r="14" spans="2:24" s="11" customFormat="1" ht="19.899999999999999" customHeight="1">
      <c r="B14" s="109"/>
      <c r="C14" s="109"/>
      <c r="D14" s="97"/>
      <c r="E14" s="83"/>
      <c r="F14" s="83"/>
      <c r="G14" s="83"/>
      <c r="H14" s="96"/>
      <c r="I14" s="83"/>
      <c r="J14" s="153"/>
      <c r="K14" s="40" t="s">
        <v>43</v>
      </c>
      <c r="L14" s="61">
        <v>25000000</v>
      </c>
      <c r="M14" s="61">
        <v>25000000</v>
      </c>
      <c r="N14" s="61">
        <v>25000000</v>
      </c>
      <c r="O14" s="61">
        <v>25000000</v>
      </c>
      <c r="P14" s="62" t="s">
        <v>102</v>
      </c>
      <c r="Q14" s="83"/>
      <c r="R14" s="81"/>
      <c r="S14" s="86"/>
      <c r="T14" s="158"/>
      <c r="U14" s="88"/>
      <c r="V14" s="160"/>
      <c r="W14" s="88"/>
      <c r="X14" s="88"/>
    </row>
    <row r="15" spans="2:24" s="11" customFormat="1" ht="19.899999999999999" customHeight="1">
      <c r="B15" s="109"/>
      <c r="C15" s="109"/>
      <c r="D15" s="93" t="s">
        <v>59</v>
      </c>
      <c r="E15" s="89" t="s">
        <v>34</v>
      </c>
      <c r="F15" s="83" t="s">
        <v>52</v>
      </c>
      <c r="G15" s="89">
        <v>0.3</v>
      </c>
      <c r="H15" s="95" t="s">
        <v>60</v>
      </c>
      <c r="I15" s="83" t="s">
        <v>61</v>
      </c>
      <c r="J15" s="141">
        <v>0.88</v>
      </c>
      <c r="K15" s="25" t="s">
        <v>38</v>
      </c>
      <c r="L15" s="47">
        <v>0.65</v>
      </c>
      <c r="M15" s="47">
        <v>0.9</v>
      </c>
      <c r="N15" s="47">
        <v>0.87</v>
      </c>
      <c r="O15" s="47">
        <v>0.88</v>
      </c>
      <c r="P15" s="24">
        <f>AVERAGE(L15:O15)</f>
        <v>0.82499999999999996</v>
      </c>
      <c r="Q15" s="83">
        <v>2</v>
      </c>
      <c r="R15" s="81">
        <f>Q15*G15</f>
        <v>0.6</v>
      </c>
      <c r="S15" s="86"/>
      <c r="T15" s="89" t="s">
        <v>103</v>
      </c>
      <c r="U15" s="85" t="s">
        <v>104</v>
      </c>
      <c r="V15" s="85" t="s">
        <v>105</v>
      </c>
      <c r="W15" s="85" t="s">
        <v>106</v>
      </c>
      <c r="X15" s="85" t="s">
        <v>106</v>
      </c>
    </row>
    <row r="16" spans="2:24" s="11" customFormat="1" ht="19.899999999999999" customHeight="1">
      <c r="B16" s="109"/>
      <c r="C16" s="109"/>
      <c r="D16" s="94"/>
      <c r="E16" s="83"/>
      <c r="F16" s="83"/>
      <c r="G16" s="83"/>
      <c r="H16" s="96"/>
      <c r="I16" s="83"/>
      <c r="J16" s="142"/>
      <c r="K16" s="40" t="s">
        <v>43</v>
      </c>
      <c r="L16" s="65" t="s">
        <v>105</v>
      </c>
      <c r="M16" s="65" t="s">
        <v>105</v>
      </c>
      <c r="N16" s="65" t="s">
        <v>105</v>
      </c>
      <c r="O16" s="65" t="s">
        <v>105</v>
      </c>
      <c r="P16" s="66" t="s">
        <v>105</v>
      </c>
      <c r="Q16" s="83"/>
      <c r="R16" s="81"/>
      <c r="S16" s="86"/>
      <c r="T16" s="89"/>
      <c r="U16" s="85"/>
      <c r="V16" s="85"/>
      <c r="W16" s="85"/>
      <c r="X16" s="85"/>
    </row>
    <row r="17" spans="2:24" s="11" customFormat="1" ht="19.899999999999999" customHeight="1">
      <c r="B17" s="109"/>
      <c r="C17" s="109"/>
      <c r="D17" s="143" t="s">
        <v>107</v>
      </c>
      <c r="E17" s="89" t="s">
        <v>34</v>
      </c>
      <c r="F17" s="83" t="s">
        <v>35</v>
      </c>
      <c r="G17" s="89">
        <v>0.2</v>
      </c>
      <c r="H17" s="95" t="s">
        <v>60</v>
      </c>
      <c r="I17" s="83" t="s">
        <v>108</v>
      </c>
      <c r="J17" s="130">
        <v>0.84</v>
      </c>
      <c r="K17" s="25" t="s">
        <v>38</v>
      </c>
      <c r="L17" s="120">
        <v>0.82</v>
      </c>
      <c r="M17" s="121"/>
      <c r="N17" s="121"/>
      <c r="O17" s="122"/>
      <c r="P17" s="27">
        <f>AVERAGE(L17:O17)</f>
        <v>0.82</v>
      </c>
      <c r="Q17" s="83">
        <v>3</v>
      </c>
      <c r="R17" s="81">
        <f>Q17*G17</f>
        <v>0.60000000000000009</v>
      </c>
      <c r="S17" s="26"/>
      <c r="T17" s="89" t="s">
        <v>109</v>
      </c>
      <c r="U17" s="85" t="s">
        <v>110</v>
      </c>
      <c r="V17" s="85" t="s">
        <v>111</v>
      </c>
      <c r="W17" s="85" t="s">
        <v>112</v>
      </c>
      <c r="X17" s="85" t="s">
        <v>113</v>
      </c>
    </row>
    <row r="18" spans="2:24" s="11" customFormat="1" ht="19.899999999999999" customHeight="1">
      <c r="B18" s="109"/>
      <c r="C18" s="109"/>
      <c r="D18" s="144"/>
      <c r="E18" s="83"/>
      <c r="F18" s="83"/>
      <c r="G18" s="83"/>
      <c r="H18" s="96"/>
      <c r="I18" s="83"/>
      <c r="J18" s="131"/>
      <c r="K18" s="25" t="s">
        <v>43</v>
      </c>
      <c r="L18" s="163" t="s">
        <v>114</v>
      </c>
      <c r="M18" s="164"/>
      <c r="N18" s="164"/>
      <c r="O18" s="165"/>
      <c r="P18" s="71" t="s">
        <v>115</v>
      </c>
      <c r="Q18" s="83"/>
      <c r="R18" s="81"/>
      <c r="S18" s="26"/>
      <c r="T18" s="89"/>
      <c r="U18" s="85"/>
      <c r="V18" s="85"/>
      <c r="W18" s="85"/>
      <c r="X18" s="85"/>
    </row>
    <row r="19" spans="2:24" s="11" customFormat="1" ht="19.899999999999999" customHeight="1">
      <c r="B19" s="109"/>
      <c r="C19" s="109"/>
      <c r="D19" s="128" t="s">
        <v>116</v>
      </c>
      <c r="E19" s="95" t="s">
        <v>117</v>
      </c>
      <c r="F19" s="95"/>
      <c r="G19" s="95"/>
      <c r="H19" s="95"/>
      <c r="I19" s="95" t="s">
        <v>118</v>
      </c>
      <c r="J19" s="130">
        <v>0.35</v>
      </c>
      <c r="K19" s="25" t="s">
        <v>38</v>
      </c>
      <c r="L19" s="132">
        <v>0.28999999999999998</v>
      </c>
      <c r="M19" s="133"/>
      <c r="N19" s="133"/>
      <c r="O19" s="133"/>
      <c r="P19" s="54">
        <v>0.28999999999999998</v>
      </c>
      <c r="Q19" s="119" t="s">
        <v>75</v>
      </c>
      <c r="R19" s="119" t="s">
        <v>75</v>
      </c>
      <c r="S19" s="26"/>
      <c r="T19" s="126"/>
      <c r="U19" s="126"/>
      <c r="V19" s="126"/>
      <c r="W19" s="126"/>
      <c r="X19" s="126"/>
    </row>
    <row r="20" spans="2:24" s="11" customFormat="1" ht="19.899999999999999" customHeight="1">
      <c r="B20" s="109"/>
      <c r="C20" s="110"/>
      <c r="D20" s="129"/>
      <c r="E20" s="96"/>
      <c r="F20" s="96"/>
      <c r="G20" s="96"/>
      <c r="H20" s="96"/>
      <c r="I20" s="96"/>
      <c r="J20" s="131"/>
      <c r="K20" s="25" t="s">
        <v>43</v>
      </c>
      <c r="L20" s="133" t="s">
        <v>75</v>
      </c>
      <c r="M20" s="133"/>
      <c r="N20" s="133"/>
      <c r="O20" s="133"/>
      <c r="P20" s="53" t="s">
        <v>75</v>
      </c>
      <c r="Q20" s="96"/>
      <c r="R20" s="96"/>
      <c r="S20" s="26"/>
      <c r="T20" s="127"/>
      <c r="U20" s="127"/>
      <c r="V20" s="127"/>
      <c r="W20" s="127"/>
      <c r="X20" s="127"/>
    </row>
    <row r="21" spans="2:24" s="11" customFormat="1" ht="19.899999999999999" customHeight="1">
      <c r="B21" s="109"/>
      <c r="C21" s="111" t="s">
        <v>71</v>
      </c>
      <c r="D21" s="97" t="s">
        <v>72</v>
      </c>
      <c r="E21" s="89" t="s">
        <v>34</v>
      </c>
      <c r="F21" s="83" t="s">
        <v>52</v>
      </c>
      <c r="G21" s="89">
        <v>0.3</v>
      </c>
      <c r="H21" s="95" t="s">
        <v>60</v>
      </c>
      <c r="I21" s="83" t="s">
        <v>61</v>
      </c>
      <c r="J21" s="130">
        <v>0.96</v>
      </c>
      <c r="K21" s="25" t="s">
        <v>38</v>
      </c>
      <c r="L21" s="24">
        <v>0.96</v>
      </c>
      <c r="M21" s="24">
        <v>0.96</v>
      </c>
      <c r="N21" s="24">
        <v>0.96</v>
      </c>
      <c r="O21" s="24">
        <v>0.93</v>
      </c>
      <c r="P21" s="27">
        <v>0.95</v>
      </c>
      <c r="Q21" s="83">
        <v>4</v>
      </c>
      <c r="R21" s="81">
        <f>Q21*G21</f>
        <v>1.2</v>
      </c>
      <c r="S21" s="86"/>
      <c r="T21" s="161" t="s">
        <v>110</v>
      </c>
      <c r="U21" s="85" t="s">
        <v>104</v>
      </c>
      <c r="V21" s="85" t="s">
        <v>119</v>
      </c>
      <c r="W21" s="85" t="s">
        <v>120</v>
      </c>
      <c r="X21" s="85" t="s">
        <v>75</v>
      </c>
    </row>
    <row r="22" spans="2:24" s="11" customFormat="1" ht="19.899999999999999" customHeight="1">
      <c r="B22" s="110"/>
      <c r="C22" s="111"/>
      <c r="D22" s="97"/>
      <c r="E22" s="83"/>
      <c r="F22" s="83"/>
      <c r="G22" s="83"/>
      <c r="H22" s="96"/>
      <c r="I22" s="83"/>
      <c r="J22" s="131"/>
      <c r="K22" s="25" t="s">
        <v>43</v>
      </c>
      <c r="L22" s="68" t="s">
        <v>74</v>
      </c>
      <c r="M22" s="68" t="s">
        <v>74</v>
      </c>
      <c r="N22" s="68" t="s">
        <v>74</v>
      </c>
      <c r="O22" s="68" t="s">
        <v>74</v>
      </c>
      <c r="P22" s="69" t="s">
        <v>74</v>
      </c>
      <c r="Q22" s="83"/>
      <c r="R22" s="81"/>
      <c r="S22" s="86"/>
      <c r="T22" s="161"/>
      <c r="U22" s="85"/>
      <c r="V22" s="85"/>
      <c r="W22" s="85"/>
      <c r="X22" s="85"/>
    </row>
    <row r="23" spans="2:24" ht="27.6" customHeight="1">
      <c r="B23" s="20"/>
      <c r="C23" s="21"/>
      <c r="D23" s="21"/>
      <c r="E23" s="21"/>
      <c r="F23" s="21"/>
      <c r="G23" s="22">
        <f>SUM(G13:G22)</f>
        <v>1</v>
      </c>
      <c r="H23" s="21"/>
      <c r="I23" s="21"/>
      <c r="J23" s="21"/>
      <c r="K23" s="21"/>
      <c r="L23" s="113" t="s">
        <v>76</v>
      </c>
      <c r="M23" s="113"/>
      <c r="N23" s="113"/>
      <c r="O23" s="113"/>
      <c r="P23" s="113"/>
      <c r="Q23" s="118">
        <f>+SUM(R13:R22)</f>
        <v>2.6</v>
      </c>
      <c r="R23" s="118"/>
    </row>
    <row r="24" spans="2:24" ht="13.9" customHeight="1"/>
    <row r="25" spans="2:24" ht="13.9" customHeight="1"/>
    <row r="28" spans="2:24">
      <c r="T28" s="10"/>
    </row>
    <row r="33" spans="4:5">
      <c r="D33" s="60" t="s">
        <v>121</v>
      </c>
    </row>
    <row r="34" spans="4:5">
      <c r="D34" s="9" t="s">
        <v>122</v>
      </c>
      <c r="E34" s="9" t="s">
        <v>123</v>
      </c>
    </row>
  </sheetData>
  <mergeCells count="150">
    <mergeCell ref="L23:P23"/>
    <mergeCell ref="Q23:R23"/>
    <mergeCell ref="Q21:Q22"/>
    <mergeCell ref="R21:R22"/>
    <mergeCell ref="S21:S22"/>
    <mergeCell ref="T21:T22"/>
    <mergeCell ref="U21:U22"/>
    <mergeCell ref="V21:V22"/>
    <mergeCell ref="J19:J20"/>
    <mergeCell ref="L19:O19"/>
    <mergeCell ref="X19:X20"/>
    <mergeCell ref="L20:O20"/>
    <mergeCell ref="C21:C22"/>
    <mergeCell ref="D21:D22"/>
    <mergeCell ref="E21:E22"/>
    <mergeCell ref="F21:F22"/>
    <mergeCell ref="G21:G22"/>
    <mergeCell ref="H21:H22"/>
    <mergeCell ref="I21:I22"/>
    <mergeCell ref="J21:J22"/>
    <mergeCell ref="Q19:Q20"/>
    <mergeCell ref="R19:R20"/>
    <mergeCell ref="T19:T20"/>
    <mergeCell ref="U19:U20"/>
    <mergeCell ref="V19:V20"/>
    <mergeCell ref="W19:W20"/>
    <mergeCell ref="W21:W22"/>
    <mergeCell ref="X21:X22"/>
    <mergeCell ref="W17:W18"/>
    <mergeCell ref="X17:X18"/>
    <mergeCell ref="X15:X16"/>
    <mergeCell ref="D17:D18"/>
    <mergeCell ref="E17:E18"/>
    <mergeCell ref="F17:F18"/>
    <mergeCell ref="G17:G18"/>
    <mergeCell ref="H17:H18"/>
    <mergeCell ref="I17:I18"/>
    <mergeCell ref="J17:J18"/>
    <mergeCell ref="L17:O17"/>
    <mergeCell ref="Q17:Q18"/>
    <mergeCell ref="R15:R16"/>
    <mergeCell ref="S15:S16"/>
    <mergeCell ref="T15:T16"/>
    <mergeCell ref="U15:U16"/>
    <mergeCell ref="V15:V16"/>
    <mergeCell ref="W15:W16"/>
    <mergeCell ref="L18:O18"/>
    <mergeCell ref="R13:R14"/>
    <mergeCell ref="S13:S14"/>
    <mergeCell ref="T13:T14"/>
    <mergeCell ref="U13:U14"/>
    <mergeCell ref="V13:V14"/>
    <mergeCell ref="R17:R18"/>
    <mergeCell ref="T17:T18"/>
    <mergeCell ref="U17:U18"/>
    <mergeCell ref="V17:V18"/>
    <mergeCell ref="V11:V12"/>
    <mergeCell ref="W11:W12"/>
    <mergeCell ref="X11:X12"/>
    <mergeCell ref="D13:D14"/>
    <mergeCell ref="E13:E14"/>
    <mergeCell ref="F13:F14"/>
    <mergeCell ref="G13:G14"/>
    <mergeCell ref="H13:H14"/>
    <mergeCell ref="I13:I14"/>
    <mergeCell ref="J13:J14"/>
    <mergeCell ref="J11:J12"/>
    <mergeCell ref="Q11:Q12"/>
    <mergeCell ref="R11:R12"/>
    <mergeCell ref="S11:S12"/>
    <mergeCell ref="T11:T12"/>
    <mergeCell ref="U11:U12"/>
    <mergeCell ref="D11:D12"/>
    <mergeCell ref="E11:E12"/>
    <mergeCell ref="F11:F12"/>
    <mergeCell ref="G11:G12"/>
    <mergeCell ref="H11:H12"/>
    <mergeCell ref="I11:I12"/>
    <mergeCell ref="W13:W14"/>
    <mergeCell ref="X13:X14"/>
    <mergeCell ref="T9:T10"/>
    <mergeCell ref="U9:U10"/>
    <mergeCell ref="V9:V10"/>
    <mergeCell ref="W9:W10"/>
    <mergeCell ref="X9:X10"/>
    <mergeCell ref="L10:M10"/>
    <mergeCell ref="N10:O10"/>
    <mergeCell ref="J9:J10"/>
    <mergeCell ref="L9:M9"/>
    <mergeCell ref="N9:O9"/>
    <mergeCell ref="Q9:Q10"/>
    <mergeCell ref="R9:R10"/>
    <mergeCell ref="S9:S10"/>
    <mergeCell ref="B9:B22"/>
    <mergeCell ref="C9:C20"/>
    <mergeCell ref="D9:D10"/>
    <mergeCell ref="E9:E10"/>
    <mergeCell ref="F9:F10"/>
    <mergeCell ref="G9:G10"/>
    <mergeCell ref="H9:H10"/>
    <mergeCell ref="I9:I10"/>
    <mergeCell ref="Q7:Q8"/>
    <mergeCell ref="D15:D16"/>
    <mergeCell ref="E15:E16"/>
    <mergeCell ref="F15:F16"/>
    <mergeCell ref="G15:G16"/>
    <mergeCell ref="H15:H16"/>
    <mergeCell ref="I15:I16"/>
    <mergeCell ref="J15:J16"/>
    <mergeCell ref="Q15:Q16"/>
    <mergeCell ref="Q13:Q14"/>
    <mergeCell ref="D19:D20"/>
    <mergeCell ref="E19:E20"/>
    <mergeCell ref="F19:F20"/>
    <mergeCell ref="G19:G20"/>
    <mergeCell ref="H19:H20"/>
    <mergeCell ref="I19:I20"/>
    <mergeCell ref="T4:X4"/>
    <mergeCell ref="B5:R5"/>
    <mergeCell ref="T5:T6"/>
    <mergeCell ref="U5:U6"/>
    <mergeCell ref="V5:V6"/>
    <mergeCell ref="W5:W6"/>
    <mergeCell ref="X5:X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R7:R8"/>
    <mergeCell ref="S7:S8"/>
    <mergeCell ref="T7:T8"/>
    <mergeCell ref="U7:U8"/>
    <mergeCell ref="V7:V8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</mergeCells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2C3C-7F1F-4CD3-8353-75B9D64C6410}">
  <dimension ref="B1:X35"/>
  <sheetViews>
    <sheetView topLeftCell="A24" zoomScaleNormal="100" workbookViewId="0">
      <selection activeCell="L29" sqref="L29"/>
    </sheetView>
  </sheetViews>
  <sheetFormatPr defaultColWidth="8.85546875" defaultRowHeight="12.75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75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24">
      <c r="B2" s="101" t="s">
        <v>1</v>
      </c>
      <c r="C2" s="101"/>
      <c r="D2" s="104">
        <v>45644</v>
      </c>
      <c r="E2" s="105"/>
      <c r="F2" s="134" t="s">
        <v>2</v>
      </c>
      <c r="G2" s="135"/>
      <c r="H2" s="104">
        <v>43862</v>
      </c>
      <c r="I2" s="105"/>
      <c r="J2" s="105"/>
      <c r="K2" s="105"/>
      <c r="L2" s="105"/>
      <c r="M2" s="105"/>
      <c r="N2" s="105"/>
      <c r="O2" s="28"/>
      <c r="P2" s="108" t="s">
        <v>3</v>
      </c>
      <c r="Q2" s="108"/>
      <c r="R2" s="108"/>
    </row>
    <row r="3" spans="2:24">
      <c r="B3" s="101" t="s">
        <v>4</v>
      </c>
      <c r="C3" s="101"/>
      <c r="D3" s="103" t="s">
        <v>5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2:24">
      <c r="B4" s="102" t="s">
        <v>6</v>
      </c>
      <c r="C4" s="102"/>
      <c r="D4" s="107" t="s">
        <v>125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T4" s="81" t="s">
        <v>8</v>
      </c>
      <c r="U4" s="81"/>
      <c r="V4" s="81"/>
      <c r="W4" s="81"/>
      <c r="X4" s="81"/>
    </row>
    <row r="5" spans="2:24"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T5" s="82" t="s">
        <v>9</v>
      </c>
      <c r="U5" s="82" t="s">
        <v>10</v>
      </c>
      <c r="V5" s="82" t="s">
        <v>11</v>
      </c>
      <c r="W5" s="82" t="s">
        <v>12</v>
      </c>
      <c r="X5" s="82" t="s">
        <v>13</v>
      </c>
    </row>
    <row r="6" spans="2:24" s="12" customFormat="1" ht="38.2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82"/>
      <c r="U6" s="82"/>
      <c r="V6" s="82"/>
      <c r="W6" s="82"/>
      <c r="X6" s="82"/>
    </row>
    <row r="7" spans="2:24" s="11" customFormat="1" ht="19.899999999999999" customHeight="1">
      <c r="B7" s="109" t="s">
        <v>126</v>
      </c>
      <c r="C7" s="109" t="s">
        <v>127</v>
      </c>
      <c r="D7" s="97" t="s">
        <v>96</v>
      </c>
      <c r="E7" s="89" t="s">
        <v>34</v>
      </c>
      <c r="F7" s="83" t="s">
        <v>52</v>
      </c>
      <c r="G7" s="89">
        <v>0.1</v>
      </c>
      <c r="H7" s="95" t="s">
        <v>53</v>
      </c>
      <c r="I7" s="83" t="s">
        <v>61</v>
      </c>
      <c r="J7" s="152"/>
      <c r="K7" s="40" t="s">
        <v>38</v>
      </c>
      <c r="L7" s="43">
        <v>0</v>
      </c>
      <c r="M7" s="43">
        <v>25110000</v>
      </c>
      <c r="N7" s="43">
        <v>19309432</v>
      </c>
      <c r="O7" s="43">
        <v>17711000</v>
      </c>
      <c r="P7" s="75">
        <f>SUM(L7:O7)</f>
        <v>62130432</v>
      </c>
      <c r="Q7" s="83">
        <v>1</v>
      </c>
      <c r="R7" s="81">
        <f>Q7*G7</f>
        <v>0.1</v>
      </c>
      <c r="S7" s="86"/>
      <c r="T7" s="157" t="s">
        <v>97</v>
      </c>
      <c r="U7" s="88" t="s">
        <v>98</v>
      </c>
      <c r="V7" s="159" t="s">
        <v>99</v>
      </c>
      <c r="W7" s="87" t="s">
        <v>100</v>
      </c>
      <c r="X7" s="87" t="s">
        <v>101</v>
      </c>
    </row>
    <row r="8" spans="2:24" s="11" customFormat="1" ht="19.899999999999999" customHeight="1">
      <c r="B8" s="109"/>
      <c r="C8" s="109"/>
      <c r="D8" s="97"/>
      <c r="E8" s="83"/>
      <c r="F8" s="83"/>
      <c r="G8" s="83"/>
      <c r="H8" s="96"/>
      <c r="I8" s="83"/>
      <c r="J8" s="153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83"/>
      <c r="R8" s="81"/>
      <c r="S8" s="86"/>
      <c r="T8" s="158"/>
      <c r="U8" s="88"/>
      <c r="V8" s="160"/>
      <c r="W8" s="88"/>
      <c r="X8" s="88"/>
    </row>
    <row r="9" spans="2:24" s="11" customFormat="1" ht="19.899999999999999" customHeight="1">
      <c r="B9" s="109"/>
      <c r="C9" s="109"/>
      <c r="D9" s="185" t="s">
        <v>59</v>
      </c>
      <c r="E9" s="89" t="s">
        <v>34</v>
      </c>
      <c r="F9" s="83" t="s">
        <v>52</v>
      </c>
      <c r="G9" s="89">
        <v>0.15</v>
      </c>
      <c r="H9" s="95" t="s">
        <v>60</v>
      </c>
      <c r="I9" s="83" t="s">
        <v>61</v>
      </c>
      <c r="J9" s="141"/>
      <c r="K9" s="25" t="s">
        <v>38</v>
      </c>
      <c r="L9" s="63">
        <v>0.86</v>
      </c>
      <c r="M9" s="63">
        <v>0.85</v>
      </c>
      <c r="N9" s="63">
        <v>0.86</v>
      </c>
      <c r="O9" s="63">
        <v>0.88</v>
      </c>
      <c r="P9" s="64">
        <f>AVERAGE(L9:O9)</f>
        <v>0.86249999999999993</v>
      </c>
      <c r="Q9" s="83">
        <v>2</v>
      </c>
      <c r="R9" s="81">
        <f>Q9*G9</f>
        <v>0.3</v>
      </c>
      <c r="S9" s="86"/>
      <c r="T9" s="89" t="s">
        <v>103</v>
      </c>
      <c r="U9" s="85" t="s">
        <v>104</v>
      </c>
      <c r="V9" s="85" t="s">
        <v>105</v>
      </c>
      <c r="W9" s="85" t="s">
        <v>75</v>
      </c>
      <c r="X9" s="85" t="s">
        <v>75</v>
      </c>
    </row>
    <row r="10" spans="2:24" s="11" customFormat="1" ht="19.899999999999999" customHeight="1">
      <c r="B10" s="109"/>
      <c r="C10" s="109"/>
      <c r="D10" s="186"/>
      <c r="E10" s="83"/>
      <c r="F10" s="83"/>
      <c r="G10" s="83"/>
      <c r="H10" s="96"/>
      <c r="I10" s="83"/>
      <c r="J10" s="142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83"/>
      <c r="R10" s="81"/>
      <c r="S10" s="86"/>
      <c r="T10" s="89"/>
      <c r="U10" s="85"/>
      <c r="V10" s="85"/>
      <c r="W10" s="85"/>
      <c r="X10" s="85"/>
    </row>
    <row r="11" spans="2:24" s="11" customFormat="1" ht="19.899999999999999" customHeight="1">
      <c r="B11" s="109"/>
      <c r="C11" s="109"/>
      <c r="D11" s="143" t="s">
        <v>128</v>
      </c>
      <c r="E11" s="89" t="s">
        <v>34</v>
      </c>
      <c r="F11" s="83" t="s">
        <v>35</v>
      </c>
      <c r="G11" s="89">
        <v>0.15</v>
      </c>
      <c r="H11" s="95" t="s">
        <v>129</v>
      </c>
      <c r="I11" s="83" t="s">
        <v>118</v>
      </c>
      <c r="J11" s="130"/>
      <c r="K11" s="25" t="s">
        <v>38</v>
      </c>
      <c r="L11" s="163">
        <v>24</v>
      </c>
      <c r="M11" s="164"/>
      <c r="N11" s="164"/>
      <c r="O11" s="164"/>
      <c r="P11" s="76">
        <f>L11</f>
        <v>24</v>
      </c>
      <c r="Q11" s="83">
        <v>3</v>
      </c>
      <c r="R11" s="81">
        <f>Q11*G11</f>
        <v>0.44999999999999996</v>
      </c>
      <c r="S11" s="26"/>
      <c r="T11" s="89" t="s">
        <v>130</v>
      </c>
      <c r="U11" s="85" t="s">
        <v>131</v>
      </c>
      <c r="V11" s="85" t="s">
        <v>132</v>
      </c>
      <c r="W11" s="85" t="s">
        <v>133</v>
      </c>
      <c r="X11" s="85" t="s">
        <v>134</v>
      </c>
    </row>
    <row r="12" spans="2:24" s="11" customFormat="1" ht="19.899999999999999" customHeight="1">
      <c r="B12" s="109"/>
      <c r="C12" s="109"/>
      <c r="D12" s="144"/>
      <c r="E12" s="83"/>
      <c r="F12" s="83"/>
      <c r="G12" s="83"/>
      <c r="H12" s="96"/>
      <c r="I12" s="83"/>
      <c r="J12" s="131"/>
      <c r="K12" s="25" t="s">
        <v>43</v>
      </c>
      <c r="L12" s="163">
        <v>24</v>
      </c>
      <c r="M12" s="164"/>
      <c r="N12" s="164"/>
      <c r="O12" s="164"/>
      <c r="P12" s="76">
        <v>24</v>
      </c>
      <c r="Q12" s="83"/>
      <c r="R12" s="81"/>
      <c r="S12" s="26"/>
      <c r="T12" s="89"/>
      <c r="U12" s="85"/>
      <c r="V12" s="85"/>
      <c r="W12" s="85"/>
      <c r="X12" s="85"/>
    </row>
    <row r="13" spans="2:24" s="11" customFormat="1" ht="19.899999999999999" customHeight="1">
      <c r="B13" s="109"/>
      <c r="C13" s="109"/>
      <c r="D13" s="143" t="s">
        <v>135</v>
      </c>
      <c r="E13" s="171" t="s">
        <v>117</v>
      </c>
      <c r="F13" s="172"/>
      <c r="G13" s="171"/>
      <c r="H13" s="168" t="s">
        <v>136</v>
      </c>
      <c r="I13" s="172" t="s">
        <v>118</v>
      </c>
      <c r="J13" s="166"/>
      <c r="K13" s="189" t="s">
        <v>38</v>
      </c>
      <c r="L13" s="191"/>
      <c r="M13" s="192"/>
      <c r="N13" s="192"/>
      <c r="O13" s="193"/>
      <c r="P13" s="187"/>
      <c r="Q13" s="172"/>
      <c r="R13" s="188"/>
      <c r="S13" s="26"/>
      <c r="T13" s="89"/>
      <c r="U13" s="85"/>
      <c r="V13" s="85"/>
      <c r="W13" s="85"/>
      <c r="X13" s="85"/>
    </row>
    <row r="14" spans="2:24" s="11" customFormat="1" ht="19.899999999999999" customHeight="1">
      <c r="B14" s="109"/>
      <c r="C14" s="109"/>
      <c r="D14" s="144"/>
      <c r="E14" s="172"/>
      <c r="F14" s="172"/>
      <c r="G14" s="172"/>
      <c r="H14" s="169"/>
      <c r="I14" s="172"/>
      <c r="J14" s="167"/>
      <c r="K14" s="190"/>
      <c r="L14" s="194"/>
      <c r="M14" s="195"/>
      <c r="N14" s="195"/>
      <c r="O14" s="196"/>
      <c r="P14" s="187"/>
      <c r="Q14" s="172"/>
      <c r="R14" s="188"/>
      <c r="S14" s="26"/>
      <c r="T14" s="89"/>
      <c r="U14" s="85"/>
      <c r="V14" s="85"/>
      <c r="W14" s="85"/>
      <c r="X14" s="85"/>
    </row>
    <row r="15" spans="2:24" s="11" customFormat="1" ht="19.899999999999999" customHeight="1">
      <c r="B15" s="109"/>
      <c r="C15" s="109"/>
      <c r="D15" s="185" t="s">
        <v>137</v>
      </c>
      <c r="E15" s="171" t="s">
        <v>34</v>
      </c>
      <c r="F15" s="83" t="s">
        <v>35</v>
      </c>
      <c r="G15" s="89">
        <v>0.16</v>
      </c>
      <c r="H15" s="95" t="s">
        <v>136</v>
      </c>
      <c r="I15" s="83" t="s">
        <v>118</v>
      </c>
      <c r="J15" s="130"/>
      <c r="K15" s="25" t="s">
        <v>38</v>
      </c>
      <c r="L15" s="163">
        <v>369</v>
      </c>
      <c r="M15" s="164"/>
      <c r="N15" s="164"/>
      <c r="O15" s="164"/>
      <c r="P15" s="76">
        <f>L15</f>
        <v>369</v>
      </c>
      <c r="Q15" s="83">
        <v>3</v>
      </c>
      <c r="R15" s="81">
        <f>Q15*G15</f>
        <v>0.48</v>
      </c>
      <c r="S15" s="26"/>
      <c r="T15" s="89" t="s">
        <v>138</v>
      </c>
      <c r="U15" s="85" t="s">
        <v>139</v>
      </c>
      <c r="V15" s="85" t="s">
        <v>140</v>
      </c>
      <c r="W15" s="85" t="s">
        <v>141</v>
      </c>
      <c r="X15" s="85"/>
    </row>
    <row r="16" spans="2:24" s="11" customFormat="1" ht="19.899999999999999" customHeight="1">
      <c r="B16" s="109"/>
      <c r="C16" s="109"/>
      <c r="D16" s="186"/>
      <c r="E16" s="172"/>
      <c r="F16" s="83"/>
      <c r="G16" s="83"/>
      <c r="H16" s="96"/>
      <c r="I16" s="83"/>
      <c r="J16" s="131"/>
      <c r="K16" s="25" t="s">
        <v>43</v>
      </c>
      <c r="L16" s="163">
        <v>479</v>
      </c>
      <c r="M16" s="164"/>
      <c r="N16" s="164"/>
      <c r="O16" s="164"/>
      <c r="P16" s="76">
        <v>479</v>
      </c>
      <c r="Q16" s="83"/>
      <c r="R16" s="81"/>
      <c r="S16" s="26"/>
      <c r="T16" s="89"/>
      <c r="U16" s="85"/>
      <c r="V16" s="85"/>
      <c r="W16" s="85"/>
      <c r="X16" s="85"/>
    </row>
    <row r="17" spans="2:24" s="11" customFormat="1" ht="19.899999999999999" customHeight="1">
      <c r="B17" s="109"/>
      <c r="C17" s="109"/>
      <c r="D17" s="185" t="s">
        <v>142</v>
      </c>
      <c r="E17" s="171" t="s">
        <v>34</v>
      </c>
      <c r="F17" s="83" t="s">
        <v>35</v>
      </c>
      <c r="G17" s="89">
        <v>0.16</v>
      </c>
      <c r="H17" s="95" t="s">
        <v>136</v>
      </c>
      <c r="I17" s="83" t="s">
        <v>118</v>
      </c>
      <c r="J17" s="130"/>
      <c r="K17" s="25" t="s">
        <v>38</v>
      </c>
      <c r="L17" s="163">
        <v>438</v>
      </c>
      <c r="M17" s="164"/>
      <c r="N17" s="164"/>
      <c r="O17" s="164"/>
      <c r="P17" s="76">
        <f>L17</f>
        <v>438</v>
      </c>
      <c r="Q17" s="83">
        <v>2</v>
      </c>
      <c r="R17" s="81">
        <f>Q17*G17</f>
        <v>0.32</v>
      </c>
      <c r="S17" s="26"/>
      <c r="T17" s="89" t="s">
        <v>143</v>
      </c>
      <c r="U17" s="85" t="s">
        <v>144</v>
      </c>
      <c r="V17" s="85" t="s">
        <v>145</v>
      </c>
      <c r="W17" s="85"/>
      <c r="X17" s="85"/>
    </row>
    <row r="18" spans="2:24" s="11" customFormat="1" ht="19.899999999999999" customHeight="1">
      <c r="B18" s="109"/>
      <c r="C18" s="109"/>
      <c r="D18" s="186"/>
      <c r="E18" s="172"/>
      <c r="F18" s="83"/>
      <c r="G18" s="83"/>
      <c r="H18" s="96"/>
      <c r="I18" s="83"/>
      <c r="J18" s="131"/>
      <c r="K18" s="25" t="s">
        <v>43</v>
      </c>
      <c r="L18" s="163">
        <v>540</v>
      </c>
      <c r="M18" s="164"/>
      <c r="N18" s="164"/>
      <c r="O18" s="165"/>
      <c r="P18" s="71">
        <v>540</v>
      </c>
      <c r="Q18" s="83"/>
      <c r="R18" s="81"/>
      <c r="S18" s="26"/>
      <c r="T18" s="89"/>
      <c r="U18" s="85"/>
      <c r="V18" s="85"/>
      <c r="W18" s="85"/>
      <c r="X18" s="85"/>
    </row>
    <row r="19" spans="2:24" s="11" customFormat="1" ht="19.899999999999999" customHeight="1">
      <c r="B19" s="109"/>
      <c r="C19" s="109"/>
      <c r="D19" s="143" t="s">
        <v>107</v>
      </c>
      <c r="E19" s="89" t="s">
        <v>34</v>
      </c>
      <c r="F19" s="83" t="s">
        <v>35</v>
      </c>
      <c r="G19" s="89">
        <v>0.13</v>
      </c>
      <c r="H19" s="95" t="s">
        <v>60</v>
      </c>
      <c r="I19" s="83" t="s">
        <v>118</v>
      </c>
      <c r="J19" s="130"/>
      <c r="K19" s="25" t="s">
        <v>38</v>
      </c>
      <c r="L19" s="182">
        <v>0.69</v>
      </c>
      <c r="M19" s="183"/>
      <c r="N19" s="183"/>
      <c r="O19" s="184"/>
      <c r="P19" s="67">
        <f>L19</f>
        <v>0.69</v>
      </c>
      <c r="Q19" s="83">
        <v>1</v>
      </c>
      <c r="R19" s="81">
        <f>Q19*G19</f>
        <v>0.13</v>
      </c>
      <c r="S19" s="26"/>
      <c r="T19" s="89" t="s">
        <v>109</v>
      </c>
      <c r="U19" s="85" t="s">
        <v>110</v>
      </c>
      <c r="V19" s="85" t="s">
        <v>111</v>
      </c>
      <c r="W19" s="85" t="s">
        <v>112</v>
      </c>
      <c r="X19" s="85" t="s">
        <v>146</v>
      </c>
    </row>
    <row r="20" spans="2:24" s="11" customFormat="1" ht="19.899999999999999" customHeight="1">
      <c r="B20" s="109"/>
      <c r="C20" s="109"/>
      <c r="D20" s="144"/>
      <c r="E20" s="83"/>
      <c r="F20" s="83"/>
      <c r="G20" s="83"/>
      <c r="H20" s="96"/>
      <c r="I20" s="83"/>
      <c r="J20" s="131"/>
      <c r="K20" s="25" t="s">
        <v>43</v>
      </c>
      <c r="L20" s="163" t="s">
        <v>114</v>
      </c>
      <c r="M20" s="164"/>
      <c r="N20" s="164"/>
      <c r="O20" s="165"/>
      <c r="P20" s="71" t="s">
        <v>115</v>
      </c>
      <c r="Q20" s="83"/>
      <c r="R20" s="81"/>
      <c r="S20" s="26"/>
      <c r="T20" s="89"/>
      <c r="U20" s="85"/>
      <c r="V20" s="85"/>
      <c r="W20" s="85"/>
      <c r="X20" s="85"/>
    </row>
    <row r="21" spans="2:24" s="11" customFormat="1" ht="19.899999999999999" customHeight="1">
      <c r="B21" s="109"/>
      <c r="C21" s="109"/>
      <c r="D21" s="128" t="s">
        <v>116</v>
      </c>
      <c r="E21" s="168" t="s">
        <v>117</v>
      </c>
      <c r="F21" s="168"/>
      <c r="G21" s="168"/>
      <c r="H21" s="168"/>
      <c r="I21" s="168" t="s">
        <v>118</v>
      </c>
      <c r="J21" s="166"/>
      <c r="K21" s="168" t="s">
        <v>38</v>
      </c>
      <c r="L21" s="173"/>
      <c r="M21" s="174"/>
      <c r="N21" s="174"/>
      <c r="O21" s="175"/>
      <c r="P21" s="179"/>
      <c r="Q21" s="181"/>
      <c r="R21" s="181"/>
      <c r="S21" s="26"/>
      <c r="T21" s="126"/>
      <c r="U21" s="126"/>
      <c r="V21" s="126"/>
      <c r="W21" s="126"/>
      <c r="X21" s="126"/>
    </row>
    <row r="22" spans="2:24" s="11" customFormat="1" ht="19.899999999999999" customHeight="1">
      <c r="B22" s="109"/>
      <c r="C22" s="110"/>
      <c r="D22" s="129"/>
      <c r="E22" s="169"/>
      <c r="F22" s="169"/>
      <c r="G22" s="169"/>
      <c r="H22" s="169"/>
      <c r="I22" s="169"/>
      <c r="J22" s="167"/>
      <c r="K22" s="169"/>
      <c r="L22" s="176"/>
      <c r="M22" s="177"/>
      <c r="N22" s="177"/>
      <c r="O22" s="178"/>
      <c r="P22" s="180"/>
      <c r="Q22" s="169"/>
      <c r="R22" s="169"/>
      <c r="S22" s="26"/>
      <c r="T22" s="127"/>
      <c r="U22" s="127"/>
      <c r="V22" s="127"/>
      <c r="W22" s="127"/>
      <c r="X22" s="127"/>
    </row>
    <row r="23" spans="2:24" s="11" customFormat="1" ht="19.899999999999999" customHeight="1">
      <c r="B23" s="109"/>
      <c r="C23" s="111" t="s">
        <v>147</v>
      </c>
      <c r="D23" s="170" t="s">
        <v>72</v>
      </c>
      <c r="E23" s="171" t="s">
        <v>34</v>
      </c>
      <c r="F23" s="83" t="s">
        <v>52</v>
      </c>
      <c r="G23" s="89">
        <v>0.15</v>
      </c>
      <c r="H23" s="95" t="s">
        <v>60</v>
      </c>
      <c r="I23" s="83" t="s">
        <v>61</v>
      </c>
      <c r="J23" s="130"/>
      <c r="K23" s="25" t="s">
        <v>38</v>
      </c>
      <c r="L23" s="64">
        <v>0.96</v>
      </c>
      <c r="M23" s="64">
        <v>0.96</v>
      </c>
      <c r="N23" s="64">
        <v>0.96</v>
      </c>
      <c r="O23" s="64">
        <v>0.96</v>
      </c>
      <c r="P23" s="67">
        <f>AVERAGE(L23:O23)</f>
        <v>0.96</v>
      </c>
      <c r="Q23" s="83">
        <v>4</v>
      </c>
      <c r="R23" s="81">
        <f>Q23*G23</f>
        <v>0.6</v>
      </c>
      <c r="S23" s="86"/>
      <c r="T23" s="161" t="s">
        <v>110</v>
      </c>
      <c r="U23" s="85" t="s">
        <v>104</v>
      </c>
      <c r="V23" s="85" t="s">
        <v>148</v>
      </c>
      <c r="W23" s="85" t="s">
        <v>149</v>
      </c>
      <c r="X23" s="85" t="s">
        <v>75</v>
      </c>
    </row>
    <row r="24" spans="2:24" s="11" customFormat="1" ht="19.899999999999999" customHeight="1">
      <c r="B24" s="110"/>
      <c r="C24" s="111"/>
      <c r="D24" s="170"/>
      <c r="E24" s="172"/>
      <c r="F24" s="83"/>
      <c r="G24" s="83"/>
      <c r="H24" s="96"/>
      <c r="I24" s="83"/>
      <c r="J24" s="131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83"/>
      <c r="R24" s="81"/>
      <c r="S24" s="86"/>
      <c r="T24" s="161"/>
      <c r="U24" s="85"/>
      <c r="V24" s="85"/>
      <c r="W24" s="85"/>
      <c r="X24" s="85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113" t="s">
        <v>76</v>
      </c>
      <c r="M25" s="113"/>
      <c r="N25" s="113"/>
      <c r="O25" s="113"/>
      <c r="P25" s="113"/>
      <c r="Q25" s="118">
        <f>+SUM(R7+R9+R11+R15+R17+R19+R23)</f>
        <v>2.3800000000000003</v>
      </c>
      <c r="R25" s="118"/>
    </row>
    <row r="26" spans="2:24" ht="13.9" customHeight="1"/>
    <row r="27" spans="2:24" ht="13.9" customHeight="1">
      <c r="C27" s="197" t="s">
        <v>127</v>
      </c>
      <c r="D27" s="198" t="s">
        <v>150</v>
      </c>
      <c r="E27" s="168" t="s">
        <v>117</v>
      </c>
      <c r="F27" s="168"/>
      <c r="G27" s="168"/>
      <c r="H27" s="168"/>
      <c r="I27" s="168" t="s">
        <v>118</v>
      </c>
      <c r="J27" s="166"/>
      <c r="K27" s="168" t="s">
        <v>38</v>
      </c>
      <c r="L27" s="173">
        <v>35</v>
      </c>
      <c r="M27" s="174"/>
      <c r="N27" s="174"/>
      <c r="O27" s="175"/>
      <c r="P27" s="179"/>
      <c r="Q27" s="181"/>
      <c r="R27" s="181"/>
    </row>
    <row r="28" spans="2:24">
      <c r="C28" s="197"/>
      <c r="D28" s="199"/>
      <c r="E28" s="169"/>
      <c r="F28" s="169"/>
      <c r="G28" s="169"/>
      <c r="H28" s="169"/>
      <c r="I28" s="169"/>
      <c r="J28" s="167"/>
      <c r="K28" s="169"/>
      <c r="L28" s="176"/>
      <c r="M28" s="177"/>
      <c r="N28" s="177"/>
      <c r="O28" s="178"/>
      <c r="P28" s="180"/>
      <c r="Q28" s="169"/>
      <c r="R28" s="169"/>
    </row>
    <row r="30" spans="2:24">
      <c r="T30" s="10"/>
    </row>
    <row r="35" spans="4:4">
      <c r="D35" s="11"/>
    </row>
  </sheetData>
  <autoFilter ref="A6:X25" xr:uid="{CE762C3C-7F1F-4CD3-8353-75B9D64C6410}"/>
  <mergeCells count="178">
    <mergeCell ref="L27:O28"/>
    <mergeCell ref="P27:P28"/>
    <mergeCell ref="Q27:Q28"/>
    <mergeCell ref="R27:R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T4:X4"/>
    <mergeCell ref="B5:R5"/>
    <mergeCell ref="T5:T6"/>
    <mergeCell ref="U5:U6"/>
    <mergeCell ref="V5:V6"/>
    <mergeCell ref="W5:W6"/>
    <mergeCell ref="X5:X6"/>
    <mergeCell ref="B7:B24"/>
    <mergeCell ref="C7:C22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D9:D10"/>
    <mergeCell ref="E9:E10"/>
    <mergeCell ref="F9:F10"/>
    <mergeCell ref="G9:G10"/>
    <mergeCell ref="H9:H10"/>
    <mergeCell ref="I9:I10"/>
    <mergeCell ref="Q7:Q8"/>
    <mergeCell ref="R7:R8"/>
    <mergeCell ref="S7:S8"/>
    <mergeCell ref="T7:T8"/>
    <mergeCell ref="U7:U8"/>
    <mergeCell ref="V7:V8"/>
    <mergeCell ref="R11:R12"/>
    <mergeCell ref="T11:T12"/>
    <mergeCell ref="U11:U12"/>
    <mergeCell ref="V11:V12"/>
    <mergeCell ref="X11:X12"/>
    <mergeCell ref="X9:X10"/>
    <mergeCell ref="D11:D12"/>
    <mergeCell ref="E11:E12"/>
    <mergeCell ref="F11:F12"/>
    <mergeCell ref="G11:G12"/>
    <mergeCell ref="H11:H12"/>
    <mergeCell ref="I11:I12"/>
    <mergeCell ref="J11:J12"/>
    <mergeCell ref="L11:O11"/>
    <mergeCell ref="Q11:Q12"/>
    <mergeCell ref="R9:R10"/>
    <mergeCell ref="S9:S10"/>
    <mergeCell ref="T9:T10"/>
    <mergeCell ref="U9:U10"/>
    <mergeCell ref="V9:V10"/>
    <mergeCell ref="W9:W10"/>
    <mergeCell ref="L12:O12"/>
    <mergeCell ref="J9:J10"/>
    <mergeCell ref="Q9:Q10"/>
    <mergeCell ref="F13:F14"/>
    <mergeCell ref="G13:G14"/>
    <mergeCell ref="H13:H14"/>
    <mergeCell ref="I13:I14"/>
    <mergeCell ref="J13:J14"/>
    <mergeCell ref="K13:K14"/>
    <mergeCell ref="L13:O14"/>
    <mergeCell ref="W11:W12"/>
    <mergeCell ref="W13:W14"/>
    <mergeCell ref="X13:X14"/>
    <mergeCell ref="D15:D16"/>
    <mergeCell ref="E15:E16"/>
    <mergeCell ref="F15:F16"/>
    <mergeCell ref="G15:G16"/>
    <mergeCell ref="H15:H16"/>
    <mergeCell ref="I15:I16"/>
    <mergeCell ref="J15:J16"/>
    <mergeCell ref="L15:O15"/>
    <mergeCell ref="P13:P14"/>
    <mergeCell ref="Q13:Q14"/>
    <mergeCell ref="R13:R14"/>
    <mergeCell ref="T13:T14"/>
    <mergeCell ref="U13:U14"/>
    <mergeCell ref="V13:V14"/>
    <mergeCell ref="X15:X16"/>
    <mergeCell ref="L16:O16"/>
    <mergeCell ref="R15:R16"/>
    <mergeCell ref="T15:T16"/>
    <mergeCell ref="U15:U16"/>
    <mergeCell ref="V15:V16"/>
    <mergeCell ref="W15:W16"/>
    <mergeCell ref="D13:D14"/>
    <mergeCell ref="E13:E14"/>
    <mergeCell ref="D17:D18"/>
    <mergeCell ref="E17:E18"/>
    <mergeCell ref="F17:F18"/>
    <mergeCell ref="G17:G18"/>
    <mergeCell ref="H17:H18"/>
    <mergeCell ref="I17:I18"/>
    <mergeCell ref="J17:J18"/>
    <mergeCell ref="L17:O17"/>
    <mergeCell ref="Q15:Q16"/>
    <mergeCell ref="Q19:Q20"/>
    <mergeCell ref="X17:X18"/>
    <mergeCell ref="L18:O18"/>
    <mergeCell ref="D19:D20"/>
    <mergeCell ref="E19:E20"/>
    <mergeCell ref="F19:F20"/>
    <mergeCell ref="G19:G20"/>
    <mergeCell ref="H19:H20"/>
    <mergeCell ref="I19:I20"/>
    <mergeCell ref="J19:J20"/>
    <mergeCell ref="L19:O19"/>
    <mergeCell ref="Q17:Q18"/>
    <mergeCell ref="R17:R18"/>
    <mergeCell ref="T17:T18"/>
    <mergeCell ref="U17:U18"/>
    <mergeCell ref="V17:V18"/>
    <mergeCell ref="W17:W18"/>
    <mergeCell ref="X19:X20"/>
    <mergeCell ref="L20:O20"/>
    <mergeCell ref="R19:R20"/>
    <mergeCell ref="T19:T20"/>
    <mergeCell ref="U19:U20"/>
    <mergeCell ref="V19:V20"/>
    <mergeCell ref="W19:W20"/>
    <mergeCell ref="W21:W22"/>
    <mergeCell ref="X21:X22"/>
    <mergeCell ref="C23:C24"/>
    <mergeCell ref="D23:D24"/>
    <mergeCell ref="E23:E24"/>
    <mergeCell ref="F23:F24"/>
    <mergeCell ref="G23:G24"/>
    <mergeCell ref="H23:H24"/>
    <mergeCell ref="I23:I24"/>
    <mergeCell ref="L21:O22"/>
    <mergeCell ref="P21:P22"/>
    <mergeCell ref="Q21:Q22"/>
    <mergeCell ref="R21:R22"/>
    <mergeCell ref="T21:T22"/>
    <mergeCell ref="U21:U22"/>
    <mergeCell ref="V23:V24"/>
    <mergeCell ref="W23:W24"/>
    <mergeCell ref="X23:X24"/>
    <mergeCell ref="D21:D22"/>
    <mergeCell ref="E21:E22"/>
    <mergeCell ref="F21:F22"/>
    <mergeCell ref="G21:G22"/>
    <mergeCell ref="H21:H22"/>
    <mergeCell ref="I21:I22"/>
    <mergeCell ref="L25:P25"/>
    <mergeCell ref="Q25:R25"/>
    <mergeCell ref="J23:J24"/>
    <mergeCell ref="Q23:Q24"/>
    <mergeCell ref="R23:R24"/>
    <mergeCell ref="S23:S24"/>
    <mergeCell ref="T23:T24"/>
    <mergeCell ref="U23:U24"/>
    <mergeCell ref="V21:V22"/>
    <mergeCell ref="J21:J22"/>
    <mergeCell ref="K21:K22"/>
  </mergeCell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43B0-4AE2-4476-B90A-AB92437B26C8}">
  <dimension ref="B1:X35"/>
  <sheetViews>
    <sheetView topLeftCell="A20" zoomScaleNormal="100" workbookViewId="0">
      <selection activeCell="C27" sqref="C27"/>
    </sheetView>
  </sheetViews>
  <sheetFormatPr defaultColWidth="8.85546875" defaultRowHeight="12.75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75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24">
      <c r="B2" s="101" t="s">
        <v>1</v>
      </c>
      <c r="C2" s="101"/>
      <c r="D2" s="104">
        <v>45644</v>
      </c>
      <c r="E2" s="105"/>
      <c r="F2" s="134" t="s">
        <v>2</v>
      </c>
      <c r="G2" s="135"/>
      <c r="H2" s="104">
        <v>43862</v>
      </c>
      <c r="I2" s="105"/>
      <c r="J2" s="105"/>
      <c r="K2" s="105"/>
      <c r="L2" s="105"/>
      <c r="M2" s="105"/>
      <c r="N2" s="105"/>
      <c r="O2" s="28"/>
      <c r="P2" s="108" t="s">
        <v>3</v>
      </c>
      <c r="Q2" s="108"/>
      <c r="R2" s="108"/>
    </row>
    <row r="3" spans="2:24">
      <c r="B3" s="101" t="s">
        <v>4</v>
      </c>
      <c r="C3" s="101"/>
      <c r="D3" s="103" t="s">
        <v>151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2:24">
      <c r="B4" s="102" t="s">
        <v>6</v>
      </c>
      <c r="C4" s="102"/>
      <c r="D4" s="107" t="s">
        <v>7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T4" s="81" t="s">
        <v>152</v>
      </c>
      <c r="U4" s="81"/>
      <c r="V4" s="81"/>
      <c r="W4" s="81"/>
      <c r="X4" s="81"/>
    </row>
    <row r="5" spans="2:24"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T5" s="82" t="s">
        <v>9</v>
      </c>
      <c r="U5" s="82" t="s">
        <v>10</v>
      </c>
      <c r="V5" s="82" t="s">
        <v>11</v>
      </c>
      <c r="W5" s="82" t="s">
        <v>12</v>
      </c>
      <c r="X5" s="82" t="s">
        <v>13</v>
      </c>
    </row>
    <row r="6" spans="2:24" s="12" customFormat="1" ht="38.2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82"/>
      <c r="U6" s="82"/>
      <c r="V6" s="82"/>
      <c r="W6" s="82"/>
      <c r="X6" s="82"/>
    </row>
    <row r="7" spans="2:24" s="11" customFormat="1" ht="19.899999999999999" customHeight="1">
      <c r="B7" s="109" t="s">
        <v>126</v>
      </c>
      <c r="C7" s="109" t="s">
        <v>127</v>
      </c>
      <c r="D7" s="97" t="s">
        <v>96</v>
      </c>
      <c r="E7" s="89" t="s">
        <v>34</v>
      </c>
      <c r="F7" s="83" t="s">
        <v>52</v>
      </c>
      <c r="G7" s="89">
        <v>0.1</v>
      </c>
      <c r="H7" s="95" t="s">
        <v>53</v>
      </c>
      <c r="I7" s="83" t="s">
        <v>61</v>
      </c>
      <c r="J7" s="152"/>
      <c r="K7" s="40" t="s">
        <v>38</v>
      </c>
      <c r="L7" s="74">
        <v>16477968</v>
      </c>
      <c r="M7" s="43">
        <v>29344099</v>
      </c>
      <c r="N7" s="43">
        <v>15590852</v>
      </c>
      <c r="O7" s="43">
        <v>38657934</v>
      </c>
      <c r="P7" s="75">
        <f>SUM(L7:O7)</f>
        <v>100070853</v>
      </c>
      <c r="Q7" s="83">
        <v>3</v>
      </c>
      <c r="R7" s="81">
        <f>Q7*G7</f>
        <v>0.30000000000000004</v>
      </c>
      <c r="S7" s="86"/>
      <c r="T7" s="157" t="s">
        <v>97</v>
      </c>
      <c r="U7" s="88" t="s">
        <v>98</v>
      </c>
      <c r="V7" s="159" t="s">
        <v>99</v>
      </c>
      <c r="W7" s="87" t="s">
        <v>100</v>
      </c>
      <c r="X7" s="87" t="s">
        <v>101</v>
      </c>
    </row>
    <row r="8" spans="2:24" s="11" customFormat="1" ht="19.899999999999999" customHeight="1">
      <c r="B8" s="109"/>
      <c r="C8" s="109"/>
      <c r="D8" s="97"/>
      <c r="E8" s="83"/>
      <c r="F8" s="83"/>
      <c r="G8" s="83"/>
      <c r="H8" s="96"/>
      <c r="I8" s="83"/>
      <c r="J8" s="153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83"/>
      <c r="R8" s="81"/>
      <c r="S8" s="86"/>
      <c r="T8" s="158"/>
      <c r="U8" s="88"/>
      <c r="V8" s="160"/>
      <c r="W8" s="88"/>
      <c r="X8" s="88"/>
    </row>
    <row r="9" spans="2:24" s="11" customFormat="1" ht="19.899999999999999" customHeight="1">
      <c r="B9" s="109"/>
      <c r="C9" s="109"/>
      <c r="D9" s="185" t="s">
        <v>59</v>
      </c>
      <c r="E9" s="89" t="s">
        <v>34</v>
      </c>
      <c r="F9" s="83" t="s">
        <v>52</v>
      </c>
      <c r="G9" s="89">
        <v>0.15</v>
      </c>
      <c r="H9" s="95" t="s">
        <v>60</v>
      </c>
      <c r="I9" s="83" t="s">
        <v>61</v>
      </c>
      <c r="J9" s="141"/>
      <c r="K9" s="25" t="s">
        <v>38</v>
      </c>
      <c r="L9" s="63">
        <v>0.89</v>
      </c>
      <c r="M9" s="63">
        <v>0.89</v>
      </c>
      <c r="N9" s="63">
        <v>0.8</v>
      </c>
      <c r="O9" s="63">
        <v>0.94</v>
      </c>
      <c r="P9" s="64">
        <f>AVERAGE(L9:O9)</f>
        <v>0.88</v>
      </c>
      <c r="Q9" s="83">
        <v>2</v>
      </c>
      <c r="R9" s="81">
        <f>Q9*G9</f>
        <v>0.3</v>
      </c>
      <c r="S9" s="86"/>
      <c r="T9" s="89" t="s">
        <v>103</v>
      </c>
      <c r="U9" s="85" t="s">
        <v>104</v>
      </c>
      <c r="V9" s="85" t="s">
        <v>105</v>
      </c>
      <c r="W9" s="85" t="s">
        <v>75</v>
      </c>
      <c r="X9" s="85" t="s">
        <v>75</v>
      </c>
    </row>
    <row r="10" spans="2:24" s="11" customFormat="1" ht="19.899999999999999" customHeight="1">
      <c r="B10" s="109"/>
      <c r="C10" s="109"/>
      <c r="D10" s="186"/>
      <c r="E10" s="83"/>
      <c r="F10" s="83"/>
      <c r="G10" s="83"/>
      <c r="H10" s="96"/>
      <c r="I10" s="83"/>
      <c r="J10" s="142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83"/>
      <c r="R10" s="81"/>
      <c r="S10" s="86"/>
      <c r="T10" s="89"/>
      <c r="U10" s="85"/>
      <c r="V10" s="85"/>
      <c r="W10" s="85"/>
      <c r="X10" s="85"/>
    </row>
    <row r="11" spans="2:24" s="11" customFormat="1" ht="19.899999999999999" customHeight="1">
      <c r="B11" s="109"/>
      <c r="C11" s="109"/>
      <c r="D11" s="143" t="s">
        <v>128</v>
      </c>
      <c r="E11" s="89" t="s">
        <v>34</v>
      </c>
      <c r="F11" s="83" t="s">
        <v>35</v>
      </c>
      <c r="G11" s="89">
        <v>0.15</v>
      </c>
      <c r="H11" s="95" t="s">
        <v>129</v>
      </c>
      <c r="I11" s="83" t="s">
        <v>118</v>
      </c>
      <c r="J11" s="130"/>
      <c r="K11" s="25" t="s">
        <v>38</v>
      </c>
      <c r="L11" s="163">
        <v>24</v>
      </c>
      <c r="M11" s="164"/>
      <c r="N11" s="164"/>
      <c r="O11" s="164"/>
      <c r="P11" s="76">
        <f>L11</f>
        <v>24</v>
      </c>
      <c r="Q11" s="83">
        <v>3</v>
      </c>
      <c r="R11" s="81">
        <f>Q11*G11</f>
        <v>0.44999999999999996</v>
      </c>
      <c r="S11" s="26"/>
      <c r="T11" s="89" t="s">
        <v>130</v>
      </c>
      <c r="U11" s="85" t="s">
        <v>131</v>
      </c>
      <c r="V11" s="85" t="s">
        <v>132</v>
      </c>
      <c r="W11" s="85" t="s">
        <v>133</v>
      </c>
      <c r="X11" s="85" t="s">
        <v>134</v>
      </c>
    </row>
    <row r="12" spans="2:24" s="11" customFormat="1" ht="19.899999999999999" customHeight="1">
      <c r="B12" s="109"/>
      <c r="C12" s="109"/>
      <c r="D12" s="144"/>
      <c r="E12" s="83"/>
      <c r="F12" s="83"/>
      <c r="G12" s="83"/>
      <c r="H12" s="96"/>
      <c r="I12" s="83"/>
      <c r="J12" s="131"/>
      <c r="K12" s="25" t="s">
        <v>43</v>
      </c>
      <c r="L12" s="163">
        <v>24</v>
      </c>
      <c r="M12" s="164"/>
      <c r="N12" s="164"/>
      <c r="O12" s="164"/>
      <c r="P12" s="76">
        <v>24</v>
      </c>
      <c r="Q12" s="83"/>
      <c r="R12" s="81"/>
      <c r="S12" s="26"/>
      <c r="T12" s="89"/>
      <c r="U12" s="85"/>
      <c r="V12" s="85"/>
      <c r="W12" s="85"/>
      <c r="X12" s="85"/>
    </row>
    <row r="13" spans="2:24" s="11" customFormat="1" ht="19.899999999999999" customHeight="1">
      <c r="B13" s="109"/>
      <c r="C13" s="109"/>
      <c r="D13" s="143" t="s">
        <v>135</v>
      </c>
      <c r="E13" s="171" t="s">
        <v>117</v>
      </c>
      <c r="F13" s="172"/>
      <c r="G13" s="171"/>
      <c r="H13" s="168" t="s">
        <v>136</v>
      </c>
      <c r="I13" s="172" t="s">
        <v>118</v>
      </c>
      <c r="J13" s="166"/>
      <c r="K13" s="189" t="s">
        <v>38</v>
      </c>
      <c r="L13" s="191"/>
      <c r="M13" s="192"/>
      <c r="N13" s="192"/>
      <c r="O13" s="193"/>
      <c r="P13" s="187"/>
      <c r="Q13" s="172"/>
      <c r="R13" s="188"/>
      <c r="S13" s="26"/>
      <c r="T13" s="89"/>
      <c r="U13" s="85"/>
      <c r="V13" s="85"/>
      <c r="W13" s="85"/>
      <c r="X13" s="85"/>
    </row>
    <row r="14" spans="2:24" s="11" customFormat="1" ht="19.899999999999999" customHeight="1">
      <c r="B14" s="109"/>
      <c r="C14" s="109"/>
      <c r="D14" s="144"/>
      <c r="E14" s="172"/>
      <c r="F14" s="172"/>
      <c r="G14" s="172"/>
      <c r="H14" s="169"/>
      <c r="I14" s="172"/>
      <c r="J14" s="167"/>
      <c r="K14" s="190"/>
      <c r="L14" s="194"/>
      <c r="M14" s="195"/>
      <c r="N14" s="195"/>
      <c r="O14" s="196"/>
      <c r="P14" s="187"/>
      <c r="Q14" s="172"/>
      <c r="R14" s="188"/>
      <c r="S14" s="26"/>
      <c r="T14" s="89"/>
      <c r="U14" s="85"/>
      <c r="V14" s="85"/>
      <c r="W14" s="85"/>
      <c r="X14" s="85"/>
    </row>
    <row r="15" spans="2:24" s="11" customFormat="1" ht="19.899999999999999" customHeight="1">
      <c r="B15" s="109"/>
      <c r="C15" s="109"/>
      <c r="D15" s="185" t="s">
        <v>137</v>
      </c>
      <c r="E15" s="171" t="s">
        <v>34</v>
      </c>
      <c r="F15" s="83" t="s">
        <v>35</v>
      </c>
      <c r="G15" s="89">
        <v>0.16</v>
      </c>
      <c r="H15" s="95" t="s">
        <v>136</v>
      </c>
      <c r="I15" s="83" t="s">
        <v>118</v>
      </c>
      <c r="J15" s="130"/>
      <c r="K15" s="25" t="s">
        <v>38</v>
      </c>
      <c r="L15" s="163">
        <v>442</v>
      </c>
      <c r="M15" s="164"/>
      <c r="N15" s="164"/>
      <c r="O15" s="164"/>
      <c r="P15" s="76">
        <f>L15</f>
        <v>442</v>
      </c>
      <c r="Q15" s="83">
        <v>3</v>
      </c>
      <c r="R15" s="81">
        <f>Q15*G15</f>
        <v>0.48</v>
      </c>
      <c r="S15" s="26"/>
      <c r="T15" s="89" t="s">
        <v>138</v>
      </c>
      <c r="U15" s="85" t="s">
        <v>139</v>
      </c>
      <c r="V15" s="85" t="s">
        <v>140</v>
      </c>
      <c r="W15" s="85" t="s">
        <v>141</v>
      </c>
      <c r="X15" s="85"/>
    </row>
    <row r="16" spans="2:24" s="11" customFormat="1" ht="19.899999999999999" customHeight="1">
      <c r="B16" s="109"/>
      <c r="C16" s="109"/>
      <c r="D16" s="186"/>
      <c r="E16" s="172"/>
      <c r="F16" s="83"/>
      <c r="G16" s="83"/>
      <c r="H16" s="96"/>
      <c r="I16" s="83"/>
      <c r="J16" s="131"/>
      <c r="K16" s="25" t="s">
        <v>43</v>
      </c>
      <c r="L16" s="163">
        <v>479</v>
      </c>
      <c r="M16" s="164"/>
      <c r="N16" s="164"/>
      <c r="O16" s="164"/>
      <c r="P16" s="76">
        <v>479</v>
      </c>
      <c r="Q16" s="83"/>
      <c r="R16" s="81"/>
      <c r="S16" s="26"/>
      <c r="T16" s="89"/>
      <c r="U16" s="85"/>
      <c r="V16" s="85"/>
      <c r="W16" s="85"/>
      <c r="X16" s="85"/>
    </row>
    <row r="17" spans="2:24" s="11" customFormat="1" ht="19.899999999999999" customHeight="1">
      <c r="B17" s="109"/>
      <c r="C17" s="109"/>
      <c r="D17" s="185" t="s">
        <v>142</v>
      </c>
      <c r="E17" s="171" t="s">
        <v>34</v>
      </c>
      <c r="F17" s="83" t="s">
        <v>35</v>
      </c>
      <c r="G17" s="89">
        <v>0.16</v>
      </c>
      <c r="H17" s="95" t="s">
        <v>136</v>
      </c>
      <c r="I17" s="83" t="s">
        <v>118</v>
      </c>
      <c r="J17" s="130"/>
      <c r="K17" s="25" t="s">
        <v>38</v>
      </c>
      <c r="L17" s="163">
        <v>708</v>
      </c>
      <c r="M17" s="164"/>
      <c r="N17" s="164"/>
      <c r="O17" s="164"/>
      <c r="P17" s="76">
        <f>L17</f>
        <v>708</v>
      </c>
      <c r="Q17" s="83">
        <v>3</v>
      </c>
      <c r="R17" s="81">
        <f>Q17*G17</f>
        <v>0.48</v>
      </c>
      <c r="S17" s="26"/>
      <c r="T17" s="89" t="s">
        <v>143</v>
      </c>
      <c r="U17" s="85" t="s">
        <v>144</v>
      </c>
      <c r="V17" s="85" t="s">
        <v>145</v>
      </c>
      <c r="W17" s="85"/>
      <c r="X17" s="85"/>
    </row>
    <row r="18" spans="2:24" s="11" customFormat="1" ht="19.899999999999999" customHeight="1">
      <c r="B18" s="109"/>
      <c r="C18" s="109"/>
      <c r="D18" s="186"/>
      <c r="E18" s="172"/>
      <c r="F18" s="83"/>
      <c r="G18" s="83"/>
      <c r="H18" s="96"/>
      <c r="I18" s="83"/>
      <c r="J18" s="131"/>
      <c r="K18" s="25" t="s">
        <v>43</v>
      </c>
      <c r="L18" s="163">
        <v>540</v>
      </c>
      <c r="M18" s="164"/>
      <c r="N18" s="164"/>
      <c r="O18" s="165"/>
      <c r="P18" s="71">
        <v>540</v>
      </c>
      <c r="Q18" s="83"/>
      <c r="R18" s="81"/>
      <c r="S18" s="26"/>
      <c r="T18" s="89"/>
      <c r="U18" s="85"/>
      <c r="V18" s="85"/>
      <c r="W18" s="85"/>
      <c r="X18" s="85"/>
    </row>
    <row r="19" spans="2:24" s="11" customFormat="1" ht="19.899999999999999" customHeight="1">
      <c r="B19" s="109"/>
      <c r="C19" s="109"/>
      <c r="D19" s="143" t="s">
        <v>107</v>
      </c>
      <c r="E19" s="89" t="s">
        <v>34</v>
      </c>
      <c r="F19" s="83" t="s">
        <v>35</v>
      </c>
      <c r="G19" s="89">
        <v>0.13</v>
      </c>
      <c r="H19" s="95" t="s">
        <v>60</v>
      </c>
      <c r="I19" s="83" t="s">
        <v>118</v>
      </c>
      <c r="J19" s="130"/>
      <c r="K19" s="25" t="s">
        <v>38</v>
      </c>
      <c r="L19" s="182">
        <v>0.84</v>
      </c>
      <c r="M19" s="183"/>
      <c r="N19" s="183"/>
      <c r="O19" s="184"/>
      <c r="P19" s="67">
        <v>0.84</v>
      </c>
      <c r="Q19" s="83">
        <v>3</v>
      </c>
      <c r="R19" s="81">
        <f>Q19*G19</f>
        <v>0.39</v>
      </c>
      <c r="S19" s="26"/>
      <c r="T19" s="89" t="s">
        <v>109</v>
      </c>
      <c r="U19" s="85" t="s">
        <v>110</v>
      </c>
      <c r="V19" s="85" t="s">
        <v>111</v>
      </c>
      <c r="W19" s="85" t="s">
        <v>112</v>
      </c>
      <c r="X19" s="85" t="s">
        <v>146</v>
      </c>
    </row>
    <row r="20" spans="2:24" s="11" customFormat="1" ht="19.899999999999999" customHeight="1">
      <c r="B20" s="109"/>
      <c r="C20" s="109"/>
      <c r="D20" s="144"/>
      <c r="E20" s="83"/>
      <c r="F20" s="83"/>
      <c r="G20" s="83"/>
      <c r="H20" s="96"/>
      <c r="I20" s="83"/>
      <c r="J20" s="131"/>
      <c r="K20" s="25" t="s">
        <v>43</v>
      </c>
      <c r="L20" s="163" t="s">
        <v>114</v>
      </c>
      <c r="M20" s="164"/>
      <c r="N20" s="164"/>
      <c r="O20" s="165"/>
      <c r="P20" s="71" t="s">
        <v>115</v>
      </c>
      <c r="Q20" s="83"/>
      <c r="R20" s="81"/>
      <c r="S20" s="26"/>
      <c r="T20" s="89"/>
      <c r="U20" s="85"/>
      <c r="V20" s="85"/>
      <c r="W20" s="85"/>
      <c r="X20" s="85"/>
    </row>
    <row r="21" spans="2:24" s="11" customFormat="1" ht="19.899999999999999" customHeight="1">
      <c r="B21" s="109"/>
      <c r="C21" s="109"/>
      <c r="D21" s="128" t="s">
        <v>116</v>
      </c>
      <c r="E21" s="168" t="s">
        <v>117</v>
      </c>
      <c r="F21" s="168"/>
      <c r="G21" s="168"/>
      <c r="H21" s="168"/>
      <c r="I21" s="168" t="s">
        <v>118</v>
      </c>
      <c r="J21" s="166"/>
      <c r="K21" s="168" t="s">
        <v>38</v>
      </c>
      <c r="L21" s="173"/>
      <c r="M21" s="174"/>
      <c r="N21" s="174"/>
      <c r="O21" s="175"/>
      <c r="P21" s="179"/>
      <c r="Q21" s="181"/>
      <c r="R21" s="181"/>
      <c r="S21" s="26"/>
      <c r="T21" s="126"/>
      <c r="U21" s="126"/>
      <c r="V21" s="126"/>
      <c r="W21" s="126"/>
      <c r="X21" s="126"/>
    </row>
    <row r="22" spans="2:24" s="11" customFormat="1" ht="19.899999999999999" customHeight="1">
      <c r="B22" s="109"/>
      <c r="C22" s="110"/>
      <c r="D22" s="129"/>
      <c r="E22" s="169"/>
      <c r="F22" s="169"/>
      <c r="G22" s="169"/>
      <c r="H22" s="169"/>
      <c r="I22" s="169"/>
      <c r="J22" s="167"/>
      <c r="K22" s="169"/>
      <c r="L22" s="176"/>
      <c r="M22" s="177"/>
      <c r="N22" s="177"/>
      <c r="O22" s="178"/>
      <c r="P22" s="180"/>
      <c r="Q22" s="169"/>
      <c r="R22" s="169"/>
      <c r="S22" s="26"/>
      <c r="T22" s="127"/>
      <c r="U22" s="127"/>
      <c r="V22" s="127"/>
      <c r="W22" s="127"/>
      <c r="X22" s="127"/>
    </row>
    <row r="23" spans="2:24" s="11" customFormat="1" ht="19.899999999999999" customHeight="1">
      <c r="B23" s="109"/>
      <c r="C23" s="111" t="s">
        <v>147</v>
      </c>
      <c r="D23" s="170" t="s">
        <v>72</v>
      </c>
      <c r="E23" s="171" t="s">
        <v>34</v>
      </c>
      <c r="F23" s="83" t="s">
        <v>52</v>
      </c>
      <c r="G23" s="89">
        <v>0.15</v>
      </c>
      <c r="H23" s="95" t="s">
        <v>60</v>
      </c>
      <c r="I23" s="83" t="s">
        <v>61</v>
      </c>
      <c r="J23" s="130"/>
      <c r="K23" s="25" t="s">
        <v>38</v>
      </c>
      <c r="L23" s="64">
        <v>0.96</v>
      </c>
      <c r="M23" s="64">
        <v>0.96</v>
      </c>
      <c r="N23" s="64">
        <v>0.97</v>
      </c>
      <c r="O23" s="64">
        <v>0.96</v>
      </c>
      <c r="P23" s="67">
        <f>AVERAGE(L23:O23)</f>
        <v>0.96249999999999991</v>
      </c>
      <c r="Q23" s="83">
        <v>4</v>
      </c>
      <c r="R23" s="81">
        <f>Q23*G23</f>
        <v>0.6</v>
      </c>
      <c r="S23" s="86"/>
      <c r="T23" s="161" t="s">
        <v>110</v>
      </c>
      <c r="U23" s="85" t="s">
        <v>104</v>
      </c>
      <c r="V23" s="85" t="s">
        <v>148</v>
      </c>
      <c r="W23" s="85" t="s">
        <v>149</v>
      </c>
      <c r="X23" s="85" t="s">
        <v>75</v>
      </c>
    </row>
    <row r="24" spans="2:24" s="11" customFormat="1" ht="19.899999999999999" customHeight="1">
      <c r="B24" s="110"/>
      <c r="C24" s="111"/>
      <c r="D24" s="170"/>
      <c r="E24" s="172"/>
      <c r="F24" s="83"/>
      <c r="G24" s="83"/>
      <c r="H24" s="96"/>
      <c r="I24" s="83"/>
      <c r="J24" s="131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83"/>
      <c r="R24" s="81"/>
      <c r="S24" s="86"/>
      <c r="T24" s="161"/>
      <c r="U24" s="85"/>
      <c r="V24" s="85"/>
      <c r="W24" s="85"/>
      <c r="X24" s="85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113" t="s">
        <v>76</v>
      </c>
      <c r="M25" s="113"/>
      <c r="N25" s="113"/>
      <c r="O25" s="113"/>
      <c r="P25" s="113"/>
      <c r="Q25" s="118">
        <f>+SUM(R7+R9+R11+R15+R17+R19+R23)</f>
        <v>3</v>
      </c>
      <c r="R25" s="118"/>
    </row>
    <row r="26" spans="2:24" ht="13.9" customHeight="1"/>
    <row r="27" spans="2:24" ht="13.9" customHeight="1">
      <c r="C27" s="197" t="s">
        <v>127</v>
      </c>
      <c r="D27" s="198" t="s">
        <v>150</v>
      </c>
      <c r="E27" s="168" t="s">
        <v>117</v>
      </c>
      <c r="F27" s="168"/>
      <c r="G27" s="168"/>
      <c r="H27" s="168"/>
      <c r="I27" s="168" t="s">
        <v>118</v>
      </c>
      <c r="J27" s="166"/>
      <c r="K27" s="168" t="s">
        <v>38</v>
      </c>
      <c r="L27" s="173">
        <v>34</v>
      </c>
      <c r="M27" s="174"/>
      <c r="N27" s="174"/>
      <c r="O27" s="175"/>
      <c r="P27" s="179"/>
      <c r="Q27" s="181"/>
      <c r="R27" s="181"/>
    </row>
    <row r="28" spans="2:24">
      <c r="C28" s="197"/>
      <c r="D28" s="199"/>
      <c r="E28" s="169"/>
      <c r="F28" s="169"/>
      <c r="G28" s="169"/>
      <c r="H28" s="169"/>
      <c r="I28" s="169"/>
      <c r="J28" s="167"/>
      <c r="K28" s="169"/>
      <c r="L28" s="176"/>
      <c r="M28" s="177"/>
      <c r="N28" s="177"/>
      <c r="O28" s="178"/>
      <c r="P28" s="180"/>
      <c r="Q28" s="169"/>
      <c r="R28" s="169"/>
    </row>
    <row r="30" spans="2:24">
      <c r="T30" s="10"/>
    </row>
    <row r="35" spans="4:4">
      <c r="D35" s="11"/>
    </row>
  </sheetData>
  <autoFilter ref="A6:X25" xr:uid="{09EB43B0-4AE2-4476-B90A-AB92437B26C8}"/>
  <mergeCells count="178">
    <mergeCell ref="L27:O28"/>
    <mergeCell ref="P27:P28"/>
    <mergeCell ref="Q27:Q28"/>
    <mergeCell ref="R27:R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T4:X4"/>
    <mergeCell ref="B5:R5"/>
    <mergeCell ref="T5:T6"/>
    <mergeCell ref="U5:U6"/>
    <mergeCell ref="V5:V6"/>
    <mergeCell ref="W5:W6"/>
    <mergeCell ref="X5:X6"/>
    <mergeCell ref="B7:B24"/>
    <mergeCell ref="C7:C22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D9:D10"/>
    <mergeCell ref="E9:E10"/>
    <mergeCell ref="F9:F10"/>
    <mergeCell ref="G9:G10"/>
    <mergeCell ref="H9:H10"/>
    <mergeCell ref="I9:I10"/>
    <mergeCell ref="Q7:Q8"/>
    <mergeCell ref="R7:R8"/>
    <mergeCell ref="S7:S8"/>
    <mergeCell ref="T7:T8"/>
    <mergeCell ref="U7:U8"/>
    <mergeCell ref="V7:V8"/>
    <mergeCell ref="R11:R12"/>
    <mergeCell ref="T11:T12"/>
    <mergeCell ref="U11:U12"/>
    <mergeCell ref="V11:V12"/>
    <mergeCell ref="X11:X12"/>
    <mergeCell ref="X9:X10"/>
    <mergeCell ref="D11:D12"/>
    <mergeCell ref="E11:E12"/>
    <mergeCell ref="F11:F12"/>
    <mergeCell ref="G11:G12"/>
    <mergeCell ref="H11:H12"/>
    <mergeCell ref="I11:I12"/>
    <mergeCell ref="J11:J12"/>
    <mergeCell ref="L11:O11"/>
    <mergeCell ref="Q11:Q12"/>
    <mergeCell ref="R9:R10"/>
    <mergeCell ref="S9:S10"/>
    <mergeCell ref="T9:T10"/>
    <mergeCell ref="U9:U10"/>
    <mergeCell ref="V9:V10"/>
    <mergeCell ref="W9:W10"/>
    <mergeCell ref="L12:O12"/>
    <mergeCell ref="J9:J10"/>
    <mergeCell ref="Q9:Q10"/>
    <mergeCell ref="F13:F14"/>
    <mergeCell ref="G13:G14"/>
    <mergeCell ref="H13:H14"/>
    <mergeCell ref="I13:I14"/>
    <mergeCell ref="J13:J14"/>
    <mergeCell ref="K13:K14"/>
    <mergeCell ref="L13:O14"/>
    <mergeCell ref="W11:W12"/>
    <mergeCell ref="W13:W14"/>
    <mergeCell ref="X13:X14"/>
    <mergeCell ref="D15:D16"/>
    <mergeCell ref="E15:E16"/>
    <mergeCell ref="F15:F16"/>
    <mergeCell ref="G15:G16"/>
    <mergeCell ref="H15:H16"/>
    <mergeCell ref="I15:I16"/>
    <mergeCell ref="J15:J16"/>
    <mergeCell ref="L15:O15"/>
    <mergeCell ref="P13:P14"/>
    <mergeCell ref="Q13:Q14"/>
    <mergeCell ref="R13:R14"/>
    <mergeCell ref="T13:T14"/>
    <mergeCell ref="U13:U14"/>
    <mergeCell ref="V13:V14"/>
    <mergeCell ref="X15:X16"/>
    <mergeCell ref="L16:O16"/>
    <mergeCell ref="R15:R16"/>
    <mergeCell ref="T15:T16"/>
    <mergeCell ref="U15:U16"/>
    <mergeCell ref="V15:V16"/>
    <mergeCell ref="W15:W16"/>
    <mergeCell ref="D13:D14"/>
    <mergeCell ref="E13:E14"/>
    <mergeCell ref="D17:D18"/>
    <mergeCell ref="E17:E18"/>
    <mergeCell ref="F17:F18"/>
    <mergeCell ref="G17:G18"/>
    <mergeCell ref="H17:H18"/>
    <mergeCell ref="I17:I18"/>
    <mergeCell ref="J17:J18"/>
    <mergeCell ref="L17:O17"/>
    <mergeCell ref="Q15:Q16"/>
    <mergeCell ref="Q19:Q20"/>
    <mergeCell ref="X17:X18"/>
    <mergeCell ref="L18:O18"/>
    <mergeCell ref="D19:D20"/>
    <mergeCell ref="E19:E20"/>
    <mergeCell ref="F19:F20"/>
    <mergeCell ref="G19:G20"/>
    <mergeCell ref="H19:H20"/>
    <mergeCell ref="I19:I20"/>
    <mergeCell ref="J19:J20"/>
    <mergeCell ref="L19:O19"/>
    <mergeCell ref="Q17:Q18"/>
    <mergeCell ref="R17:R18"/>
    <mergeCell ref="T17:T18"/>
    <mergeCell ref="U17:U18"/>
    <mergeCell ref="V17:V18"/>
    <mergeCell ref="W17:W18"/>
    <mergeCell ref="X19:X20"/>
    <mergeCell ref="L20:O20"/>
    <mergeCell ref="R19:R20"/>
    <mergeCell ref="T19:T20"/>
    <mergeCell ref="U19:U20"/>
    <mergeCell ref="V19:V20"/>
    <mergeCell ref="W19:W20"/>
    <mergeCell ref="W21:W22"/>
    <mergeCell ref="X21:X22"/>
    <mergeCell ref="C23:C24"/>
    <mergeCell ref="D23:D24"/>
    <mergeCell ref="E23:E24"/>
    <mergeCell ref="F23:F24"/>
    <mergeCell ref="G23:G24"/>
    <mergeCell ref="H23:H24"/>
    <mergeCell ref="I23:I24"/>
    <mergeCell ref="L21:O22"/>
    <mergeCell ref="P21:P22"/>
    <mergeCell ref="Q21:Q22"/>
    <mergeCell ref="R21:R22"/>
    <mergeCell ref="T21:T22"/>
    <mergeCell ref="U21:U22"/>
    <mergeCell ref="V23:V24"/>
    <mergeCell ref="W23:W24"/>
    <mergeCell ref="X23:X24"/>
    <mergeCell ref="D21:D22"/>
    <mergeCell ref="E21:E22"/>
    <mergeCell ref="F21:F22"/>
    <mergeCell ref="G21:G22"/>
    <mergeCell ref="H21:H22"/>
    <mergeCell ref="I21:I22"/>
    <mergeCell ref="L25:P25"/>
    <mergeCell ref="Q25:R25"/>
    <mergeCell ref="J23:J24"/>
    <mergeCell ref="Q23:Q24"/>
    <mergeCell ref="R23:R24"/>
    <mergeCell ref="S23:S24"/>
    <mergeCell ref="T23:T24"/>
    <mergeCell ref="U23:U24"/>
    <mergeCell ref="V21:V22"/>
    <mergeCell ref="J21:J22"/>
    <mergeCell ref="K21:K22"/>
  </mergeCells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EF7D-F329-458F-8B90-19EB108627D0}">
  <dimension ref="B1:X35"/>
  <sheetViews>
    <sheetView zoomScaleNormal="100" workbookViewId="0">
      <selection activeCell="C27" sqref="C27"/>
    </sheetView>
  </sheetViews>
  <sheetFormatPr defaultColWidth="8.85546875" defaultRowHeight="12.75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75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24">
      <c r="B2" s="101" t="s">
        <v>1</v>
      </c>
      <c r="C2" s="101"/>
      <c r="D2" s="104">
        <v>45644</v>
      </c>
      <c r="E2" s="105"/>
      <c r="F2" s="134" t="s">
        <v>2</v>
      </c>
      <c r="G2" s="135"/>
      <c r="H2" s="104">
        <v>43862</v>
      </c>
      <c r="I2" s="105"/>
      <c r="J2" s="105"/>
      <c r="K2" s="105"/>
      <c r="L2" s="105"/>
      <c r="M2" s="105"/>
      <c r="N2" s="105"/>
      <c r="O2" s="28"/>
      <c r="P2" s="108" t="s">
        <v>3</v>
      </c>
      <c r="Q2" s="108"/>
      <c r="R2" s="108"/>
    </row>
    <row r="3" spans="2:24">
      <c r="B3" s="101" t="s">
        <v>4</v>
      </c>
      <c r="C3" s="101"/>
      <c r="D3" s="103" t="s">
        <v>153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2:24">
      <c r="B4" s="102" t="s">
        <v>6</v>
      </c>
      <c r="C4" s="102"/>
      <c r="D4" s="107" t="s">
        <v>124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T4" s="81" t="s">
        <v>154</v>
      </c>
      <c r="U4" s="81"/>
      <c r="V4" s="81"/>
      <c r="W4" s="81"/>
      <c r="X4" s="81"/>
    </row>
    <row r="5" spans="2:24"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T5" s="82" t="s">
        <v>9</v>
      </c>
      <c r="U5" s="82" t="s">
        <v>10</v>
      </c>
      <c r="V5" s="82" t="s">
        <v>11</v>
      </c>
      <c r="W5" s="82" t="s">
        <v>12</v>
      </c>
      <c r="X5" s="82" t="s">
        <v>13</v>
      </c>
    </row>
    <row r="6" spans="2:24" s="12" customFormat="1" ht="38.2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82"/>
      <c r="U6" s="82"/>
      <c r="V6" s="82"/>
      <c r="W6" s="82"/>
      <c r="X6" s="82"/>
    </row>
    <row r="7" spans="2:24" s="11" customFormat="1" ht="19.899999999999999" customHeight="1">
      <c r="B7" s="109" t="s">
        <v>126</v>
      </c>
      <c r="C7" s="109" t="s">
        <v>127</v>
      </c>
      <c r="D7" s="97" t="s">
        <v>96</v>
      </c>
      <c r="E7" s="89" t="s">
        <v>34</v>
      </c>
      <c r="F7" s="83" t="s">
        <v>52</v>
      </c>
      <c r="G7" s="89">
        <v>0.1</v>
      </c>
      <c r="H7" s="95" t="s">
        <v>53</v>
      </c>
      <c r="I7" s="83" t="s">
        <v>61</v>
      </c>
      <c r="J7" s="152"/>
      <c r="K7" s="40" t="s">
        <v>38</v>
      </c>
      <c r="L7" s="74">
        <v>46356546</v>
      </c>
      <c r="M7" s="43">
        <v>32678272</v>
      </c>
      <c r="N7" s="43">
        <v>43742123</v>
      </c>
      <c r="O7" s="43">
        <v>67789321</v>
      </c>
      <c r="P7" s="75">
        <f>SUM(L7:O7)</f>
        <v>190566262</v>
      </c>
      <c r="Q7" s="83">
        <v>5</v>
      </c>
      <c r="R7" s="81">
        <f>Q7*G7</f>
        <v>0.5</v>
      </c>
      <c r="S7" s="86"/>
      <c r="T7" s="157" t="s">
        <v>97</v>
      </c>
      <c r="U7" s="88" t="s">
        <v>98</v>
      </c>
      <c r="V7" s="159" t="s">
        <v>99</v>
      </c>
      <c r="W7" s="87" t="s">
        <v>100</v>
      </c>
      <c r="X7" s="87" t="s">
        <v>101</v>
      </c>
    </row>
    <row r="8" spans="2:24" s="11" customFormat="1" ht="19.899999999999999" customHeight="1">
      <c r="B8" s="109"/>
      <c r="C8" s="109"/>
      <c r="D8" s="97"/>
      <c r="E8" s="83"/>
      <c r="F8" s="83"/>
      <c r="G8" s="83"/>
      <c r="H8" s="96"/>
      <c r="I8" s="83"/>
      <c r="J8" s="153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83"/>
      <c r="R8" s="81"/>
      <c r="S8" s="86"/>
      <c r="T8" s="158"/>
      <c r="U8" s="88"/>
      <c r="V8" s="160"/>
      <c r="W8" s="88"/>
      <c r="X8" s="88"/>
    </row>
    <row r="9" spans="2:24" s="11" customFormat="1" ht="19.899999999999999" customHeight="1">
      <c r="B9" s="109"/>
      <c r="C9" s="109"/>
      <c r="D9" s="185" t="s">
        <v>59</v>
      </c>
      <c r="E9" s="89" t="s">
        <v>34</v>
      </c>
      <c r="F9" s="83" t="s">
        <v>52</v>
      </c>
      <c r="G9" s="89">
        <v>0.15</v>
      </c>
      <c r="H9" s="95" t="s">
        <v>60</v>
      </c>
      <c r="I9" s="83" t="s">
        <v>61</v>
      </c>
      <c r="J9" s="141"/>
      <c r="K9" s="25" t="s">
        <v>38</v>
      </c>
      <c r="L9" s="63">
        <v>0.65</v>
      </c>
      <c r="M9" s="63">
        <v>0.9</v>
      </c>
      <c r="N9" s="63">
        <v>0.87</v>
      </c>
      <c r="O9" s="63">
        <v>0.88</v>
      </c>
      <c r="P9" s="64">
        <f>AVERAGE(L9:O9)</f>
        <v>0.82499999999999996</v>
      </c>
      <c r="Q9" s="83">
        <v>2</v>
      </c>
      <c r="R9" s="81">
        <f>Q9*G9</f>
        <v>0.3</v>
      </c>
      <c r="S9" s="86"/>
      <c r="T9" s="89" t="s">
        <v>103</v>
      </c>
      <c r="U9" s="85" t="s">
        <v>104</v>
      </c>
      <c r="V9" s="85" t="s">
        <v>105</v>
      </c>
      <c r="W9" s="85" t="s">
        <v>75</v>
      </c>
      <c r="X9" s="85" t="s">
        <v>75</v>
      </c>
    </row>
    <row r="10" spans="2:24" s="11" customFormat="1" ht="19.899999999999999" customHeight="1">
      <c r="B10" s="109"/>
      <c r="C10" s="109"/>
      <c r="D10" s="186"/>
      <c r="E10" s="83"/>
      <c r="F10" s="83"/>
      <c r="G10" s="83"/>
      <c r="H10" s="96"/>
      <c r="I10" s="83"/>
      <c r="J10" s="142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83"/>
      <c r="R10" s="81"/>
      <c r="S10" s="86"/>
      <c r="T10" s="89"/>
      <c r="U10" s="85"/>
      <c r="V10" s="85"/>
      <c r="W10" s="85"/>
      <c r="X10" s="85"/>
    </row>
    <row r="11" spans="2:24" s="11" customFormat="1" ht="19.899999999999999" customHeight="1">
      <c r="B11" s="109"/>
      <c r="C11" s="109"/>
      <c r="D11" s="143" t="s">
        <v>128</v>
      </c>
      <c r="E11" s="89" t="s">
        <v>34</v>
      </c>
      <c r="F11" s="83" t="s">
        <v>35</v>
      </c>
      <c r="G11" s="89">
        <v>0.15</v>
      </c>
      <c r="H11" s="95" t="s">
        <v>129</v>
      </c>
      <c r="I11" s="83" t="s">
        <v>118</v>
      </c>
      <c r="J11" s="130"/>
      <c r="K11" s="25" t="s">
        <v>38</v>
      </c>
      <c r="L11" s="163">
        <v>29</v>
      </c>
      <c r="M11" s="164"/>
      <c r="N11" s="164"/>
      <c r="O11" s="164"/>
      <c r="P11" s="76">
        <f>L11</f>
        <v>29</v>
      </c>
      <c r="Q11" s="83">
        <v>3</v>
      </c>
      <c r="R11" s="81">
        <f>Q11*G11</f>
        <v>0.44999999999999996</v>
      </c>
      <c r="S11" s="26"/>
      <c r="T11" s="89" t="s">
        <v>130</v>
      </c>
      <c r="U11" s="85" t="s">
        <v>131</v>
      </c>
      <c r="V11" s="85" t="s">
        <v>132</v>
      </c>
      <c r="W11" s="85" t="s">
        <v>133</v>
      </c>
      <c r="X11" s="85" t="s">
        <v>134</v>
      </c>
    </row>
    <row r="12" spans="2:24" s="11" customFormat="1" ht="19.899999999999999" customHeight="1">
      <c r="B12" s="109"/>
      <c r="C12" s="109"/>
      <c r="D12" s="144"/>
      <c r="E12" s="83"/>
      <c r="F12" s="83"/>
      <c r="G12" s="83"/>
      <c r="H12" s="96"/>
      <c r="I12" s="83"/>
      <c r="J12" s="131"/>
      <c r="K12" s="25" t="s">
        <v>43</v>
      </c>
      <c r="L12" s="163">
        <v>24</v>
      </c>
      <c r="M12" s="164"/>
      <c r="N12" s="164"/>
      <c r="O12" s="164"/>
      <c r="P12" s="76">
        <v>24</v>
      </c>
      <c r="Q12" s="83"/>
      <c r="R12" s="81"/>
      <c r="S12" s="26"/>
      <c r="T12" s="89"/>
      <c r="U12" s="85"/>
      <c r="V12" s="85"/>
      <c r="W12" s="85"/>
      <c r="X12" s="85"/>
    </row>
    <row r="13" spans="2:24" s="11" customFormat="1" ht="19.899999999999999" customHeight="1">
      <c r="B13" s="109"/>
      <c r="C13" s="109"/>
      <c r="D13" s="143" t="s">
        <v>135</v>
      </c>
      <c r="E13" s="171" t="s">
        <v>117</v>
      </c>
      <c r="F13" s="172"/>
      <c r="G13" s="171"/>
      <c r="H13" s="168" t="s">
        <v>136</v>
      </c>
      <c r="I13" s="172" t="s">
        <v>118</v>
      </c>
      <c r="J13" s="166"/>
      <c r="K13" s="189" t="s">
        <v>38</v>
      </c>
      <c r="L13" s="191"/>
      <c r="M13" s="192"/>
      <c r="N13" s="192"/>
      <c r="O13" s="193"/>
      <c r="P13" s="187"/>
      <c r="Q13" s="172"/>
      <c r="R13" s="188"/>
      <c r="S13" s="26"/>
      <c r="T13" s="89"/>
      <c r="U13" s="85"/>
      <c r="V13" s="85"/>
      <c r="W13" s="85"/>
      <c r="X13" s="85"/>
    </row>
    <row r="14" spans="2:24" s="11" customFormat="1" ht="19.899999999999999" customHeight="1">
      <c r="B14" s="109"/>
      <c r="C14" s="109"/>
      <c r="D14" s="144"/>
      <c r="E14" s="172"/>
      <c r="F14" s="172"/>
      <c r="G14" s="172"/>
      <c r="H14" s="169"/>
      <c r="I14" s="172"/>
      <c r="J14" s="167"/>
      <c r="K14" s="190"/>
      <c r="L14" s="194"/>
      <c r="M14" s="195"/>
      <c r="N14" s="195"/>
      <c r="O14" s="196"/>
      <c r="P14" s="187"/>
      <c r="Q14" s="172"/>
      <c r="R14" s="188"/>
      <c r="S14" s="26"/>
      <c r="T14" s="89"/>
      <c r="U14" s="85"/>
      <c r="V14" s="85"/>
      <c r="W14" s="85"/>
      <c r="X14" s="85"/>
    </row>
    <row r="15" spans="2:24" s="11" customFormat="1" ht="19.899999999999999" customHeight="1">
      <c r="B15" s="109"/>
      <c r="C15" s="109"/>
      <c r="D15" s="185" t="s">
        <v>137</v>
      </c>
      <c r="E15" s="171" t="s">
        <v>34</v>
      </c>
      <c r="F15" s="83" t="s">
        <v>35</v>
      </c>
      <c r="G15" s="89">
        <v>0.16</v>
      </c>
      <c r="H15" s="95" t="s">
        <v>136</v>
      </c>
      <c r="I15" s="83" t="s">
        <v>118</v>
      </c>
      <c r="J15" s="130"/>
      <c r="K15" s="25" t="s">
        <v>38</v>
      </c>
      <c r="L15" s="163">
        <v>464</v>
      </c>
      <c r="M15" s="164"/>
      <c r="N15" s="164"/>
      <c r="O15" s="164"/>
      <c r="P15" s="76">
        <f>L15</f>
        <v>464</v>
      </c>
      <c r="Q15" s="83">
        <v>3</v>
      </c>
      <c r="R15" s="81">
        <f>Q15*G15</f>
        <v>0.48</v>
      </c>
      <c r="S15" s="26"/>
      <c r="T15" s="89" t="s">
        <v>138</v>
      </c>
      <c r="U15" s="85" t="s">
        <v>139</v>
      </c>
      <c r="V15" s="85" t="s">
        <v>140</v>
      </c>
      <c r="W15" s="85" t="s">
        <v>141</v>
      </c>
      <c r="X15" s="85"/>
    </row>
    <row r="16" spans="2:24" s="11" customFormat="1" ht="19.899999999999999" customHeight="1">
      <c r="B16" s="109"/>
      <c r="C16" s="109"/>
      <c r="D16" s="186"/>
      <c r="E16" s="172"/>
      <c r="F16" s="83"/>
      <c r="G16" s="83"/>
      <c r="H16" s="96"/>
      <c r="I16" s="83"/>
      <c r="J16" s="131"/>
      <c r="K16" s="25" t="s">
        <v>43</v>
      </c>
      <c r="L16" s="163">
        <v>479</v>
      </c>
      <c r="M16" s="164"/>
      <c r="N16" s="164"/>
      <c r="O16" s="164"/>
      <c r="P16" s="76">
        <v>479</v>
      </c>
      <c r="Q16" s="83"/>
      <c r="R16" s="81"/>
      <c r="S16" s="26"/>
      <c r="T16" s="89"/>
      <c r="U16" s="85"/>
      <c r="V16" s="85"/>
      <c r="W16" s="85"/>
      <c r="X16" s="85"/>
    </row>
    <row r="17" spans="2:24" s="11" customFormat="1" ht="19.899999999999999" customHeight="1">
      <c r="B17" s="109"/>
      <c r="C17" s="109"/>
      <c r="D17" s="185" t="s">
        <v>142</v>
      </c>
      <c r="E17" s="171" t="s">
        <v>34</v>
      </c>
      <c r="F17" s="83" t="s">
        <v>35</v>
      </c>
      <c r="G17" s="89">
        <v>0.16</v>
      </c>
      <c r="H17" s="95" t="s">
        <v>136</v>
      </c>
      <c r="I17" s="83" t="s">
        <v>118</v>
      </c>
      <c r="J17" s="130"/>
      <c r="K17" s="25" t="s">
        <v>38</v>
      </c>
      <c r="L17" s="163">
        <v>791</v>
      </c>
      <c r="M17" s="164"/>
      <c r="N17" s="164"/>
      <c r="O17" s="164"/>
      <c r="P17" s="76">
        <f>L17</f>
        <v>791</v>
      </c>
      <c r="Q17" s="83">
        <v>3</v>
      </c>
      <c r="R17" s="81">
        <f>Q17*G17</f>
        <v>0.48</v>
      </c>
      <c r="S17" s="26"/>
      <c r="T17" s="89" t="s">
        <v>143</v>
      </c>
      <c r="U17" s="85" t="s">
        <v>144</v>
      </c>
      <c r="V17" s="85" t="s">
        <v>145</v>
      </c>
      <c r="W17" s="85"/>
      <c r="X17" s="85"/>
    </row>
    <row r="18" spans="2:24" s="11" customFormat="1" ht="19.899999999999999" customHeight="1">
      <c r="B18" s="109"/>
      <c r="C18" s="109"/>
      <c r="D18" s="186"/>
      <c r="E18" s="172"/>
      <c r="F18" s="83"/>
      <c r="G18" s="83"/>
      <c r="H18" s="96"/>
      <c r="I18" s="83"/>
      <c r="J18" s="131"/>
      <c r="K18" s="25" t="s">
        <v>43</v>
      </c>
      <c r="L18" s="163">
        <v>540</v>
      </c>
      <c r="M18" s="164"/>
      <c r="N18" s="164"/>
      <c r="O18" s="165"/>
      <c r="P18" s="71">
        <v>540</v>
      </c>
      <c r="Q18" s="83"/>
      <c r="R18" s="81"/>
      <c r="S18" s="26"/>
      <c r="T18" s="89"/>
      <c r="U18" s="85"/>
      <c r="V18" s="85"/>
      <c r="W18" s="85"/>
      <c r="X18" s="85"/>
    </row>
    <row r="19" spans="2:24" s="11" customFormat="1" ht="19.899999999999999" customHeight="1">
      <c r="B19" s="109"/>
      <c r="C19" s="109"/>
      <c r="D19" s="143" t="s">
        <v>107</v>
      </c>
      <c r="E19" s="89" t="s">
        <v>34</v>
      </c>
      <c r="F19" s="83" t="s">
        <v>35</v>
      </c>
      <c r="G19" s="89">
        <v>0.13</v>
      </c>
      <c r="H19" s="95" t="s">
        <v>60</v>
      </c>
      <c r="I19" s="83" t="s">
        <v>118</v>
      </c>
      <c r="J19" s="130"/>
      <c r="K19" s="25" t="s">
        <v>38</v>
      </c>
      <c r="L19" s="182">
        <v>0.82</v>
      </c>
      <c r="M19" s="183"/>
      <c r="N19" s="183"/>
      <c r="O19" s="184"/>
      <c r="P19" s="67">
        <f>L19</f>
        <v>0.82</v>
      </c>
      <c r="Q19" s="83">
        <v>3</v>
      </c>
      <c r="R19" s="81">
        <f>Q19*G19</f>
        <v>0.39</v>
      </c>
      <c r="S19" s="26"/>
      <c r="T19" s="89" t="s">
        <v>109</v>
      </c>
      <c r="U19" s="85" t="s">
        <v>110</v>
      </c>
      <c r="V19" s="85" t="s">
        <v>111</v>
      </c>
      <c r="W19" s="85" t="s">
        <v>112</v>
      </c>
      <c r="X19" s="85" t="s">
        <v>146</v>
      </c>
    </row>
    <row r="20" spans="2:24" s="11" customFormat="1" ht="19.899999999999999" customHeight="1">
      <c r="B20" s="109"/>
      <c r="C20" s="109"/>
      <c r="D20" s="144"/>
      <c r="E20" s="83"/>
      <c r="F20" s="83"/>
      <c r="G20" s="83"/>
      <c r="H20" s="96"/>
      <c r="I20" s="83"/>
      <c r="J20" s="131"/>
      <c r="K20" s="25" t="s">
        <v>43</v>
      </c>
      <c r="L20" s="163" t="s">
        <v>114</v>
      </c>
      <c r="M20" s="164"/>
      <c r="N20" s="164"/>
      <c r="O20" s="165"/>
      <c r="P20" s="71" t="s">
        <v>115</v>
      </c>
      <c r="Q20" s="83"/>
      <c r="R20" s="81"/>
      <c r="S20" s="26"/>
      <c r="T20" s="89"/>
      <c r="U20" s="85"/>
      <c r="V20" s="85"/>
      <c r="W20" s="85"/>
      <c r="X20" s="85"/>
    </row>
    <row r="21" spans="2:24" s="11" customFormat="1" ht="19.899999999999999" customHeight="1">
      <c r="B21" s="109"/>
      <c r="C21" s="109"/>
      <c r="D21" s="128" t="s">
        <v>116</v>
      </c>
      <c r="E21" s="168" t="s">
        <v>117</v>
      </c>
      <c r="F21" s="168"/>
      <c r="G21" s="168"/>
      <c r="H21" s="168"/>
      <c r="I21" s="168" t="s">
        <v>118</v>
      </c>
      <c r="J21" s="166"/>
      <c r="K21" s="168" t="s">
        <v>38</v>
      </c>
      <c r="L21" s="173"/>
      <c r="M21" s="174"/>
      <c r="N21" s="174"/>
      <c r="O21" s="175"/>
      <c r="P21" s="179"/>
      <c r="Q21" s="181"/>
      <c r="R21" s="181"/>
      <c r="S21" s="26"/>
      <c r="T21" s="126"/>
      <c r="U21" s="126"/>
      <c r="V21" s="126"/>
      <c r="W21" s="126"/>
      <c r="X21" s="126"/>
    </row>
    <row r="22" spans="2:24" s="11" customFormat="1" ht="19.899999999999999" customHeight="1">
      <c r="B22" s="109"/>
      <c r="C22" s="110"/>
      <c r="D22" s="129"/>
      <c r="E22" s="169"/>
      <c r="F22" s="169"/>
      <c r="G22" s="169"/>
      <c r="H22" s="169"/>
      <c r="I22" s="169"/>
      <c r="J22" s="167"/>
      <c r="K22" s="169"/>
      <c r="L22" s="176"/>
      <c r="M22" s="177"/>
      <c r="N22" s="177"/>
      <c r="O22" s="178"/>
      <c r="P22" s="180"/>
      <c r="Q22" s="169"/>
      <c r="R22" s="169"/>
      <c r="S22" s="26"/>
      <c r="T22" s="127"/>
      <c r="U22" s="127"/>
      <c r="V22" s="127"/>
      <c r="W22" s="127"/>
      <c r="X22" s="127"/>
    </row>
    <row r="23" spans="2:24" s="11" customFormat="1" ht="19.899999999999999" customHeight="1">
      <c r="B23" s="109"/>
      <c r="C23" s="111" t="s">
        <v>147</v>
      </c>
      <c r="D23" s="170" t="s">
        <v>72</v>
      </c>
      <c r="E23" s="171" t="s">
        <v>34</v>
      </c>
      <c r="F23" s="83" t="s">
        <v>52</v>
      </c>
      <c r="G23" s="89">
        <v>0.15</v>
      </c>
      <c r="H23" s="95" t="s">
        <v>60</v>
      </c>
      <c r="I23" s="83" t="s">
        <v>61</v>
      </c>
      <c r="J23" s="130"/>
      <c r="K23" s="25" t="s">
        <v>38</v>
      </c>
      <c r="L23" s="64">
        <v>0.96</v>
      </c>
      <c r="M23" s="64">
        <v>0.96</v>
      </c>
      <c r="N23" s="64">
        <v>0.96</v>
      </c>
      <c r="O23" s="64">
        <v>0.93</v>
      </c>
      <c r="P23" s="67">
        <f>AVERAGE(L23:O23)</f>
        <v>0.95250000000000001</v>
      </c>
      <c r="Q23" s="83">
        <v>3</v>
      </c>
      <c r="R23" s="81">
        <f>Q23*G23</f>
        <v>0.44999999999999996</v>
      </c>
      <c r="S23" s="86"/>
      <c r="T23" s="161" t="s">
        <v>110</v>
      </c>
      <c r="U23" s="85" t="s">
        <v>104</v>
      </c>
      <c r="V23" s="85" t="s">
        <v>148</v>
      </c>
      <c r="W23" s="85" t="s">
        <v>149</v>
      </c>
      <c r="X23" s="85" t="s">
        <v>75</v>
      </c>
    </row>
    <row r="24" spans="2:24" s="11" customFormat="1" ht="19.899999999999999" customHeight="1">
      <c r="B24" s="110"/>
      <c r="C24" s="111"/>
      <c r="D24" s="170"/>
      <c r="E24" s="172"/>
      <c r="F24" s="83"/>
      <c r="G24" s="83"/>
      <c r="H24" s="96"/>
      <c r="I24" s="83"/>
      <c r="J24" s="131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83"/>
      <c r="R24" s="81"/>
      <c r="S24" s="86"/>
      <c r="T24" s="161"/>
      <c r="U24" s="85"/>
      <c r="V24" s="85"/>
      <c r="W24" s="85"/>
      <c r="X24" s="85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113" t="s">
        <v>76</v>
      </c>
      <c r="M25" s="113"/>
      <c r="N25" s="113"/>
      <c r="O25" s="113"/>
      <c r="P25" s="113"/>
      <c r="Q25" s="118">
        <f>+SUM(R7+R9+R11+R15+R17+R19+R23)</f>
        <v>3.05</v>
      </c>
      <c r="R25" s="118"/>
    </row>
    <row r="26" spans="2:24" ht="13.9" customHeight="1"/>
    <row r="27" spans="2:24" ht="13.9" customHeight="1">
      <c r="C27" s="197" t="s">
        <v>127</v>
      </c>
      <c r="D27" s="198" t="s">
        <v>150</v>
      </c>
      <c r="E27" s="168" t="s">
        <v>117</v>
      </c>
      <c r="F27" s="168"/>
      <c r="G27" s="168"/>
      <c r="H27" s="168"/>
      <c r="I27" s="168" t="s">
        <v>118</v>
      </c>
      <c r="J27" s="166"/>
      <c r="K27" s="168" t="s">
        <v>38</v>
      </c>
      <c r="L27" s="173">
        <v>33</v>
      </c>
      <c r="M27" s="174"/>
      <c r="N27" s="174"/>
      <c r="O27" s="175"/>
      <c r="P27" s="179"/>
      <c r="Q27" s="181"/>
      <c r="R27" s="181"/>
    </row>
    <row r="28" spans="2:24">
      <c r="C28" s="197"/>
      <c r="D28" s="199"/>
      <c r="E28" s="169"/>
      <c r="F28" s="169"/>
      <c r="G28" s="169"/>
      <c r="H28" s="169"/>
      <c r="I28" s="169"/>
      <c r="J28" s="167"/>
      <c r="K28" s="169"/>
      <c r="L28" s="176"/>
      <c r="M28" s="177"/>
      <c r="N28" s="177"/>
      <c r="O28" s="178"/>
      <c r="P28" s="180"/>
      <c r="Q28" s="169"/>
      <c r="R28" s="169"/>
    </row>
    <row r="30" spans="2:24">
      <c r="T30" s="10"/>
    </row>
    <row r="35" spans="4:4">
      <c r="D35" s="11"/>
    </row>
  </sheetData>
  <autoFilter ref="A6:X25" xr:uid="{D6ADEF7D-F329-458F-8B90-19EB108627D0}"/>
  <mergeCells count="178">
    <mergeCell ref="Q27:Q28"/>
    <mergeCell ref="R27:R28"/>
    <mergeCell ref="C27:C28"/>
    <mergeCell ref="L27:O28"/>
    <mergeCell ref="P27:P28"/>
    <mergeCell ref="D27:D28"/>
    <mergeCell ref="E27:E28"/>
    <mergeCell ref="F27:F28"/>
    <mergeCell ref="G27:G28"/>
    <mergeCell ref="H27:H28"/>
    <mergeCell ref="I27:I28"/>
    <mergeCell ref="J27:J28"/>
    <mergeCell ref="K27:K28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T4:X4"/>
    <mergeCell ref="B5:R5"/>
    <mergeCell ref="T5:T6"/>
    <mergeCell ref="U5:U6"/>
    <mergeCell ref="V5:V6"/>
    <mergeCell ref="W5:W6"/>
    <mergeCell ref="X5:X6"/>
    <mergeCell ref="B7:B24"/>
    <mergeCell ref="C7:C22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D9:D10"/>
    <mergeCell ref="E9:E10"/>
    <mergeCell ref="F9:F10"/>
    <mergeCell ref="G9:G10"/>
    <mergeCell ref="H9:H10"/>
    <mergeCell ref="I9:I10"/>
    <mergeCell ref="Q7:Q8"/>
    <mergeCell ref="R7:R8"/>
    <mergeCell ref="S7:S8"/>
    <mergeCell ref="T7:T8"/>
    <mergeCell ref="U7:U8"/>
    <mergeCell ref="V7:V8"/>
    <mergeCell ref="R11:R12"/>
    <mergeCell ref="T11:T12"/>
    <mergeCell ref="U11:U12"/>
    <mergeCell ref="V11:V12"/>
    <mergeCell ref="X11:X12"/>
    <mergeCell ref="X9:X10"/>
    <mergeCell ref="D11:D12"/>
    <mergeCell ref="E11:E12"/>
    <mergeCell ref="F11:F12"/>
    <mergeCell ref="G11:G12"/>
    <mergeCell ref="H11:H12"/>
    <mergeCell ref="I11:I12"/>
    <mergeCell ref="J11:J12"/>
    <mergeCell ref="L11:O11"/>
    <mergeCell ref="Q11:Q12"/>
    <mergeCell ref="R9:R10"/>
    <mergeCell ref="S9:S10"/>
    <mergeCell ref="T9:T10"/>
    <mergeCell ref="U9:U10"/>
    <mergeCell ref="V9:V10"/>
    <mergeCell ref="W9:W10"/>
    <mergeCell ref="L12:O12"/>
    <mergeCell ref="J9:J10"/>
    <mergeCell ref="Q9:Q10"/>
    <mergeCell ref="F13:F14"/>
    <mergeCell ref="G13:G14"/>
    <mergeCell ref="H13:H14"/>
    <mergeCell ref="I13:I14"/>
    <mergeCell ref="J13:J14"/>
    <mergeCell ref="K13:K14"/>
    <mergeCell ref="L13:O14"/>
    <mergeCell ref="W11:W12"/>
    <mergeCell ref="W13:W14"/>
    <mergeCell ref="X13:X14"/>
    <mergeCell ref="D15:D16"/>
    <mergeCell ref="E15:E16"/>
    <mergeCell ref="F15:F16"/>
    <mergeCell ref="G15:G16"/>
    <mergeCell ref="H15:H16"/>
    <mergeCell ref="I15:I16"/>
    <mergeCell ref="J15:J16"/>
    <mergeCell ref="L15:O15"/>
    <mergeCell ref="P13:P14"/>
    <mergeCell ref="Q13:Q14"/>
    <mergeCell ref="R13:R14"/>
    <mergeCell ref="T13:T14"/>
    <mergeCell ref="U13:U14"/>
    <mergeCell ref="V13:V14"/>
    <mergeCell ref="X15:X16"/>
    <mergeCell ref="L16:O16"/>
    <mergeCell ref="R15:R16"/>
    <mergeCell ref="T15:T16"/>
    <mergeCell ref="U15:U16"/>
    <mergeCell ref="V15:V16"/>
    <mergeCell ref="W15:W16"/>
    <mergeCell ref="D13:D14"/>
    <mergeCell ref="E13:E14"/>
    <mergeCell ref="D17:D18"/>
    <mergeCell ref="E17:E18"/>
    <mergeCell ref="F17:F18"/>
    <mergeCell ref="G17:G18"/>
    <mergeCell ref="H17:H18"/>
    <mergeCell ref="I17:I18"/>
    <mergeCell ref="J17:J18"/>
    <mergeCell ref="L17:O17"/>
    <mergeCell ref="Q15:Q16"/>
    <mergeCell ref="Q19:Q20"/>
    <mergeCell ref="X17:X18"/>
    <mergeCell ref="L18:O18"/>
    <mergeCell ref="D19:D20"/>
    <mergeCell ref="E19:E20"/>
    <mergeCell ref="F19:F20"/>
    <mergeCell ref="G19:G20"/>
    <mergeCell ref="H19:H20"/>
    <mergeCell ref="I19:I20"/>
    <mergeCell ref="J19:J20"/>
    <mergeCell ref="L19:O19"/>
    <mergeCell ref="Q17:Q18"/>
    <mergeCell ref="R17:R18"/>
    <mergeCell ref="T17:T18"/>
    <mergeCell ref="U17:U18"/>
    <mergeCell ref="V17:V18"/>
    <mergeCell ref="W17:W18"/>
    <mergeCell ref="X19:X20"/>
    <mergeCell ref="L20:O20"/>
    <mergeCell ref="R19:R20"/>
    <mergeCell ref="T19:T20"/>
    <mergeCell ref="U19:U20"/>
    <mergeCell ref="V19:V20"/>
    <mergeCell ref="W19:W20"/>
    <mergeCell ref="W21:W22"/>
    <mergeCell ref="X21:X22"/>
    <mergeCell ref="C23:C24"/>
    <mergeCell ref="D23:D24"/>
    <mergeCell ref="E23:E24"/>
    <mergeCell ref="F23:F24"/>
    <mergeCell ref="G23:G24"/>
    <mergeCell ref="H23:H24"/>
    <mergeCell ref="I23:I24"/>
    <mergeCell ref="L21:O22"/>
    <mergeCell ref="P21:P22"/>
    <mergeCell ref="Q21:Q22"/>
    <mergeCell ref="R21:R22"/>
    <mergeCell ref="T21:T22"/>
    <mergeCell ref="U21:U22"/>
    <mergeCell ref="V23:V24"/>
    <mergeCell ref="W23:W24"/>
    <mergeCell ref="X23:X24"/>
    <mergeCell ref="D21:D22"/>
    <mergeCell ref="E21:E22"/>
    <mergeCell ref="F21:F22"/>
    <mergeCell ref="G21:G22"/>
    <mergeCell ref="H21:H22"/>
    <mergeCell ref="I21:I22"/>
    <mergeCell ref="L25:P25"/>
    <mergeCell ref="Q25:R25"/>
    <mergeCell ref="J23:J24"/>
    <mergeCell ref="Q23:Q24"/>
    <mergeCell ref="R23:R24"/>
    <mergeCell ref="S23:S24"/>
    <mergeCell ref="T23:T24"/>
    <mergeCell ref="U23:U24"/>
    <mergeCell ref="V21:V22"/>
    <mergeCell ref="J21:J22"/>
    <mergeCell ref="K21:K22"/>
  </mergeCells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01BA-D41F-46BA-B634-F723BC35B484}">
  <dimension ref="B1:X35"/>
  <sheetViews>
    <sheetView zoomScaleNormal="100" workbookViewId="0">
      <selection activeCell="D7" sqref="D7:D8"/>
    </sheetView>
  </sheetViews>
  <sheetFormatPr defaultColWidth="8.85546875" defaultRowHeight="12.75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285156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75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24">
      <c r="B2" s="101" t="s">
        <v>1</v>
      </c>
      <c r="C2" s="101"/>
      <c r="D2" s="104">
        <v>45644</v>
      </c>
      <c r="E2" s="105"/>
      <c r="F2" s="134" t="s">
        <v>2</v>
      </c>
      <c r="G2" s="135"/>
      <c r="H2" s="104">
        <v>43862</v>
      </c>
      <c r="I2" s="105"/>
      <c r="J2" s="105"/>
      <c r="K2" s="105"/>
      <c r="L2" s="105"/>
      <c r="M2" s="105"/>
      <c r="N2" s="105"/>
      <c r="O2" s="28"/>
      <c r="P2" s="108" t="s">
        <v>3</v>
      </c>
      <c r="Q2" s="108"/>
      <c r="R2" s="108"/>
    </row>
    <row r="3" spans="2:24">
      <c r="B3" s="101" t="s">
        <v>4</v>
      </c>
      <c r="C3" s="101"/>
      <c r="D3" s="103" t="s">
        <v>151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2:24">
      <c r="B4" s="102" t="s">
        <v>6</v>
      </c>
      <c r="C4" s="102"/>
      <c r="D4" s="107" t="s">
        <v>155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T4" s="81" t="s">
        <v>156</v>
      </c>
      <c r="U4" s="81"/>
      <c r="V4" s="81"/>
      <c r="W4" s="81"/>
      <c r="X4" s="81"/>
    </row>
    <row r="5" spans="2:24"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T5" s="82" t="s">
        <v>9</v>
      </c>
      <c r="U5" s="82" t="s">
        <v>10</v>
      </c>
      <c r="V5" s="82" t="s">
        <v>11</v>
      </c>
      <c r="W5" s="82" t="s">
        <v>12</v>
      </c>
      <c r="X5" s="82" t="s">
        <v>13</v>
      </c>
    </row>
    <row r="6" spans="2:24" s="12" customFormat="1" ht="38.2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82"/>
      <c r="U6" s="82"/>
      <c r="V6" s="82"/>
      <c r="W6" s="82"/>
      <c r="X6" s="82"/>
    </row>
    <row r="7" spans="2:24" s="11" customFormat="1" ht="19.899999999999999" customHeight="1">
      <c r="B7" s="109" t="s">
        <v>126</v>
      </c>
      <c r="C7" s="109" t="s">
        <v>127</v>
      </c>
      <c r="D7" s="97" t="s">
        <v>96</v>
      </c>
      <c r="E7" s="89" t="s">
        <v>34</v>
      </c>
      <c r="F7" s="83" t="s">
        <v>52</v>
      </c>
      <c r="G7" s="89">
        <v>0.1</v>
      </c>
      <c r="H7" s="95" t="s">
        <v>53</v>
      </c>
      <c r="I7" s="83" t="s">
        <v>61</v>
      </c>
      <c r="J7" s="152"/>
      <c r="K7" s="40" t="s">
        <v>38</v>
      </c>
      <c r="L7" s="74">
        <v>100391600</v>
      </c>
      <c r="M7" s="43">
        <v>92050000</v>
      </c>
      <c r="N7" s="43">
        <v>52652567</v>
      </c>
      <c r="O7" s="43">
        <v>39789621</v>
      </c>
      <c r="P7" s="75">
        <f>SUM(L7:O7)</f>
        <v>284883788</v>
      </c>
      <c r="Q7" s="83">
        <v>5</v>
      </c>
      <c r="R7" s="81">
        <f>Q7*G7</f>
        <v>0.5</v>
      </c>
      <c r="S7" s="86"/>
      <c r="T7" s="157" t="s">
        <v>97</v>
      </c>
      <c r="U7" s="88" t="s">
        <v>98</v>
      </c>
      <c r="V7" s="159" t="s">
        <v>99</v>
      </c>
      <c r="W7" s="87" t="s">
        <v>100</v>
      </c>
      <c r="X7" s="87" t="s">
        <v>101</v>
      </c>
    </row>
    <row r="8" spans="2:24" s="11" customFormat="1" ht="19.899999999999999" customHeight="1">
      <c r="B8" s="109"/>
      <c r="C8" s="109"/>
      <c r="D8" s="97"/>
      <c r="E8" s="83"/>
      <c r="F8" s="83"/>
      <c r="G8" s="83"/>
      <c r="H8" s="96"/>
      <c r="I8" s="83"/>
      <c r="J8" s="153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83"/>
      <c r="R8" s="81"/>
      <c r="S8" s="86"/>
      <c r="T8" s="158"/>
      <c r="U8" s="88"/>
      <c r="V8" s="160"/>
      <c r="W8" s="88"/>
      <c r="X8" s="88"/>
    </row>
    <row r="9" spans="2:24" s="11" customFormat="1" ht="19.899999999999999" customHeight="1">
      <c r="B9" s="109"/>
      <c r="C9" s="109"/>
      <c r="D9" s="185" t="s">
        <v>59</v>
      </c>
      <c r="E9" s="89" t="s">
        <v>34</v>
      </c>
      <c r="F9" s="83" t="s">
        <v>52</v>
      </c>
      <c r="G9" s="89">
        <v>0.15</v>
      </c>
      <c r="H9" s="95" t="s">
        <v>60</v>
      </c>
      <c r="I9" s="83" t="s">
        <v>61</v>
      </c>
      <c r="J9" s="141"/>
      <c r="K9" s="25" t="s">
        <v>38</v>
      </c>
      <c r="L9" s="63">
        <v>0.79</v>
      </c>
      <c r="M9" s="63">
        <v>0.8</v>
      </c>
      <c r="N9" s="63">
        <v>0.81</v>
      </c>
      <c r="O9" s="63">
        <v>0.82</v>
      </c>
      <c r="P9" s="64">
        <f>AVERAGE(L9:O9)</f>
        <v>0.80500000000000005</v>
      </c>
      <c r="Q9" s="83">
        <v>2</v>
      </c>
      <c r="R9" s="81">
        <f>Q9*G9</f>
        <v>0.3</v>
      </c>
      <c r="S9" s="86"/>
      <c r="T9" s="89" t="s">
        <v>103</v>
      </c>
      <c r="U9" s="85" t="s">
        <v>104</v>
      </c>
      <c r="V9" s="85" t="s">
        <v>105</v>
      </c>
      <c r="W9" s="85" t="s">
        <v>75</v>
      </c>
      <c r="X9" s="85" t="s">
        <v>75</v>
      </c>
    </row>
    <row r="10" spans="2:24" s="11" customFormat="1" ht="19.899999999999999" customHeight="1">
      <c r="B10" s="109"/>
      <c r="C10" s="109"/>
      <c r="D10" s="186"/>
      <c r="E10" s="83"/>
      <c r="F10" s="83"/>
      <c r="G10" s="83"/>
      <c r="H10" s="96"/>
      <c r="I10" s="83"/>
      <c r="J10" s="142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83"/>
      <c r="R10" s="81"/>
      <c r="S10" s="86"/>
      <c r="T10" s="89"/>
      <c r="U10" s="85"/>
      <c r="V10" s="85"/>
      <c r="W10" s="85"/>
      <c r="X10" s="85"/>
    </row>
    <row r="11" spans="2:24" s="11" customFormat="1" ht="19.899999999999999" customHeight="1">
      <c r="B11" s="109"/>
      <c r="C11" s="109"/>
      <c r="D11" s="143" t="s">
        <v>128</v>
      </c>
      <c r="E11" s="89" t="s">
        <v>34</v>
      </c>
      <c r="F11" s="83" t="s">
        <v>35</v>
      </c>
      <c r="G11" s="89">
        <v>0.15</v>
      </c>
      <c r="H11" s="95" t="s">
        <v>129</v>
      </c>
      <c r="I11" s="83" t="s">
        <v>118</v>
      </c>
      <c r="J11" s="130"/>
      <c r="K11" s="25" t="s">
        <v>38</v>
      </c>
      <c r="L11" s="163">
        <v>25</v>
      </c>
      <c r="M11" s="164"/>
      <c r="N11" s="164"/>
      <c r="O11" s="164"/>
      <c r="P11" s="76">
        <f>L11</f>
        <v>25</v>
      </c>
      <c r="Q11" s="83">
        <v>3</v>
      </c>
      <c r="R11" s="81">
        <f>Q11*G11</f>
        <v>0.44999999999999996</v>
      </c>
      <c r="S11" s="26"/>
      <c r="T11" s="89" t="s">
        <v>130</v>
      </c>
      <c r="U11" s="85" t="s">
        <v>131</v>
      </c>
      <c r="V11" s="85" t="s">
        <v>132</v>
      </c>
      <c r="W11" s="85" t="s">
        <v>133</v>
      </c>
      <c r="X11" s="85" t="s">
        <v>134</v>
      </c>
    </row>
    <row r="12" spans="2:24" s="11" customFormat="1" ht="19.899999999999999" customHeight="1">
      <c r="B12" s="109"/>
      <c r="C12" s="109"/>
      <c r="D12" s="144"/>
      <c r="E12" s="83"/>
      <c r="F12" s="83"/>
      <c r="G12" s="83"/>
      <c r="H12" s="96"/>
      <c r="I12" s="83"/>
      <c r="J12" s="131"/>
      <c r="K12" s="25" t="s">
        <v>43</v>
      </c>
      <c r="L12" s="163">
        <v>24</v>
      </c>
      <c r="M12" s="164"/>
      <c r="N12" s="164"/>
      <c r="O12" s="164"/>
      <c r="P12" s="76">
        <v>24</v>
      </c>
      <c r="Q12" s="83"/>
      <c r="R12" s="81"/>
      <c r="S12" s="26"/>
      <c r="T12" s="89"/>
      <c r="U12" s="85"/>
      <c r="V12" s="85"/>
      <c r="W12" s="85"/>
      <c r="X12" s="85"/>
    </row>
    <row r="13" spans="2:24" s="11" customFormat="1" ht="16.149999999999999" customHeight="1">
      <c r="B13" s="109"/>
      <c r="C13" s="109"/>
      <c r="D13" s="143" t="s">
        <v>135</v>
      </c>
      <c r="E13" s="171" t="s">
        <v>117</v>
      </c>
      <c r="F13" s="172"/>
      <c r="G13" s="171"/>
      <c r="H13" s="168" t="s">
        <v>136</v>
      </c>
      <c r="I13" s="172" t="s">
        <v>118</v>
      </c>
      <c r="J13" s="166"/>
      <c r="K13" s="189" t="s">
        <v>38</v>
      </c>
      <c r="L13" s="191"/>
      <c r="M13" s="192"/>
      <c r="N13" s="192"/>
      <c r="O13" s="193"/>
      <c r="P13" s="187"/>
      <c r="Q13" s="172"/>
      <c r="R13" s="188"/>
      <c r="S13" s="26"/>
      <c r="T13" s="89"/>
      <c r="U13" s="85"/>
      <c r="V13" s="85"/>
      <c r="W13" s="85"/>
      <c r="X13" s="85"/>
    </row>
    <row r="14" spans="2:24" s="11" customFormat="1" ht="16.149999999999999" customHeight="1">
      <c r="B14" s="109"/>
      <c r="C14" s="109"/>
      <c r="D14" s="144"/>
      <c r="E14" s="172"/>
      <c r="F14" s="172"/>
      <c r="G14" s="172"/>
      <c r="H14" s="169"/>
      <c r="I14" s="172"/>
      <c r="J14" s="167"/>
      <c r="K14" s="190"/>
      <c r="L14" s="194"/>
      <c r="M14" s="195"/>
      <c r="N14" s="195"/>
      <c r="O14" s="196"/>
      <c r="P14" s="187"/>
      <c r="Q14" s="172"/>
      <c r="R14" s="188"/>
      <c r="S14" s="26"/>
      <c r="T14" s="89"/>
      <c r="U14" s="85"/>
      <c r="V14" s="85"/>
      <c r="W14" s="85"/>
      <c r="X14" s="85"/>
    </row>
    <row r="15" spans="2:24" s="11" customFormat="1" ht="19.899999999999999" customHeight="1">
      <c r="B15" s="109"/>
      <c r="C15" s="109"/>
      <c r="D15" s="185" t="s">
        <v>137</v>
      </c>
      <c r="E15" s="171" t="s">
        <v>34</v>
      </c>
      <c r="F15" s="83" t="s">
        <v>35</v>
      </c>
      <c r="G15" s="89">
        <v>0.16</v>
      </c>
      <c r="H15" s="95" t="s">
        <v>136</v>
      </c>
      <c r="I15" s="83" t="s">
        <v>118</v>
      </c>
      <c r="J15" s="130"/>
      <c r="K15" s="25" t="s">
        <v>38</v>
      </c>
      <c r="L15" s="163">
        <v>484</v>
      </c>
      <c r="M15" s="164"/>
      <c r="N15" s="164"/>
      <c r="O15" s="164"/>
      <c r="P15" s="76">
        <f>L15</f>
        <v>484</v>
      </c>
      <c r="Q15" s="83">
        <v>4</v>
      </c>
      <c r="R15" s="81">
        <f>Q15*G15</f>
        <v>0.64</v>
      </c>
      <c r="S15" s="26"/>
      <c r="T15" s="89" t="s">
        <v>138</v>
      </c>
      <c r="U15" s="85" t="s">
        <v>139</v>
      </c>
      <c r="V15" s="85" t="s">
        <v>140</v>
      </c>
      <c r="W15" s="85" t="s">
        <v>141</v>
      </c>
      <c r="X15" s="85"/>
    </row>
    <row r="16" spans="2:24" s="11" customFormat="1" ht="19.899999999999999" customHeight="1">
      <c r="B16" s="109"/>
      <c r="C16" s="109"/>
      <c r="D16" s="186"/>
      <c r="E16" s="172"/>
      <c r="F16" s="83"/>
      <c r="G16" s="83"/>
      <c r="H16" s="96"/>
      <c r="I16" s="83"/>
      <c r="J16" s="131"/>
      <c r="K16" s="25" t="s">
        <v>43</v>
      </c>
      <c r="L16" s="163">
        <v>479</v>
      </c>
      <c r="M16" s="164"/>
      <c r="N16" s="164"/>
      <c r="O16" s="164"/>
      <c r="P16" s="76">
        <v>479</v>
      </c>
      <c r="Q16" s="83"/>
      <c r="R16" s="81"/>
      <c r="S16" s="26"/>
      <c r="T16" s="89"/>
      <c r="U16" s="85"/>
      <c r="V16" s="85"/>
      <c r="W16" s="85"/>
      <c r="X16" s="85"/>
    </row>
    <row r="17" spans="2:24" s="11" customFormat="1" ht="19.899999999999999" customHeight="1">
      <c r="B17" s="109"/>
      <c r="C17" s="109"/>
      <c r="D17" s="185" t="s">
        <v>142</v>
      </c>
      <c r="E17" s="171" t="s">
        <v>34</v>
      </c>
      <c r="F17" s="83" t="s">
        <v>35</v>
      </c>
      <c r="G17" s="89">
        <v>0.16</v>
      </c>
      <c r="H17" s="95" t="s">
        <v>136</v>
      </c>
      <c r="I17" s="83" t="s">
        <v>118</v>
      </c>
      <c r="J17" s="130"/>
      <c r="K17" s="25" t="s">
        <v>38</v>
      </c>
      <c r="L17" s="163">
        <v>590</v>
      </c>
      <c r="M17" s="164"/>
      <c r="N17" s="164"/>
      <c r="O17" s="164"/>
      <c r="P17" s="76">
        <f>L17</f>
        <v>590</v>
      </c>
      <c r="Q17" s="83">
        <v>3</v>
      </c>
      <c r="R17" s="81">
        <f>Q17*G17</f>
        <v>0.48</v>
      </c>
      <c r="S17" s="26"/>
      <c r="T17" s="89" t="s">
        <v>143</v>
      </c>
      <c r="U17" s="85" t="s">
        <v>144</v>
      </c>
      <c r="V17" s="85" t="s">
        <v>145</v>
      </c>
      <c r="W17" s="85"/>
      <c r="X17" s="85"/>
    </row>
    <row r="18" spans="2:24" s="11" customFormat="1" ht="19.899999999999999" customHeight="1">
      <c r="B18" s="109"/>
      <c r="C18" s="109"/>
      <c r="D18" s="186"/>
      <c r="E18" s="172"/>
      <c r="F18" s="83"/>
      <c r="G18" s="83"/>
      <c r="H18" s="96"/>
      <c r="I18" s="83"/>
      <c r="J18" s="131"/>
      <c r="K18" s="25" t="s">
        <v>43</v>
      </c>
      <c r="L18" s="163">
        <v>540</v>
      </c>
      <c r="M18" s="164"/>
      <c r="N18" s="164"/>
      <c r="O18" s="165"/>
      <c r="P18" s="71">
        <v>540</v>
      </c>
      <c r="Q18" s="83"/>
      <c r="R18" s="81"/>
      <c r="S18" s="26"/>
      <c r="T18" s="89"/>
      <c r="U18" s="85"/>
      <c r="V18" s="85"/>
      <c r="W18" s="85"/>
      <c r="X18" s="85"/>
    </row>
    <row r="19" spans="2:24" s="11" customFormat="1" ht="19.899999999999999" customHeight="1">
      <c r="B19" s="109"/>
      <c r="C19" s="109"/>
      <c r="D19" s="143" t="s">
        <v>107</v>
      </c>
      <c r="E19" s="89" t="s">
        <v>34</v>
      </c>
      <c r="F19" s="83" t="s">
        <v>35</v>
      </c>
      <c r="G19" s="89">
        <v>0.13</v>
      </c>
      <c r="H19" s="95" t="s">
        <v>60</v>
      </c>
      <c r="I19" s="83" t="s">
        <v>118</v>
      </c>
      <c r="J19" s="130"/>
      <c r="K19" s="25" t="s">
        <v>38</v>
      </c>
      <c r="L19" s="182">
        <v>0.71</v>
      </c>
      <c r="M19" s="183"/>
      <c r="N19" s="183"/>
      <c r="O19" s="184"/>
      <c r="P19" s="67">
        <f>L19</f>
        <v>0.71</v>
      </c>
      <c r="Q19" s="83">
        <v>2</v>
      </c>
      <c r="R19" s="81">
        <f>Q19*G19</f>
        <v>0.26</v>
      </c>
      <c r="S19" s="26"/>
      <c r="T19" s="89" t="s">
        <v>109</v>
      </c>
      <c r="U19" s="85" t="s">
        <v>110</v>
      </c>
      <c r="V19" s="85" t="s">
        <v>111</v>
      </c>
      <c r="W19" s="85" t="s">
        <v>112</v>
      </c>
      <c r="X19" s="85" t="s">
        <v>146</v>
      </c>
    </row>
    <row r="20" spans="2:24" s="11" customFormat="1" ht="19.899999999999999" customHeight="1">
      <c r="B20" s="109"/>
      <c r="C20" s="109"/>
      <c r="D20" s="144"/>
      <c r="E20" s="83"/>
      <c r="F20" s="83"/>
      <c r="G20" s="83"/>
      <c r="H20" s="96"/>
      <c r="I20" s="83"/>
      <c r="J20" s="131"/>
      <c r="K20" s="25" t="s">
        <v>43</v>
      </c>
      <c r="L20" s="163" t="s">
        <v>114</v>
      </c>
      <c r="M20" s="164"/>
      <c r="N20" s="164"/>
      <c r="O20" s="165"/>
      <c r="P20" s="71" t="s">
        <v>115</v>
      </c>
      <c r="Q20" s="83"/>
      <c r="R20" s="81"/>
      <c r="S20" s="26"/>
      <c r="T20" s="89"/>
      <c r="U20" s="85"/>
      <c r="V20" s="85"/>
      <c r="W20" s="85"/>
      <c r="X20" s="85"/>
    </row>
    <row r="21" spans="2:24" s="11" customFormat="1" ht="19.899999999999999" customHeight="1">
      <c r="B21" s="109"/>
      <c r="C21" s="109"/>
      <c r="D21" s="128" t="s">
        <v>116</v>
      </c>
      <c r="E21" s="168" t="s">
        <v>117</v>
      </c>
      <c r="F21" s="168"/>
      <c r="G21" s="168"/>
      <c r="H21" s="168"/>
      <c r="I21" s="168" t="s">
        <v>118</v>
      </c>
      <c r="J21" s="166"/>
      <c r="K21" s="168" t="s">
        <v>38</v>
      </c>
      <c r="L21" s="173"/>
      <c r="M21" s="174"/>
      <c r="N21" s="174"/>
      <c r="O21" s="175"/>
      <c r="P21" s="179"/>
      <c r="Q21" s="181"/>
      <c r="R21" s="181"/>
      <c r="S21" s="26"/>
      <c r="T21" s="126"/>
      <c r="U21" s="126"/>
      <c r="V21" s="126"/>
      <c r="W21" s="126"/>
      <c r="X21" s="126"/>
    </row>
    <row r="22" spans="2:24" s="11" customFormat="1" ht="19.899999999999999" customHeight="1">
      <c r="B22" s="109"/>
      <c r="C22" s="110"/>
      <c r="D22" s="129"/>
      <c r="E22" s="169"/>
      <c r="F22" s="169"/>
      <c r="G22" s="169"/>
      <c r="H22" s="169"/>
      <c r="I22" s="169"/>
      <c r="J22" s="167"/>
      <c r="K22" s="169"/>
      <c r="L22" s="176"/>
      <c r="M22" s="177"/>
      <c r="N22" s="177"/>
      <c r="O22" s="178"/>
      <c r="P22" s="180"/>
      <c r="Q22" s="169"/>
      <c r="R22" s="169"/>
      <c r="S22" s="26"/>
      <c r="T22" s="127"/>
      <c r="U22" s="127"/>
      <c r="V22" s="127"/>
      <c r="W22" s="127"/>
      <c r="X22" s="127"/>
    </row>
    <row r="23" spans="2:24" s="11" customFormat="1" ht="19.899999999999999" customHeight="1">
      <c r="B23" s="109"/>
      <c r="C23" s="111" t="s">
        <v>147</v>
      </c>
      <c r="D23" s="170" t="s">
        <v>72</v>
      </c>
      <c r="E23" s="171" t="s">
        <v>34</v>
      </c>
      <c r="F23" s="83" t="s">
        <v>52</v>
      </c>
      <c r="G23" s="89">
        <v>0.15</v>
      </c>
      <c r="H23" s="95" t="s">
        <v>60</v>
      </c>
      <c r="I23" s="83" t="s">
        <v>61</v>
      </c>
      <c r="J23" s="130"/>
      <c r="K23" s="25" t="s">
        <v>38</v>
      </c>
      <c r="L23" s="64">
        <v>0.97</v>
      </c>
      <c r="M23" s="64">
        <v>0.98</v>
      </c>
      <c r="N23" s="64">
        <v>0.97</v>
      </c>
      <c r="O23" s="64">
        <v>0.98</v>
      </c>
      <c r="P23" s="67">
        <f>AVERAGE(L23:O23)</f>
        <v>0.97499999999999998</v>
      </c>
      <c r="Q23" s="83">
        <v>4</v>
      </c>
      <c r="R23" s="81">
        <f>Q23*G23</f>
        <v>0.6</v>
      </c>
      <c r="S23" s="86"/>
      <c r="T23" s="161" t="s">
        <v>110</v>
      </c>
      <c r="U23" s="85" t="s">
        <v>104</v>
      </c>
      <c r="V23" s="85" t="s">
        <v>148</v>
      </c>
      <c r="W23" s="85" t="s">
        <v>149</v>
      </c>
      <c r="X23" s="85"/>
    </row>
    <row r="24" spans="2:24" s="11" customFormat="1" ht="19.899999999999999" customHeight="1">
      <c r="B24" s="110"/>
      <c r="C24" s="111"/>
      <c r="D24" s="170"/>
      <c r="E24" s="172"/>
      <c r="F24" s="83"/>
      <c r="G24" s="83"/>
      <c r="H24" s="96"/>
      <c r="I24" s="83"/>
      <c r="J24" s="131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83"/>
      <c r="R24" s="81"/>
      <c r="S24" s="86"/>
      <c r="T24" s="161"/>
      <c r="U24" s="85"/>
      <c r="V24" s="85"/>
      <c r="W24" s="85"/>
      <c r="X24" s="85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113" t="s">
        <v>76</v>
      </c>
      <c r="M25" s="113"/>
      <c r="N25" s="113"/>
      <c r="O25" s="113"/>
      <c r="P25" s="113"/>
      <c r="Q25" s="118">
        <f>+SUM(R7+R9+R11+R15+R17+R19+R23)</f>
        <v>3.23</v>
      </c>
      <c r="R25" s="118"/>
    </row>
    <row r="26" spans="2:24" ht="13.9" customHeight="1"/>
    <row r="27" spans="2:24" ht="13.9" customHeight="1">
      <c r="C27" s="197" t="s">
        <v>127</v>
      </c>
      <c r="D27" s="198" t="s">
        <v>150</v>
      </c>
      <c r="E27" s="168" t="s">
        <v>117</v>
      </c>
      <c r="F27" s="168"/>
      <c r="G27" s="168"/>
      <c r="H27" s="168"/>
      <c r="I27" s="168" t="s">
        <v>118</v>
      </c>
      <c r="J27" s="166"/>
      <c r="K27" s="168" t="s">
        <v>38</v>
      </c>
      <c r="L27" s="173">
        <v>25</v>
      </c>
      <c r="M27" s="174"/>
      <c r="N27" s="174"/>
      <c r="O27" s="175"/>
      <c r="P27" s="179"/>
      <c r="Q27" s="181"/>
      <c r="R27" s="181"/>
    </row>
    <row r="28" spans="2:24">
      <c r="C28" s="197"/>
      <c r="D28" s="199"/>
      <c r="E28" s="169"/>
      <c r="F28" s="169"/>
      <c r="G28" s="169"/>
      <c r="H28" s="169"/>
      <c r="I28" s="169"/>
      <c r="J28" s="167"/>
      <c r="K28" s="169"/>
      <c r="L28" s="176"/>
      <c r="M28" s="177"/>
      <c r="N28" s="177"/>
      <c r="O28" s="178"/>
      <c r="P28" s="180"/>
      <c r="Q28" s="169"/>
      <c r="R28" s="169"/>
    </row>
    <row r="29" spans="2:24" ht="12.75" customHeight="1">
      <c r="C29" s="197" t="s">
        <v>127</v>
      </c>
      <c r="D29" s="198" t="s">
        <v>157</v>
      </c>
      <c r="E29" s="89" t="s">
        <v>34</v>
      </c>
      <c r="F29" s="83" t="s">
        <v>35</v>
      </c>
      <c r="G29" s="89">
        <v>0.08</v>
      </c>
      <c r="H29" s="95" t="s">
        <v>36</v>
      </c>
      <c r="I29" s="168" t="s">
        <v>118</v>
      </c>
      <c r="J29" s="83"/>
      <c r="K29" s="25" t="s">
        <v>38</v>
      </c>
      <c r="L29" s="79"/>
      <c r="M29" s="200"/>
      <c r="N29" s="200"/>
      <c r="O29" s="80"/>
      <c r="P29" s="46"/>
      <c r="Q29" s="83"/>
      <c r="R29" s="81">
        <f>Q29*G29</f>
        <v>0</v>
      </c>
    </row>
    <row r="30" spans="2:24">
      <c r="C30" s="197"/>
      <c r="D30" s="199"/>
      <c r="E30" s="83"/>
      <c r="F30" s="83"/>
      <c r="G30" s="83"/>
      <c r="H30" s="96"/>
      <c r="I30" s="169"/>
      <c r="J30" s="83"/>
      <c r="K30" s="25" t="s">
        <v>43</v>
      </c>
      <c r="L30" s="79">
        <v>35</v>
      </c>
      <c r="M30" s="200"/>
      <c r="N30" s="200"/>
      <c r="O30" s="80"/>
      <c r="P30" s="46">
        <v>35</v>
      </c>
      <c r="Q30" s="83"/>
      <c r="R30" s="81"/>
      <c r="T30" s="10"/>
    </row>
    <row r="31" spans="2:24">
      <c r="C31" s="197" t="s">
        <v>127</v>
      </c>
      <c r="D31" s="198" t="s">
        <v>158</v>
      </c>
      <c r="E31" s="89" t="s">
        <v>34</v>
      </c>
      <c r="F31" s="83" t="s">
        <v>35</v>
      </c>
      <c r="G31" s="89">
        <v>0.08</v>
      </c>
      <c r="H31" s="95" t="s">
        <v>36</v>
      </c>
      <c r="I31" s="168" t="s">
        <v>118</v>
      </c>
      <c r="J31" s="83"/>
      <c r="K31" s="25" t="s">
        <v>38</v>
      </c>
      <c r="L31" s="79"/>
      <c r="M31" s="200"/>
      <c r="N31" s="200"/>
      <c r="O31" s="80"/>
      <c r="P31" s="46"/>
      <c r="Q31" s="83"/>
      <c r="R31" s="81">
        <f>Q31*G31</f>
        <v>0</v>
      </c>
    </row>
    <row r="32" spans="2:24">
      <c r="C32" s="197"/>
      <c r="D32" s="199"/>
      <c r="E32" s="83"/>
      <c r="F32" s="83"/>
      <c r="G32" s="83"/>
      <c r="H32" s="96"/>
      <c r="I32" s="169"/>
      <c r="J32" s="83"/>
      <c r="K32" s="25" t="s">
        <v>43</v>
      </c>
      <c r="L32" s="79">
        <v>28</v>
      </c>
      <c r="M32" s="200"/>
      <c r="N32" s="200"/>
      <c r="O32" s="80"/>
      <c r="P32" s="46">
        <v>28</v>
      </c>
      <c r="Q32" s="83"/>
      <c r="R32" s="81"/>
    </row>
    <row r="33" spans="3:18" ht="15">
      <c r="C33" s="197" t="s">
        <v>127</v>
      </c>
      <c r="D33" s="201" t="s">
        <v>159</v>
      </c>
      <c r="E33" s="171" t="s">
        <v>34</v>
      </c>
      <c r="F33" s="83" t="s">
        <v>35</v>
      </c>
      <c r="G33" s="89">
        <v>0.06</v>
      </c>
      <c r="H33" s="95" t="s">
        <v>136</v>
      </c>
      <c r="I33" s="83" t="s">
        <v>118</v>
      </c>
      <c r="J33" s="130"/>
      <c r="K33" s="25" t="s">
        <v>38</v>
      </c>
      <c r="L33" s="163"/>
      <c r="M33" s="164"/>
      <c r="N33" s="164"/>
      <c r="O33" s="164"/>
      <c r="P33" s="76"/>
      <c r="Q33" s="83"/>
      <c r="R33" s="81">
        <f>Q33*G33</f>
        <v>0</v>
      </c>
    </row>
    <row r="34" spans="3:18" ht="15">
      <c r="C34" s="197"/>
      <c r="D34" s="202"/>
      <c r="E34" s="172"/>
      <c r="F34" s="83"/>
      <c r="G34" s="83"/>
      <c r="H34" s="96"/>
      <c r="I34" s="83"/>
      <c r="J34" s="131"/>
      <c r="K34" s="25" t="s">
        <v>43</v>
      </c>
      <c r="L34" s="163">
        <v>1410</v>
      </c>
      <c r="M34" s="164"/>
      <c r="N34" s="164"/>
      <c r="O34" s="165"/>
      <c r="P34" s="71">
        <v>1410</v>
      </c>
      <c r="Q34" s="83"/>
      <c r="R34" s="81"/>
    </row>
    <row r="35" spans="3:18">
      <c r="D35" s="11"/>
    </row>
  </sheetData>
  <autoFilter ref="A6:X25" xr:uid="{CA7501BA-D41F-46BA-B634-F723BC35B484}"/>
  <mergeCells count="214">
    <mergeCell ref="R31:R32"/>
    <mergeCell ref="L32:O32"/>
    <mergeCell ref="J33:J34"/>
    <mergeCell ref="L33:O33"/>
    <mergeCell ref="R33:R34"/>
    <mergeCell ref="L34:O34"/>
    <mergeCell ref="Q31:Q32"/>
    <mergeCell ref="C33:C34"/>
    <mergeCell ref="D33:D34"/>
    <mergeCell ref="E33:E34"/>
    <mergeCell ref="F33:F34"/>
    <mergeCell ref="G33:G34"/>
    <mergeCell ref="H33:H34"/>
    <mergeCell ref="I33:I34"/>
    <mergeCell ref="Q33:Q34"/>
    <mergeCell ref="J31:J32"/>
    <mergeCell ref="L31:O31"/>
    <mergeCell ref="C31:C32"/>
    <mergeCell ref="D31:D32"/>
    <mergeCell ref="E31:E32"/>
    <mergeCell ref="F31:F32"/>
    <mergeCell ref="G31:G32"/>
    <mergeCell ref="H31:H32"/>
    <mergeCell ref="I31:I32"/>
    <mergeCell ref="P27:P28"/>
    <mergeCell ref="Q27:Q28"/>
    <mergeCell ref="R27:R28"/>
    <mergeCell ref="C27:C28"/>
    <mergeCell ref="C29:C30"/>
    <mergeCell ref="D29:D30"/>
    <mergeCell ref="E29:E30"/>
    <mergeCell ref="F29:F30"/>
    <mergeCell ref="G29:G30"/>
    <mergeCell ref="H29:H30"/>
    <mergeCell ref="I29:I30"/>
    <mergeCell ref="Q29:Q30"/>
    <mergeCell ref="J29:J30"/>
    <mergeCell ref="L29:O29"/>
    <mergeCell ref="R29:R30"/>
    <mergeCell ref="L30:O30"/>
    <mergeCell ref="D27:D28"/>
    <mergeCell ref="E27:E28"/>
    <mergeCell ref="F27:F28"/>
    <mergeCell ref="G27:G28"/>
    <mergeCell ref="H27:H28"/>
    <mergeCell ref="I27:I28"/>
    <mergeCell ref="J27:J28"/>
    <mergeCell ref="K27:K28"/>
    <mergeCell ref="L27:O28"/>
    <mergeCell ref="B1:R1"/>
    <mergeCell ref="B2:C2"/>
    <mergeCell ref="D2:E2"/>
    <mergeCell ref="F2:G2"/>
    <mergeCell ref="H2:N2"/>
    <mergeCell ref="P2:R2"/>
    <mergeCell ref="B7:B24"/>
    <mergeCell ref="C7:C22"/>
    <mergeCell ref="D15:D16"/>
    <mergeCell ref="E15:E16"/>
    <mergeCell ref="F15:F16"/>
    <mergeCell ref="G15:G16"/>
    <mergeCell ref="H15:H16"/>
    <mergeCell ref="I15:I16"/>
    <mergeCell ref="J15:J16"/>
    <mergeCell ref="L15:O15"/>
    <mergeCell ref="Q15:Q16"/>
    <mergeCell ref="R9:R10"/>
    <mergeCell ref="D11:D12"/>
    <mergeCell ref="E11:E12"/>
    <mergeCell ref="F11:F12"/>
    <mergeCell ref="D17:D18"/>
    <mergeCell ref="E17:E18"/>
    <mergeCell ref="X5:X6"/>
    <mergeCell ref="B3:C3"/>
    <mergeCell ref="D3:R3"/>
    <mergeCell ref="B4:C4"/>
    <mergeCell ref="D4:R4"/>
    <mergeCell ref="T4:X4"/>
    <mergeCell ref="B5:R5"/>
    <mergeCell ref="T5:T6"/>
    <mergeCell ref="U5:U6"/>
    <mergeCell ref="V5:V6"/>
    <mergeCell ref="W5:W6"/>
    <mergeCell ref="V7:V8"/>
    <mergeCell ref="D7:D8"/>
    <mergeCell ref="E7:E8"/>
    <mergeCell ref="W7:W8"/>
    <mergeCell ref="X7:X8"/>
    <mergeCell ref="D9:D10"/>
    <mergeCell ref="E9:E10"/>
    <mergeCell ref="F9:F10"/>
    <mergeCell ref="G9:G10"/>
    <mergeCell ref="H9:H10"/>
    <mergeCell ref="I9:I10"/>
    <mergeCell ref="J9:J10"/>
    <mergeCell ref="Q9:Q10"/>
    <mergeCell ref="Q7:Q8"/>
    <mergeCell ref="R7:R8"/>
    <mergeCell ref="S7:S8"/>
    <mergeCell ref="T7:T8"/>
    <mergeCell ref="U7:U8"/>
    <mergeCell ref="F7:F8"/>
    <mergeCell ref="G7:G8"/>
    <mergeCell ref="H7:H8"/>
    <mergeCell ref="I7:I8"/>
    <mergeCell ref="J7:J8"/>
    <mergeCell ref="X9:X10"/>
    <mergeCell ref="Q17:Q18"/>
    <mergeCell ref="R17:R18"/>
    <mergeCell ref="L18:O18"/>
    <mergeCell ref="S9:S10"/>
    <mergeCell ref="T9:T10"/>
    <mergeCell ref="U9:U10"/>
    <mergeCell ref="V9:V10"/>
    <mergeCell ref="W9:W10"/>
    <mergeCell ref="Q13:Q14"/>
    <mergeCell ref="R13:R14"/>
    <mergeCell ref="T13:T14"/>
    <mergeCell ref="U13:U14"/>
    <mergeCell ref="V13:V14"/>
    <mergeCell ref="V11:V12"/>
    <mergeCell ref="W13:W14"/>
    <mergeCell ref="W11:W12"/>
    <mergeCell ref="W15:W16"/>
    <mergeCell ref="C23:C24"/>
    <mergeCell ref="D23:D24"/>
    <mergeCell ref="E23:E24"/>
    <mergeCell ref="F23:F24"/>
    <mergeCell ref="G23:G24"/>
    <mergeCell ref="H23:H24"/>
    <mergeCell ref="I23:I24"/>
    <mergeCell ref="J23:J24"/>
    <mergeCell ref="Q21:Q22"/>
    <mergeCell ref="D21:D22"/>
    <mergeCell ref="E21:E22"/>
    <mergeCell ref="F21:F22"/>
    <mergeCell ref="G21:G22"/>
    <mergeCell ref="H21:H22"/>
    <mergeCell ref="I21:I22"/>
    <mergeCell ref="J21:J22"/>
    <mergeCell ref="L21:O22"/>
    <mergeCell ref="K21:K22"/>
    <mergeCell ref="P21:P22"/>
    <mergeCell ref="W23:W24"/>
    <mergeCell ref="X23:X24"/>
    <mergeCell ref="L25:P25"/>
    <mergeCell ref="Q25:R25"/>
    <mergeCell ref="Q23:Q24"/>
    <mergeCell ref="R23:R24"/>
    <mergeCell ref="S23:S24"/>
    <mergeCell ref="T23:T24"/>
    <mergeCell ref="U23:U24"/>
    <mergeCell ref="V23:V24"/>
    <mergeCell ref="X21:X22"/>
    <mergeCell ref="R21:R22"/>
    <mergeCell ref="T21:T22"/>
    <mergeCell ref="U21:U22"/>
    <mergeCell ref="V21:V22"/>
    <mergeCell ref="W21:W22"/>
    <mergeCell ref="J19:J20"/>
    <mergeCell ref="L19:O19"/>
    <mergeCell ref="Q19:Q20"/>
    <mergeCell ref="R19:R20"/>
    <mergeCell ref="T19:T20"/>
    <mergeCell ref="U19:U20"/>
    <mergeCell ref="V19:V20"/>
    <mergeCell ref="W19:W20"/>
    <mergeCell ref="X19:X20"/>
    <mergeCell ref="L20:O20"/>
    <mergeCell ref="X11:X12"/>
    <mergeCell ref="L12:O12"/>
    <mergeCell ref="D13:D14"/>
    <mergeCell ref="E13:E14"/>
    <mergeCell ref="F13:F14"/>
    <mergeCell ref="G13:G14"/>
    <mergeCell ref="H13:H14"/>
    <mergeCell ref="I13:I14"/>
    <mergeCell ref="J13:J14"/>
    <mergeCell ref="K13:K14"/>
    <mergeCell ref="P13:P14"/>
    <mergeCell ref="G11:G12"/>
    <mergeCell ref="H11:H12"/>
    <mergeCell ref="I11:I12"/>
    <mergeCell ref="J11:J12"/>
    <mergeCell ref="L11:O11"/>
    <mergeCell ref="Q11:Q12"/>
    <mergeCell ref="R11:R12"/>
    <mergeCell ref="T11:T12"/>
    <mergeCell ref="U11:U12"/>
    <mergeCell ref="L13:O14"/>
    <mergeCell ref="X15:X16"/>
    <mergeCell ref="X13:X14"/>
    <mergeCell ref="D19:D20"/>
    <mergeCell ref="E19:E20"/>
    <mergeCell ref="F19:F20"/>
    <mergeCell ref="G19:G20"/>
    <mergeCell ref="H19:H20"/>
    <mergeCell ref="I19:I20"/>
    <mergeCell ref="W17:W18"/>
    <mergeCell ref="X17:X18"/>
    <mergeCell ref="I17:I18"/>
    <mergeCell ref="F17:F18"/>
    <mergeCell ref="G17:G18"/>
    <mergeCell ref="H17:H18"/>
    <mergeCell ref="R15:R16"/>
    <mergeCell ref="T15:T16"/>
    <mergeCell ref="U15:U16"/>
    <mergeCell ref="V15:V16"/>
    <mergeCell ref="L16:O16"/>
    <mergeCell ref="T17:T18"/>
    <mergeCell ref="U17:U18"/>
    <mergeCell ref="V17:V18"/>
    <mergeCell ref="J17:J18"/>
    <mergeCell ref="L17:O17"/>
  </mergeCells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5C04-200D-4CEF-8598-7E2487114D4C}">
  <dimension ref="B1:X47"/>
  <sheetViews>
    <sheetView tabSelected="1" topLeftCell="A6" zoomScaleNormal="100" workbookViewId="0">
      <selection activeCell="S2" sqref="S2:S26"/>
    </sheetView>
  </sheetViews>
  <sheetFormatPr defaultColWidth="8.85546875" defaultRowHeight="12.75"/>
  <cols>
    <col min="1" max="1" width="1.5703125" style="9" customWidth="1"/>
    <col min="2" max="2" width="6.7109375" style="9" customWidth="1"/>
    <col min="3" max="3" width="7.42578125" style="9" customWidth="1"/>
    <col min="4" max="4" width="37.5703125" style="9" customWidth="1"/>
    <col min="5" max="5" width="6.85546875" style="9" bestFit="1" customWidth="1"/>
    <col min="6" max="6" width="8" style="9" bestFit="1" customWidth="1"/>
    <col min="7" max="7" width="10.7109375" style="9" bestFit="1" customWidth="1"/>
    <col min="8" max="8" width="9.7109375" style="9" bestFit="1" customWidth="1"/>
    <col min="9" max="9" width="9" style="9" bestFit="1" customWidth="1"/>
    <col min="10" max="10" width="13.28515625" style="9" bestFit="1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140625" style="10" bestFit="1" customWidth="1"/>
    <col min="17" max="18" width="8" style="10" customWidth="1"/>
    <col min="19" max="19" width="12" style="9" customWidth="1"/>
    <col min="20" max="24" width="28.140625" style="9" customWidth="1"/>
    <col min="25" max="16384" width="8.85546875" style="9"/>
  </cols>
  <sheetData>
    <row r="1" spans="2:24" ht="15.75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24">
      <c r="B2" s="101" t="s">
        <v>1</v>
      </c>
      <c r="C2" s="101"/>
      <c r="D2" s="104">
        <v>45656</v>
      </c>
      <c r="E2" s="105"/>
      <c r="F2" s="134" t="s">
        <v>2</v>
      </c>
      <c r="G2" s="135"/>
      <c r="H2" s="104">
        <v>43862</v>
      </c>
      <c r="I2" s="105"/>
      <c r="J2" s="105"/>
      <c r="K2" s="105"/>
      <c r="L2" s="105"/>
      <c r="M2" s="105"/>
      <c r="N2" s="105"/>
      <c r="O2" s="28"/>
      <c r="P2" s="108" t="s">
        <v>3</v>
      </c>
      <c r="Q2" s="108"/>
      <c r="R2" s="108"/>
    </row>
    <row r="3" spans="2:24">
      <c r="B3" s="101" t="s">
        <v>4</v>
      </c>
      <c r="C3" s="101"/>
      <c r="D3" s="103" t="s">
        <v>151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2:24">
      <c r="B4" s="102" t="s">
        <v>6</v>
      </c>
      <c r="C4" s="102"/>
      <c r="D4" s="107" t="s">
        <v>155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T4" s="81" t="s">
        <v>160</v>
      </c>
      <c r="U4" s="81"/>
      <c r="V4" s="81"/>
      <c r="W4" s="81"/>
      <c r="X4" s="81"/>
    </row>
    <row r="5" spans="2:24"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T5" s="82" t="s">
        <v>9</v>
      </c>
      <c r="U5" s="82" t="s">
        <v>10</v>
      </c>
      <c r="V5" s="82" t="s">
        <v>11</v>
      </c>
      <c r="W5" s="82" t="s">
        <v>12</v>
      </c>
      <c r="X5" s="82" t="s">
        <v>13</v>
      </c>
    </row>
    <row r="6" spans="2:24" s="12" customFormat="1" ht="38.2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82"/>
      <c r="U6" s="82"/>
      <c r="V6" s="82"/>
      <c r="W6" s="82"/>
      <c r="X6" s="82"/>
    </row>
    <row r="7" spans="2:24" s="11" customFormat="1" ht="19.899999999999999" customHeight="1">
      <c r="B7" s="116" t="s">
        <v>126</v>
      </c>
      <c r="C7" s="109" t="s">
        <v>127</v>
      </c>
      <c r="D7" s="214" t="s">
        <v>96</v>
      </c>
      <c r="E7" s="89" t="s">
        <v>34</v>
      </c>
      <c r="F7" s="83" t="s">
        <v>52</v>
      </c>
      <c r="G7" s="89">
        <v>0.1</v>
      </c>
      <c r="H7" s="95" t="s">
        <v>53</v>
      </c>
      <c r="I7" s="83" t="s">
        <v>61</v>
      </c>
      <c r="J7" s="152"/>
      <c r="K7" s="40" t="s">
        <v>38</v>
      </c>
      <c r="L7" s="74">
        <v>42436085</v>
      </c>
      <c r="M7" s="43">
        <v>65000000</v>
      </c>
      <c r="N7" s="43"/>
      <c r="O7" s="43"/>
      <c r="P7" s="75">
        <f>SUM(L7:O7)</f>
        <v>107436085</v>
      </c>
      <c r="Q7" s="83"/>
      <c r="R7" s="81">
        <f>Q7*G7</f>
        <v>0</v>
      </c>
      <c r="S7" s="86"/>
      <c r="T7" s="157" t="s">
        <v>97</v>
      </c>
      <c r="U7" s="88" t="s">
        <v>98</v>
      </c>
      <c r="V7" s="159" t="s">
        <v>99</v>
      </c>
      <c r="W7" s="87" t="s">
        <v>100</v>
      </c>
      <c r="X7" s="87" t="s">
        <v>101</v>
      </c>
    </row>
    <row r="8" spans="2:24" s="11" customFormat="1" ht="19.899999999999999" customHeight="1">
      <c r="B8" s="109"/>
      <c r="C8" s="109"/>
      <c r="D8" s="214"/>
      <c r="E8" s="83"/>
      <c r="F8" s="83"/>
      <c r="G8" s="83"/>
      <c r="H8" s="96"/>
      <c r="I8" s="83"/>
      <c r="J8" s="153"/>
      <c r="K8" s="40" t="s">
        <v>43</v>
      </c>
      <c r="L8" s="61">
        <v>90000000</v>
      </c>
      <c r="M8" s="61">
        <v>90000000</v>
      </c>
      <c r="N8" s="61">
        <v>90000000</v>
      </c>
      <c r="O8" s="61">
        <v>90000000</v>
      </c>
      <c r="P8" s="62" t="s">
        <v>161</v>
      </c>
      <c r="Q8" s="83"/>
      <c r="R8" s="81"/>
      <c r="S8" s="86"/>
      <c r="T8" s="158"/>
      <c r="U8" s="88"/>
      <c r="V8" s="160"/>
      <c r="W8" s="88"/>
      <c r="X8" s="88"/>
    </row>
    <row r="9" spans="2:24" s="11" customFormat="1" ht="19.899999999999999" customHeight="1">
      <c r="B9" s="109"/>
      <c r="C9" s="109"/>
      <c r="D9" s="217" t="s">
        <v>59</v>
      </c>
      <c r="E9" s="89" t="s">
        <v>34</v>
      </c>
      <c r="F9" s="83" t="s">
        <v>52</v>
      </c>
      <c r="G9" s="89">
        <v>0.08</v>
      </c>
      <c r="H9" s="95" t="s">
        <v>60</v>
      </c>
      <c r="I9" s="83" t="s">
        <v>61</v>
      </c>
      <c r="J9" s="141"/>
      <c r="K9" s="25" t="s">
        <v>38</v>
      </c>
      <c r="L9" s="63">
        <v>0.8</v>
      </c>
      <c r="M9" s="63">
        <v>0.81</v>
      </c>
      <c r="N9" s="63"/>
      <c r="O9" s="63"/>
      <c r="P9" s="64">
        <f>AVERAGE(L9:O9)</f>
        <v>0.80500000000000005</v>
      </c>
      <c r="Q9" s="83"/>
      <c r="R9" s="81">
        <f>Q9*G9</f>
        <v>0</v>
      </c>
      <c r="S9" s="86"/>
      <c r="T9" s="89" t="s">
        <v>103</v>
      </c>
      <c r="U9" s="85" t="s">
        <v>104</v>
      </c>
      <c r="V9" s="85" t="s">
        <v>105</v>
      </c>
      <c r="W9" s="85" t="s">
        <v>75</v>
      </c>
      <c r="X9" s="85" t="s">
        <v>75</v>
      </c>
    </row>
    <row r="10" spans="2:24" s="11" customFormat="1" ht="19.899999999999999" customHeight="1">
      <c r="B10" s="109"/>
      <c r="C10" s="109"/>
      <c r="D10" s="218"/>
      <c r="E10" s="83"/>
      <c r="F10" s="83"/>
      <c r="G10" s="83"/>
      <c r="H10" s="96"/>
      <c r="I10" s="83"/>
      <c r="J10" s="142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83"/>
      <c r="R10" s="81"/>
      <c r="S10" s="86"/>
      <c r="T10" s="89"/>
      <c r="U10" s="85"/>
      <c r="V10" s="85"/>
      <c r="W10" s="85"/>
      <c r="X10" s="85"/>
    </row>
    <row r="11" spans="2:24" s="11" customFormat="1" ht="19.899999999999999" customHeight="1">
      <c r="B11" s="109"/>
      <c r="C11" s="109"/>
      <c r="D11" s="143" t="s">
        <v>128</v>
      </c>
      <c r="E11" s="89" t="s">
        <v>34</v>
      </c>
      <c r="F11" s="83" t="s">
        <v>35</v>
      </c>
      <c r="G11" s="89">
        <v>0.08</v>
      </c>
      <c r="H11" s="95" t="s">
        <v>129</v>
      </c>
      <c r="I11" s="83" t="s">
        <v>162</v>
      </c>
      <c r="J11" s="130"/>
      <c r="K11" s="25" t="s">
        <v>38</v>
      </c>
      <c r="L11" s="206">
        <v>28</v>
      </c>
      <c r="M11" s="207"/>
      <c r="N11" s="206"/>
      <c r="O11" s="207"/>
      <c r="P11" s="76">
        <f>L11</f>
        <v>28</v>
      </c>
      <c r="Q11" s="83"/>
      <c r="R11" s="81">
        <f>Q11*G11</f>
        <v>0</v>
      </c>
      <c r="S11" s="26"/>
      <c r="T11" s="89" t="s">
        <v>163</v>
      </c>
      <c r="U11" s="85" t="s">
        <v>164</v>
      </c>
      <c r="V11" s="85" t="s">
        <v>165</v>
      </c>
      <c r="W11" s="85" t="s">
        <v>166</v>
      </c>
      <c r="X11" s="85" t="s">
        <v>75</v>
      </c>
    </row>
    <row r="12" spans="2:24" s="11" customFormat="1" ht="19.899999999999999" customHeight="1">
      <c r="B12" s="109"/>
      <c r="C12" s="109"/>
      <c r="D12" s="144"/>
      <c r="E12" s="83"/>
      <c r="F12" s="83"/>
      <c r="G12" s="83"/>
      <c r="H12" s="96"/>
      <c r="I12" s="83"/>
      <c r="J12" s="131"/>
      <c r="K12" s="40" t="s">
        <v>43</v>
      </c>
      <c r="L12" s="206">
        <v>18</v>
      </c>
      <c r="M12" s="207"/>
      <c r="N12" s="206">
        <v>18</v>
      </c>
      <c r="O12" s="207"/>
      <c r="P12" s="77">
        <v>18</v>
      </c>
      <c r="Q12" s="83"/>
      <c r="R12" s="81"/>
      <c r="S12" s="26"/>
      <c r="T12" s="89"/>
      <c r="U12" s="85"/>
      <c r="V12" s="85"/>
      <c r="W12" s="85"/>
      <c r="X12" s="85"/>
    </row>
    <row r="13" spans="2:24" s="11" customFormat="1" ht="19.899999999999999" customHeight="1">
      <c r="B13" s="109"/>
      <c r="C13" s="109"/>
      <c r="D13" s="143" t="s">
        <v>135</v>
      </c>
      <c r="E13" s="171" t="s">
        <v>117</v>
      </c>
      <c r="F13" s="172"/>
      <c r="G13" s="171"/>
      <c r="H13" s="168" t="s">
        <v>136</v>
      </c>
      <c r="I13" s="172" t="s">
        <v>162</v>
      </c>
      <c r="J13" s="166"/>
      <c r="K13" s="215" t="s">
        <v>38</v>
      </c>
      <c r="L13" s="208">
        <f>221-160</f>
        <v>61</v>
      </c>
      <c r="M13" s="209"/>
      <c r="N13" s="208"/>
      <c r="O13" s="209"/>
      <c r="P13" s="219">
        <v>0</v>
      </c>
      <c r="Q13" s="172"/>
      <c r="R13" s="188"/>
      <c r="S13" s="26"/>
      <c r="T13" s="89"/>
      <c r="U13" s="85"/>
      <c r="V13" s="85"/>
      <c r="W13" s="85"/>
      <c r="X13" s="85"/>
    </row>
    <row r="14" spans="2:24" s="11" customFormat="1" ht="19.899999999999999" customHeight="1">
      <c r="B14" s="109"/>
      <c r="C14" s="109"/>
      <c r="D14" s="144"/>
      <c r="E14" s="172"/>
      <c r="F14" s="172"/>
      <c r="G14" s="172"/>
      <c r="H14" s="169"/>
      <c r="I14" s="172"/>
      <c r="J14" s="167"/>
      <c r="K14" s="216"/>
      <c r="L14" s="210"/>
      <c r="M14" s="211"/>
      <c r="N14" s="210"/>
      <c r="O14" s="211"/>
      <c r="P14" s="219"/>
      <c r="Q14" s="172"/>
      <c r="R14" s="188"/>
      <c r="S14" s="26"/>
      <c r="T14" s="89"/>
      <c r="U14" s="85"/>
      <c r="V14" s="85"/>
      <c r="W14" s="85"/>
      <c r="X14" s="85"/>
    </row>
    <row r="15" spans="2:24" s="11" customFormat="1" ht="19.899999999999999" customHeight="1">
      <c r="B15" s="109"/>
      <c r="C15" s="109"/>
      <c r="D15" s="143" t="s">
        <v>137</v>
      </c>
      <c r="E15" s="171" t="s">
        <v>34</v>
      </c>
      <c r="F15" s="83" t="s">
        <v>35</v>
      </c>
      <c r="G15" s="89">
        <v>0.12</v>
      </c>
      <c r="H15" s="95" t="s">
        <v>136</v>
      </c>
      <c r="I15" s="83" t="s">
        <v>162</v>
      </c>
      <c r="J15" s="130"/>
      <c r="K15" s="25" t="s">
        <v>38</v>
      </c>
      <c r="L15" s="206">
        <v>110</v>
      </c>
      <c r="M15" s="207"/>
      <c r="N15" s="206"/>
      <c r="O15" s="207"/>
      <c r="P15" s="76">
        <f>L15</f>
        <v>110</v>
      </c>
      <c r="Q15" s="83"/>
      <c r="R15" s="81">
        <f>Q15*G15</f>
        <v>0</v>
      </c>
      <c r="S15" s="26"/>
      <c r="T15" s="89" t="s">
        <v>167</v>
      </c>
      <c r="U15" s="85" t="s">
        <v>168</v>
      </c>
      <c r="V15" s="85" t="s">
        <v>169</v>
      </c>
      <c r="W15" s="85" t="s">
        <v>170</v>
      </c>
      <c r="X15" s="85" t="s">
        <v>171</v>
      </c>
    </row>
    <row r="16" spans="2:24" s="11" customFormat="1" ht="19.899999999999999" customHeight="1">
      <c r="B16" s="109"/>
      <c r="C16" s="109"/>
      <c r="D16" s="144"/>
      <c r="E16" s="172"/>
      <c r="F16" s="83"/>
      <c r="G16" s="83"/>
      <c r="H16" s="96"/>
      <c r="I16" s="83"/>
      <c r="J16" s="131"/>
      <c r="K16" s="25" t="s">
        <v>43</v>
      </c>
      <c r="L16" s="206">
        <v>210</v>
      </c>
      <c r="M16" s="207"/>
      <c r="N16" s="206">
        <v>210</v>
      </c>
      <c r="O16" s="207"/>
      <c r="P16" s="76">
        <v>420</v>
      </c>
      <c r="Q16" s="83"/>
      <c r="R16" s="81"/>
      <c r="S16" s="26"/>
      <c r="T16" s="89"/>
      <c r="U16" s="85"/>
      <c r="V16" s="85"/>
      <c r="W16" s="85"/>
      <c r="X16" s="85"/>
    </row>
    <row r="17" spans="2:24" s="11" customFormat="1" ht="16.149999999999999" customHeight="1">
      <c r="B17" s="109"/>
      <c r="C17" s="109"/>
      <c r="D17" s="212" t="s">
        <v>150</v>
      </c>
      <c r="E17" s="168" t="s">
        <v>117</v>
      </c>
      <c r="F17" s="168"/>
      <c r="G17" s="168"/>
      <c r="H17" s="168"/>
      <c r="I17" s="168" t="s">
        <v>118</v>
      </c>
      <c r="J17" s="166"/>
      <c r="K17" s="168" t="s">
        <v>38</v>
      </c>
      <c r="L17" s="222"/>
      <c r="M17" s="223"/>
      <c r="N17" s="223"/>
      <c r="O17" s="223"/>
      <c r="P17" s="224"/>
      <c r="Q17" s="181"/>
      <c r="R17" s="181"/>
      <c r="S17" s="86"/>
      <c r="T17" s="161"/>
      <c r="U17" s="85"/>
      <c r="V17" s="85"/>
      <c r="W17" s="85"/>
      <c r="X17" s="85"/>
    </row>
    <row r="18" spans="2:24" s="11" customFormat="1" ht="16.149999999999999" customHeight="1">
      <c r="B18" s="109"/>
      <c r="C18" s="109"/>
      <c r="D18" s="213"/>
      <c r="E18" s="169"/>
      <c r="F18" s="169"/>
      <c r="G18" s="169"/>
      <c r="H18" s="169"/>
      <c r="I18" s="169"/>
      <c r="J18" s="167"/>
      <c r="K18" s="169"/>
      <c r="L18" s="222"/>
      <c r="M18" s="223"/>
      <c r="N18" s="223"/>
      <c r="O18" s="223"/>
      <c r="P18" s="224"/>
      <c r="Q18" s="169"/>
      <c r="R18" s="169"/>
      <c r="S18" s="86"/>
      <c r="T18" s="161"/>
      <c r="U18" s="85"/>
      <c r="V18" s="85"/>
      <c r="W18" s="85"/>
      <c r="X18" s="85"/>
    </row>
    <row r="19" spans="2:24" s="11" customFormat="1" ht="16.149999999999999" customHeight="1">
      <c r="B19" s="109"/>
      <c r="C19" s="109"/>
      <c r="D19" s="212" t="s">
        <v>157</v>
      </c>
      <c r="E19" s="89" t="s">
        <v>34</v>
      </c>
      <c r="F19" s="83" t="s">
        <v>35</v>
      </c>
      <c r="G19" s="89">
        <v>0.08</v>
      </c>
      <c r="H19" s="95" t="s">
        <v>36</v>
      </c>
      <c r="I19" s="168" t="s">
        <v>162</v>
      </c>
      <c r="J19" s="83"/>
      <c r="K19" s="25" t="s">
        <v>38</v>
      </c>
      <c r="L19" s="206">
        <v>11</v>
      </c>
      <c r="M19" s="207"/>
      <c r="N19" s="206"/>
      <c r="O19" s="207"/>
      <c r="P19" s="46"/>
      <c r="Q19" s="83"/>
      <c r="R19" s="81">
        <f>Q19*G19</f>
        <v>0</v>
      </c>
      <c r="S19" s="204"/>
      <c r="T19" s="205" t="s">
        <v>172</v>
      </c>
      <c r="U19" s="205" t="s">
        <v>173</v>
      </c>
      <c r="V19" s="205" t="s">
        <v>174</v>
      </c>
      <c r="W19" s="205" t="s">
        <v>175</v>
      </c>
      <c r="X19" s="205" t="s">
        <v>176</v>
      </c>
    </row>
    <row r="20" spans="2:24" s="11" customFormat="1" ht="16.149999999999999" customHeight="1">
      <c r="B20" s="109"/>
      <c r="C20" s="109"/>
      <c r="D20" s="213"/>
      <c r="E20" s="83"/>
      <c r="F20" s="83"/>
      <c r="G20" s="83"/>
      <c r="H20" s="96"/>
      <c r="I20" s="169"/>
      <c r="J20" s="83"/>
      <c r="K20" s="25" t="s">
        <v>43</v>
      </c>
      <c r="L20" s="206">
        <v>17</v>
      </c>
      <c r="M20" s="207"/>
      <c r="N20" s="206">
        <v>18</v>
      </c>
      <c r="O20" s="207"/>
      <c r="P20" s="46">
        <v>35</v>
      </c>
      <c r="Q20" s="83"/>
      <c r="R20" s="81"/>
      <c r="S20" s="204"/>
      <c r="T20" s="205"/>
      <c r="U20" s="205"/>
      <c r="V20" s="205"/>
      <c r="W20" s="205"/>
      <c r="X20" s="205"/>
    </row>
    <row r="21" spans="2:24" s="11" customFormat="1" ht="16.149999999999999" customHeight="1">
      <c r="B21" s="109"/>
      <c r="C21" s="109"/>
      <c r="D21" s="212" t="s">
        <v>158</v>
      </c>
      <c r="E21" s="89" t="s">
        <v>34</v>
      </c>
      <c r="F21" s="83" t="s">
        <v>35</v>
      </c>
      <c r="G21" s="89">
        <v>0.08</v>
      </c>
      <c r="H21" s="95" t="s">
        <v>36</v>
      </c>
      <c r="I21" s="168" t="s">
        <v>162</v>
      </c>
      <c r="J21" s="83"/>
      <c r="K21" s="25" t="s">
        <v>38</v>
      </c>
      <c r="L21" s="206">
        <v>5</v>
      </c>
      <c r="M21" s="207"/>
      <c r="N21" s="206"/>
      <c r="O21" s="207"/>
      <c r="P21" s="46"/>
      <c r="Q21" s="83"/>
      <c r="R21" s="81">
        <f>Q21*G21</f>
        <v>0</v>
      </c>
      <c r="S21" s="204"/>
      <c r="T21" s="205" t="s">
        <v>177</v>
      </c>
      <c r="U21" s="205" t="s">
        <v>178</v>
      </c>
      <c r="V21" s="205" t="s">
        <v>179</v>
      </c>
      <c r="W21" s="205" t="s">
        <v>180</v>
      </c>
      <c r="X21" s="205" t="s">
        <v>181</v>
      </c>
    </row>
    <row r="22" spans="2:24" s="11" customFormat="1" ht="16.149999999999999" customHeight="1">
      <c r="B22" s="109"/>
      <c r="C22" s="109"/>
      <c r="D22" s="213"/>
      <c r="E22" s="83"/>
      <c r="F22" s="83"/>
      <c r="G22" s="83"/>
      <c r="H22" s="96"/>
      <c r="I22" s="169"/>
      <c r="J22" s="83"/>
      <c r="K22" s="25" t="s">
        <v>43</v>
      </c>
      <c r="L22" s="206">
        <v>14</v>
      </c>
      <c r="M22" s="207"/>
      <c r="N22" s="206">
        <v>14</v>
      </c>
      <c r="O22" s="207"/>
      <c r="P22" s="46">
        <v>28</v>
      </c>
      <c r="Q22" s="83"/>
      <c r="R22" s="81"/>
      <c r="S22" s="204"/>
      <c r="T22" s="205"/>
      <c r="U22" s="205"/>
      <c r="V22" s="205"/>
      <c r="W22" s="205"/>
      <c r="X22" s="205"/>
    </row>
    <row r="23" spans="2:24" s="11" customFormat="1" ht="19.899999999999999" customHeight="1">
      <c r="B23" s="109"/>
      <c r="C23" s="109"/>
      <c r="D23" s="93" t="s">
        <v>182</v>
      </c>
      <c r="E23" s="171" t="s">
        <v>34</v>
      </c>
      <c r="F23" s="83" t="s">
        <v>35</v>
      </c>
      <c r="G23" s="89">
        <v>0.08</v>
      </c>
      <c r="H23" s="95" t="s">
        <v>136</v>
      </c>
      <c r="I23" s="83" t="s">
        <v>162</v>
      </c>
      <c r="J23" s="130"/>
      <c r="K23" s="25" t="s">
        <v>38</v>
      </c>
      <c r="L23" s="206">
        <v>172</v>
      </c>
      <c r="M23" s="207"/>
      <c r="N23" s="206"/>
      <c r="O23" s="225"/>
      <c r="P23" s="76">
        <f>L23</f>
        <v>172</v>
      </c>
      <c r="Q23" s="83"/>
      <c r="R23" s="81">
        <f>Q23*G23</f>
        <v>0</v>
      </c>
      <c r="S23" s="26"/>
      <c r="T23" s="89" t="s">
        <v>183</v>
      </c>
      <c r="U23" s="85" t="s">
        <v>184</v>
      </c>
      <c r="V23" s="85" t="s">
        <v>185</v>
      </c>
      <c r="W23" s="85" t="s">
        <v>186</v>
      </c>
      <c r="X23" s="85" t="s">
        <v>187</v>
      </c>
    </row>
    <row r="24" spans="2:24" s="11" customFormat="1" ht="19.899999999999999" customHeight="1">
      <c r="B24" s="109"/>
      <c r="C24" s="109"/>
      <c r="D24" s="94"/>
      <c r="E24" s="172"/>
      <c r="F24" s="83"/>
      <c r="G24" s="83"/>
      <c r="H24" s="96"/>
      <c r="I24" s="83"/>
      <c r="J24" s="131"/>
      <c r="K24" s="25" t="s">
        <v>43</v>
      </c>
      <c r="L24" s="206">
        <v>315</v>
      </c>
      <c r="M24" s="207"/>
      <c r="N24" s="206">
        <v>315</v>
      </c>
      <c r="O24" s="207"/>
      <c r="P24" s="71">
        <v>630</v>
      </c>
      <c r="Q24" s="83"/>
      <c r="R24" s="81"/>
      <c r="S24" s="26"/>
      <c r="T24" s="89"/>
      <c r="U24" s="85"/>
      <c r="V24" s="85"/>
      <c r="W24" s="85"/>
      <c r="X24" s="85"/>
    </row>
    <row r="25" spans="2:24" s="11" customFormat="1" ht="19.899999999999999" customHeight="1">
      <c r="B25" s="109"/>
      <c r="C25" s="109"/>
      <c r="D25" s="93" t="s">
        <v>159</v>
      </c>
      <c r="E25" s="171" t="s">
        <v>34</v>
      </c>
      <c r="F25" s="83" t="s">
        <v>35</v>
      </c>
      <c r="G25" s="89">
        <v>0.06</v>
      </c>
      <c r="H25" s="95" t="s">
        <v>136</v>
      </c>
      <c r="I25" s="83" t="s">
        <v>37</v>
      </c>
      <c r="J25" s="130"/>
      <c r="K25" s="25" t="s">
        <v>38</v>
      </c>
      <c r="L25" s="206">
        <v>194</v>
      </c>
      <c r="M25" s="207"/>
      <c r="N25" s="206"/>
      <c r="O25" s="225"/>
      <c r="P25" s="76">
        <f>L25</f>
        <v>194</v>
      </c>
      <c r="Q25" s="83"/>
      <c r="R25" s="81">
        <f>Q25*G25</f>
        <v>0</v>
      </c>
      <c r="S25" s="78"/>
      <c r="T25" s="89" t="s">
        <v>188</v>
      </c>
      <c r="U25" s="85" t="s">
        <v>189</v>
      </c>
      <c r="V25" s="85" t="s">
        <v>190</v>
      </c>
      <c r="W25" s="85" t="s">
        <v>191</v>
      </c>
      <c r="X25" s="85" t="s">
        <v>192</v>
      </c>
    </row>
    <row r="26" spans="2:24" s="11" customFormat="1" ht="19.899999999999999" customHeight="1">
      <c r="B26" s="109"/>
      <c r="C26" s="109"/>
      <c r="D26" s="94"/>
      <c r="E26" s="172"/>
      <c r="F26" s="83"/>
      <c r="G26" s="83"/>
      <c r="H26" s="96"/>
      <c r="I26" s="83"/>
      <c r="J26" s="131"/>
      <c r="K26" s="25" t="s">
        <v>43</v>
      </c>
      <c r="L26" s="226">
        <v>630</v>
      </c>
      <c r="M26" s="227"/>
      <c r="N26" s="226">
        <v>630</v>
      </c>
      <c r="O26" s="227"/>
      <c r="P26" s="71">
        <v>1260</v>
      </c>
      <c r="Q26" s="83"/>
      <c r="R26" s="81"/>
      <c r="S26" s="26"/>
      <c r="T26" s="89"/>
      <c r="U26" s="85"/>
      <c r="V26" s="85"/>
      <c r="W26" s="85"/>
      <c r="X26" s="85"/>
    </row>
    <row r="27" spans="2:24" s="11" customFormat="1" ht="19.899999999999999" customHeight="1">
      <c r="B27" s="109"/>
      <c r="C27" s="109"/>
      <c r="D27" s="220" t="s">
        <v>107</v>
      </c>
      <c r="E27" s="89" t="s">
        <v>34</v>
      </c>
      <c r="F27" s="83" t="s">
        <v>35</v>
      </c>
      <c r="G27" s="89">
        <v>0.1</v>
      </c>
      <c r="H27" s="95" t="s">
        <v>60</v>
      </c>
      <c r="I27" s="83" t="s">
        <v>162</v>
      </c>
      <c r="J27" s="130"/>
      <c r="K27" s="25" t="s">
        <v>38</v>
      </c>
      <c r="L27" s="228">
        <f>140/220</f>
        <v>0.63636363636363635</v>
      </c>
      <c r="M27" s="207"/>
      <c r="N27" s="206"/>
      <c r="O27" s="225"/>
      <c r="P27" s="67">
        <f>L27</f>
        <v>0.63636363636363635</v>
      </c>
      <c r="Q27" s="83"/>
      <c r="R27" s="81">
        <f>Q27*G27</f>
        <v>0</v>
      </c>
      <c r="S27" s="26"/>
      <c r="T27" s="89" t="s">
        <v>109</v>
      </c>
      <c r="U27" s="85" t="s">
        <v>110</v>
      </c>
      <c r="V27" s="85" t="s">
        <v>111</v>
      </c>
      <c r="W27" s="85" t="s">
        <v>112</v>
      </c>
      <c r="X27" s="85" t="s">
        <v>146</v>
      </c>
    </row>
    <row r="28" spans="2:24" s="11" customFormat="1" ht="19.899999999999999" customHeight="1">
      <c r="B28" s="109"/>
      <c r="C28" s="109"/>
      <c r="D28" s="221"/>
      <c r="E28" s="83"/>
      <c r="F28" s="83"/>
      <c r="G28" s="83"/>
      <c r="H28" s="96"/>
      <c r="I28" s="83"/>
      <c r="J28" s="131"/>
      <c r="K28" s="25" t="s">
        <v>43</v>
      </c>
      <c r="L28" s="206" t="s">
        <v>114</v>
      </c>
      <c r="M28" s="207"/>
      <c r="N28" s="206" t="s">
        <v>114</v>
      </c>
      <c r="O28" s="207"/>
      <c r="P28" s="71" t="s">
        <v>115</v>
      </c>
      <c r="Q28" s="83"/>
      <c r="R28" s="81"/>
      <c r="S28" s="26"/>
      <c r="T28" s="89"/>
      <c r="U28" s="85"/>
      <c r="V28" s="85"/>
      <c r="W28" s="85"/>
      <c r="X28" s="85"/>
    </row>
    <row r="29" spans="2:24" s="11" customFormat="1" ht="19.899999999999999" customHeight="1">
      <c r="B29" s="109"/>
      <c r="C29" s="109"/>
      <c r="D29" s="128" t="s">
        <v>116</v>
      </c>
      <c r="E29" s="168" t="s">
        <v>117</v>
      </c>
      <c r="F29" s="168"/>
      <c r="G29" s="168"/>
      <c r="H29" s="168"/>
      <c r="I29" s="168" t="s">
        <v>118</v>
      </c>
      <c r="J29" s="166"/>
      <c r="K29" s="168" t="s">
        <v>38</v>
      </c>
      <c r="L29" s="173"/>
      <c r="M29" s="174"/>
      <c r="N29" s="174"/>
      <c r="O29" s="175"/>
      <c r="P29" s="179"/>
      <c r="Q29" s="181"/>
      <c r="R29" s="181"/>
      <c r="S29" s="26"/>
      <c r="T29" s="126"/>
      <c r="U29" s="126"/>
      <c r="V29" s="126"/>
      <c r="W29" s="126"/>
      <c r="X29" s="126"/>
    </row>
    <row r="30" spans="2:24" s="11" customFormat="1" ht="19.899999999999999" customHeight="1">
      <c r="B30" s="109"/>
      <c r="C30" s="110"/>
      <c r="D30" s="129"/>
      <c r="E30" s="169"/>
      <c r="F30" s="169"/>
      <c r="G30" s="169"/>
      <c r="H30" s="169"/>
      <c r="I30" s="169"/>
      <c r="J30" s="167"/>
      <c r="K30" s="169"/>
      <c r="L30" s="176"/>
      <c r="M30" s="177"/>
      <c r="N30" s="177"/>
      <c r="O30" s="178"/>
      <c r="P30" s="180"/>
      <c r="Q30" s="169"/>
      <c r="R30" s="169"/>
      <c r="S30" s="26"/>
      <c r="T30" s="127"/>
      <c r="U30" s="127"/>
      <c r="V30" s="127"/>
      <c r="W30" s="127"/>
      <c r="X30" s="127"/>
    </row>
    <row r="31" spans="2:24" s="11" customFormat="1" ht="19.899999999999999" customHeight="1">
      <c r="B31" s="109"/>
      <c r="C31" s="116" t="s">
        <v>147</v>
      </c>
      <c r="D31" s="203" t="s">
        <v>72</v>
      </c>
      <c r="E31" s="171" t="s">
        <v>34</v>
      </c>
      <c r="F31" s="83" t="s">
        <v>52</v>
      </c>
      <c r="G31" s="89">
        <v>0.14000000000000001</v>
      </c>
      <c r="H31" s="95" t="s">
        <v>60</v>
      </c>
      <c r="I31" s="83" t="s">
        <v>61</v>
      </c>
      <c r="J31" s="130"/>
      <c r="K31" s="25" t="s">
        <v>38</v>
      </c>
      <c r="L31" s="64">
        <v>0.99</v>
      </c>
      <c r="M31" s="64">
        <v>1</v>
      </c>
      <c r="N31" s="64"/>
      <c r="O31" s="64"/>
      <c r="P31" s="67">
        <f>AVERAGE(L31:O31)</f>
        <v>0.995</v>
      </c>
      <c r="Q31" s="83"/>
      <c r="R31" s="81">
        <f>Q31*G31</f>
        <v>0</v>
      </c>
      <c r="S31" s="86"/>
      <c r="T31" s="161" t="s">
        <v>110</v>
      </c>
      <c r="U31" s="85" t="s">
        <v>104</v>
      </c>
      <c r="V31" s="85" t="s">
        <v>148</v>
      </c>
      <c r="W31" s="85" t="s">
        <v>149</v>
      </c>
      <c r="X31" s="85"/>
    </row>
    <row r="32" spans="2:24" s="11" customFormat="1" ht="19.899999999999999" customHeight="1">
      <c r="B32" s="109"/>
      <c r="C32" s="109"/>
      <c r="D32" s="203"/>
      <c r="E32" s="172"/>
      <c r="F32" s="83"/>
      <c r="G32" s="83"/>
      <c r="H32" s="96"/>
      <c r="I32" s="83"/>
      <c r="J32" s="131"/>
      <c r="K32" s="25" t="s">
        <v>43</v>
      </c>
      <c r="L32" s="68" t="s">
        <v>74</v>
      </c>
      <c r="M32" s="68" t="s">
        <v>74</v>
      </c>
      <c r="N32" s="68" t="s">
        <v>74</v>
      </c>
      <c r="O32" s="68" t="s">
        <v>74</v>
      </c>
      <c r="P32" s="69" t="s">
        <v>74</v>
      </c>
      <c r="Q32" s="83"/>
      <c r="R32" s="81"/>
      <c r="S32" s="86"/>
      <c r="T32" s="161"/>
      <c r="U32" s="85"/>
      <c r="V32" s="85"/>
      <c r="W32" s="85"/>
      <c r="X32" s="85"/>
    </row>
    <row r="33" spans="2:24" s="11" customFormat="1" ht="19.899999999999999" customHeight="1">
      <c r="B33" s="109"/>
      <c r="C33" s="109"/>
      <c r="D33" s="203" t="s">
        <v>193</v>
      </c>
      <c r="E33" s="168" t="s">
        <v>117</v>
      </c>
      <c r="F33" s="168"/>
      <c r="G33" s="168"/>
      <c r="H33" s="168"/>
      <c r="I33" s="168" t="s">
        <v>118</v>
      </c>
      <c r="J33" s="166"/>
      <c r="K33" s="168" t="s">
        <v>38</v>
      </c>
      <c r="L33" s="173">
        <v>3</v>
      </c>
      <c r="M33" s="174"/>
      <c r="N33" s="174"/>
      <c r="O33" s="175"/>
      <c r="P33" s="179"/>
      <c r="Q33" s="181"/>
      <c r="R33" s="181"/>
      <c r="S33" s="86"/>
      <c r="T33" s="161"/>
      <c r="U33" s="85"/>
      <c r="V33" s="85"/>
      <c r="W33" s="85"/>
      <c r="X33" s="85"/>
    </row>
    <row r="34" spans="2:24" s="11" customFormat="1" ht="19.899999999999999" customHeight="1">
      <c r="B34" s="109"/>
      <c r="C34" s="109"/>
      <c r="D34" s="203"/>
      <c r="E34" s="169"/>
      <c r="F34" s="169"/>
      <c r="G34" s="169"/>
      <c r="H34" s="169"/>
      <c r="I34" s="169"/>
      <c r="J34" s="167"/>
      <c r="K34" s="169"/>
      <c r="L34" s="176"/>
      <c r="M34" s="177"/>
      <c r="N34" s="177"/>
      <c r="O34" s="178"/>
      <c r="P34" s="180"/>
      <c r="Q34" s="169"/>
      <c r="R34" s="169"/>
      <c r="S34" s="86"/>
      <c r="T34" s="161"/>
      <c r="U34" s="85"/>
      <c r="V34" s="85"/>
      <c r="W34" s="85"/>
      <c r="X34" s="85"/>
    </row>
    <row r="35" spans="2:24" s="11" customFormat="1" ht="19.899999999999999" customHeight="1">
      <c r="B35" s="109"/>
      <c r="C35" s="109"/>
      <c r="D35" s="97" t="s">
        <v>194</v>
      </c>
      <c r="E35" s="168" t="s">
        <v>117</v>
      </c>
      <c r="F35" s="168"/>
      <c r="G35" s="168"/>
      <c r="H35" s="168"/>
      <c r="I35" s="168" t="s">
        <v>118</v>
      </c>
      <c r="J35" s="166"/>
      <c r="K35" s="168" t="s">
        <v>38</v>
      </c>
      <c r="L35" s="173">
        <v>3</v>
      </c>
      <c r="M35" s="174"/>
      <c r="N35" s="174"/>
      <c r="O35" s="175"/>
      <c r="P35" s="179"/>
      <c r="Q35" s="181"/>
      <c r="R35" s="181"/>
      <c r="S35" s="86"/>
      <c r="T35" s="161"/>
      <c r="U35" s="85"/>
      <c r="V35" s="85"/>
      <c r="W35" s="85"/>
      <c r="X35" s="85"/>
    </row>
    <row r="36" spans="2:24" s="11" customFormat="1" ht="19.899999999999999" customHeight="1">
      <c r="B36" s="109"/>
      <c r="C36" s="110"/>
      <c r="D36" s="97"/>
      <c r="E36" s="169"/>
      <c r="F36" s="169"/>
      <c r="G36" s="169"/>
      <c r="H36" s="169"/>
      <c r="I36" s="169"/>
      <c r="J36" s="167"/>
      <c r="K36" s="169"/>
      <c r="L36" s="176"/>
      <c r="M36" s="177"/>
      <c r="N36" s="177"/>
      <c r="O36" s="178"/>
      <c r="P36" s="180"/>
      <c r="Q36" s="169"/>
      <c r="R36" s="169"/>
      <c r="S36" s="86"/>
      <c r="T36" s="161"/>
      <c r="U36" s="85"/>
      <c r="V36" s="85"/>
      <c r="W36" s="85"/>
      <c r="X36" s="85"/>
    </row>
    <row r="37" spans="2:24" s="11" customFormat="1" ht="19.899999999999999" customHeight="1">
      <c r="B37" s="111" t="s">
        <v>195</v>
      </c>
      <c r="C37" s="111" t="s">
        <v>196</v>
      </c>
      <c r="D37" s="97" t="s">
        <v>197</v>
      </c>
      <c r="E37" s="171" t="s">
        <v>34</v>
      </c>
      <c r="F37" s="83" t="s">
        <v>52</v>
      </c>
      <c r="G37" s="89">
        <v>0.08</v>
      </c>
      <c r="H37" s="95" t="s">
        <v>60</v>
      </c>
      <c r="I37" s="168" t="s">
        <v>118</v>
      </c>
      <c r="J37" s="130"/>
      <c r="K37" s="25" t="s">
        <v>38</v>
      </c>
      <c r="L37" s="163">
        <v>12</v>
      </c>
      <c r="M37" s="164"/>
      <c r="N37" s="164"/>
      <c r="O37" s="164"/>
      <c r="P37" s="67"/>
      <c r="Q37" s="83"/>
      <c r="R37" s="81">
        <f>Q37*G37</f>
        <v>0</v>
      </c>
      <c r="S37" s="86"/>
      <c r="T37" s="161" t="s">
        <v>198</v>
      </c>
      <c r="U37" s="85" t="s">
        <v>199</v>
      </c>
      <c r="V37" s="112" t="s">
        <v>200</v>
      </c>
      <c r="W37" s="85" t="s">
        <v>201</v>
      </c>
      <c r="X37" s="85" t="s">
        <v>202</v>
      </c>
    </row>
    <row r="38" spans="2:24" s="11" customFormat="1" ht="19.899999999999999" customHeight="1">
      <c r="B38" s="111"/>
      <c r="C38" s="111"/>
      <c r="D38" s="97"/>
      <c r="E38" s="172"/>
      <c r="F38" s="83"/>
      <c r="G38" s="83"/>
      <c r="H38" s="96"/>
      <c r="I38" s="169"/>
      <c r="J38" s="131"/>
      <c r="K38" s="25" t="s">
        <v>43</v>
      </c>
      <c r="L38" s="163">
        <v>56</v>
      </c>
      <c r="M38" s="164"/>
      <c r="N38" s="164"/>
      <c r="O38" s="165"/>
      <c r="P38" s="71"/>
      <c r="Q38" s="83"/>
      <c r="R38" s="81"/>
      <c r="S38" s="86"/>
      <c r="T38" s="161"/>
      <c r="U38" s="85"/>
      <c r="V38" s="112"/>
      <c r="W38" s="85"/>
      <c r="X38" s="85"/>
    </row>
    <row r="39" spans="2:24" ht="27.6" customHeight="1">
      <c r="B39" s="20"/>
      <c r="C39" s="21"/>
      <c r="D39" s="21"/>
      <c r="E39" s="21"/>
      <c r="F39" s="21"/>
      <c r="G39" s="22">
        <f>SUM(G7:G38)</f>
        <v>0.99999999999999989</v>
      </c>
      <c r="H39" s="21"/>
      <c r="I39" s="21"/>
      <c r="J39" s="21"/>
      <c r="K39" s="21"/>
      <c r="L39" s="113" t="s">
        <v>76</v>
      </c>
      <c r="M39" s="113"/>
      <c r="N39" s="113"/>
      <c r="O39" s="113"/>
      <c r="P39" s="113"/>
      <c r="Q39" s="118">
        <f>+SUM(R7+R9+R11+R15+R25+R27+R37+R19+R21+R23+R31)</f>
        <v>0</v>
      </c>
      <c r="R39" s="118"/>
    </row>
    <row r="40" spans="2:24" ht="13.9" customHeight="1"/>
    <row r="41" spans="2:24" ht="13.9" customHeight="1"/>
    <row r="47" spans="2:24">
      <c r="D47" s="11"/>
    </row>
  </sheetData>
  <autoFilter ref="A6:X39" xr:uid="{E2F35C04-200D-4CEF-8598-7E2487114D4C}"/>
  <mergeCells count="302">
    <mergeCell ref="L17:P18"/>
    <mergeCell ref="J21:J22"/>
    <mergeCell ref="N19:O19"/>
    <mergeCell ref="L39:P39"/>
    <mergeCell ref="Q39:R39"/>
    <mergeCell ref="J37:J38"/>
    <mergeCell ref="Q37:Q38"/>
    <mergeCell ref="R37:R38"/>
    <mergeCell ref="Q27:Q28"/>
    <mergeCell ref="L28:M28"/>
    <mergeCell ref="N28:O28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R17:R18"/>
    <mergeCell ref="L22:M22"/>
    <mergeCell ref="N22:O22"/>
    <mergeCell ref="G29:G30"/>
    <mergeCell ref="H29:H30"/>
    <mergeCell ref="I29:I30"/>
    <mergeCell ref="S37:S38"/>
    <mergeCell ref="T37:T38"/>
    <mergeCell ref="U37:U38"/>
    <mergeCell ref="V29:V30"/>
    <mergeCell ref="J29:J30"/>
    <mergeCell ref="K29:K30"/>
    <mergeCell ref="R35:R36"/>
    <mergeCell ref="S35:S36"/>
    <mergeCell ref="T35:T36"/>
    <mergeCell ref="U35:U36"/>
    <mergeCell ref="V35:V36"/>
    <mergeCell ref="T31:T32"/>
    <mergeCell ref="U31:U32"/>
    <mergeCell ref="V31:V32"/>
    <mergeCell ref="I31:I32"/>
    <mergeCell ref="J31:J32"/>
    <mergeCell ref="Q31:Q32"/>
    <mergeCell ref="R31:R32"/>
    <mergeCell ref="E25:E26"/>
    <mergeCell ref="F25:F26"/>
    <mergeCell ref="G25:G26"/>
    <mergeCell ref="W29:W30"/>
    <mergeCell ref="X29:X30"/>
    <mergeCell ref="C37:C38"/>
    <mergeCell ref="D37:D38"/>
    <mergeCell ref="E37:E38"/>
    <mergeCell ref="F37:F38"/>
    <mergeCell ref="G37:G38"/>
    <mergeCell ref="H37:H38"/>
    <mergeCell ref="I37:I38"/>
    <mergeCell ref="L29:O30"/>
    <mergeCell ref="P29:P30"/>
    <mergeCell ref="Q29:Q30"/>
    <mergeCell ref="R29:R30"/>
    <mergeCell ref="T29:T30"/>
    <mergeCell ref="U29:U30"/>
    <mergeCell ref="V37:V38"/>
    <mergeCell ref="W37:W38"/>
    <mergeCell ref="X37:X38"/>
    <mergeCell ref="D29:D30"/>
    <mergeCell ref="E29:E30"/>
    <mergeCell ref="F29:F30"/>
    <mergeCell ref="L16:M16"/>
    <mergeCell ref="N16:O16"/>
    <mergeCell ref="L19:M19"/>
    <mergeCell ref="X25:X26"/>
    <mergeCell ref="D27:D28"/>
    <mergeCell ref="E27:E28"/>
    <mergeCell ref="F27:F28"/>
    <mergeCell ref="G27:G28"/>
    <mergeCell ref="H27:H28"/>
    <mergeCell ref="I27:I28"/>
    <mergeCell ref="J27:J28"/>
    <mergeCell ref="Q25:Q26"/>
    <mergeCell ref="R25:R26"/>
    <mergeCell ref="T25:T26"/>
    <mergeCell ref="U25:U26"/>
    <mergeCell ref="V25:V26"/>
    <mergeCell ref="W25:W26"/>
    <mergeCell ref="X27:X28"/>
    <mergeCell ref="R27:R28"/>
    <mergeCell ref="T27:T28"/>
    <mergeCell ref="U27:U28"/>
    <mergeCell ref="V27:V28"/>
    <mergeCell ref="W27:W28"/>
    <mergeCell ref="D25:D26"/>
    <mergeCell ref="J17:J18"/>
    <mergeCell ref="D19:D20"/>
    <mergeCell ref="E19:E20"/>
    <mergeCell ref="F19:F20"/>
    <mergeCell ref="G19:G20"/>
    <mergeCell ref="H19:H20"/>
    <mergeCell ref="I19:I20"/>
    <mergeCell ref="J19:J20"/>
    <mergeCell ref="I21:I22"/>
    <mergeCell ref="F21:F22"/>
    <mergeCell ref="G21:G22"/>
    <mergeCell ref="H21:H22"/>
    <mergeCell ref="D17:D18"/>
    <mergeCell ref="E17:E18"/>
    <mergeCell ref="F17:F18"/>
    <mergeCell ref="G17:G18"/>
    <mergeCell ref="H17:H18"/>
    <mergeCell ref="I17:I18"/>
    <mergeCell ref="X13:X14"/>
    <mergeCell ref="D15:D16"/>
    <mergeCell ref="E15:E16"/>
    <mergeCell ref="F15:F16"/>
    <mergeCell ref="G15:G16"/>
    <mergeCell ref="H15:H16"/>
    <mergeCell ref="I15:I16"/>
    <mergeCell ref="J15:J16"/>
    <mergeCell ref="P13:P14"/>
    <mergeCell ref="Q13:Q14"/>
    <mergeCell ref="R13:R14"/>
    <mergeCell ref="T13:T14"/>
    <mergeCell ref="U13:U14"/>
    <mergeCell ref="V13:V14"/>
    <mergeCell ref="X15:X16"/>
    <mergeCell ref="R15:R16"/>
    <mergeCell ref="T15:T16"/>
    <mergeCell ref="U15:U16"/>
    <mergeCell ref="V15:V16"/>
    <mergeCell ref="W15:W16"/>
    <mergeCell ref="D13:D14"/>
    <mergeCell ref="E13:E14"/>
    <mergeCell ref="L15:M15"/>
    <mergeCell ref="N15:O15"/>
    <mergeCell ref="S9:S10"/>
    <mergeCell ref="T9:T10"/>
    <mergeCell ref="U9:U10"/>
    <mergeCell ref="V9:V10"/>
    <mergeCell ref="W9:W10"/>
    <mergeCell ref="J9:J10"/>
    <mergeCell ref="Q9:Q10"/>
    <mergeCell ref="W11:W12"/>
    <mergeCell ref="R11:R12"/>
    <mergeCell ref="T11:T12"/>
    <mergeCell ref="U11:U12"/>
    <mergeCell ref="V11:V12"/>
    <mergeCell ref="L12:M12"/>
    <mergeCell ref="H25:H26"/>
    <mergeCell ref="I25:I26"/>
    <mergeCell ref="J25:J26"/>
    <mergeCell ref="X7:X8"/>
    <mergeCell ref="D9:D10"/>
    <mergeCell ref="E9:E10"/>
    <mergeCell ref="F9:F10"/>
    <mergeCell ref="G9:G10"/>
    <mergeCell ref="H9:H10"/>
    <mergeCell ref="I9:I10"/>
    <mergeCell ref="Q7:Q8"/>
    <mergeCell ref="R7:R8"/>
    <mergeCell ref="S7:S8"/>
    <mergeCell ref="T7:T8"/>
    <mergeCell ref="U7:U8"/>
    <mergeCell ref="V7:V8"/>
    <mergeCell ref="X11:X12"/>
    <mergeCell ref="X9:X10"/>
    <mergeCell ref="D11:D12"/>
    <mergeCell ref="E11:E12"/>
    <mergeCell ref="F11:F12"/>
    <mergeCell ref="G11:G12"/>
    <mergeCell ref="H11:H12"/>
    <mergeCell ref="I11:I12"/>
    <mergeCell ref="T4:X4"/>
    <mergeCell ref="B5:R5"/>
    <mergeCell ref="T5:T6"/>
    <mergeCell ref="U5:U6"/>
    <mergeCell ref="V5:V6"/>
    <mergeCell ref="W5:W6"/>
    <mergeCell ref="X5:X6"/>
    <mergeCell ref="V17:V18"/>
    <mergeCell ref="C7:C30"/>
    <mergeCell ref="D7:D8"/>
    <mergeCell ref="E7:E8"/>
    <mergeCell ref="F7:F8"/>
    <mergeCell ref="G7:G8"/>
    <mergeCell ref="H7:H8"/>
    <mergeCell ref="I7:I8"/>
    <mergeCell ref="J7:J8"/>
    <mergeCell ref="W7:W8"/>
    <mergeCell ref="F13:F14"/>
    <mergeCell ref="G13:G14"/>
    <mergeCell ref="H13:H14"/>
    <mergeCell ref="I13:I14"/>
    <mergeCell ref="J13:J14"/>
    <mergeCell ref="K13:K14"/>
    <mergeCell ref="W13:W14"/>
    <mergeCell ref="N20:O20"/>
    <mergeCell ref="L21:M21"/>
    <mergeCell ref="N21:O21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N12:O12"/>
    <mergeCell ref="L13:M14"/>
    <mergeCell ref="N13:O14"/>
    <mergeCell ref="L11:M11"/>
    <mergeCell ref="N11:O11"/>
    <mergeCell ref="J11:J12"/>
    <mergeCell ref="Q11:Q12"/>
    <mergeCell ref="R9:R10"/>
    <mergeCell ref="Q15:Q16"/>
    <mergeCell ref="D21:D22"/>
    <mergeCell ref="E21:E22"/>
    <mergeCell ref="W17:W18"/>
    <mergeCell ref="X17:X18"/>
    <mergeCell ref="K17:K18"/>
    <mergeCell ref="Q21:Q22"/>
    <mergeCell ref="R21:R22"/>
    <mergeCell ref="S21:S22"/>
    <mergeCell ref="T21:T22"/>
    <mergeCell ref="U21:U22"/>
    <mergeCell ref="V21:V22"/>
    <mergeCell ref="W21:W22"/>
    <mergeCell ref="X21:X22"/>
    <mergeCell ref="Q19:Q20"/>
    <mergeCell ref="R19:R20"/>
    <mergeCell ref="S19:S20"/>
    <mergeCell ref="T19:T20"/>
    <mergeCell ref="U19:U20"/>
    <mergeCell ref="V19:V20"/>
    <mergeCell ref="W19:W20"/>
    <mergeCell ref="X19:X20"/>
    <mergeCell ref="U17:U18"/>
    <mergeCell ref="Q17:Q18"/>
    <mergeCell ref="S17:S18"/>
    <mergeCell ref="T17:T18"/>
    <mergeCell ref="L20:M20"/>
    <mergeCell ref="W35:W36"/>
    <mergeCell ref="X35:X36"/>
    <mergeCell ref="B7:B36"/>
    <mergeCell ref="B37:B38"/>
    <mergeCell ref="D23:D24"/>
    <mergeCell ref="E23:E24"/>
    <mergeCell ref="F23:F24"/>
    <mergeCell ref="G23:G24"/>
    <mergeCell ref="H23:H24"/>
    <mergeCell ref="I23:I24"/>
    <mergeCell ref="J23:J24"/>
    <mergeCell ref="Q23:Q24"/>
    <mergeCell ref="R23:R24"/>
    <mergeCell ref="T23:T24"/>
    <mergeCell ref="U23:U24"/>
    <mergeCell ref="V23:V24"/>
    <mergeCell ref="W23:W24"/>
    <mergeCell ref="X23:X24"/>
    <mergeCell ref="L37:O37"/>
    <mergeCell ref="L38:O38"/>
    <mergeCell ref="D31:D32"/>
    <mergeCell ref="D35:D36"/>
    <mergeCell ref="C31:C36"/>
    <mergeCell ref="E31:E32"/>
    <mergeCell ref="E35:E36"/>
    <mergeCell ref="F35:F36"/>
    <mergeCell ref="G35:G36"/>
    <mergeCell ref="H35:H36"/>
    <mergeCell ref="I35:I36"/>
    <mergeCell ref="J35:J36"/>
    <mergeCell ref="Q35:Q36"/>
    <mergeCell ref="K35:K36"/>
    <mergeCell ref="L35:O36"/>
    <mergeCell ref="P35:P36"/>
    <mergeCell ref="W31:W32"/>
    <mergeCell ref="X31:X32"/>
    <mergeCell ref="D33:D34"/>
    <mergeCell ref="E33:E34"/>
    <mergeCell ref="F33:F34"/>
    <mergeCell ref="G33:G34"/>
    <mergeCell ref="H33:H34"/>
    <mergeCell ref="I33:I34"/>
    <mergeCell ref="J33:J34"/>
    <mergeCell ref="Q33:Q34"/>
    <mergeCell ref="R33:R34"/>
    <mergeCell ref="S33:S34"/>
    <mergeCell ref="T33:T34"/>
    <mergeCell ref="U33:U34"/>
    <mergeCell ref="V33:V34"/>
    <mergeCell ref="W33:W34"/>
    <mergeCell ref="X33:X34"/>
    <mergeCell ref="K33:K34"/>
    <mergeCell ref="L33:O34"/>
    <mergeCell ref="P33:P34"/>
    <mergeCell ref="S31:S32"/>
    <mergeCell ref="F31:F32"/>
    <mergeCell ref="G31:G32"/>
    <mergeCell ref="H31:H32"/>
  </mergeCells>
  <pageMargins left="0.7" right="0.7" top="0.75" bottom="0.75" header="0.3" footer="0.3"/>
  <pageSetup paperSize="9" orientation="portrait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99"/>
  <sheetViews>
    <sheetView topLeftCell="A30" zoomScale="40" zoomScaleNormal="40" workbookViewId="0">
      <selection activeCell="AC47" sqref="AC47"/>
    </sheetView>
  </sheetViews>
  <sheetFormatPr defaultRowHeight="15"/>
  <cols>
    <col min="2" max="2" width="3.28515625" customWidth="1"/>
    <col min="25" max="25" width="2.42578125" customWidth="1"/>
  </cols>
  <sheetData>
    <row r="2" spans="2:25" ht="15.75" thickBot="1"/>
    <row r="3" spans="2:25" ht="15.75" thickBo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2:25" ht="19.899999999999999" customHeight="1">
      <c r="B4" s="4"/>
      <c r="C4" s="247"/>
      <c r="D4" s="248"/>
      <c r="E4" s="248"/>
      <c r="F4" s="249" t="s">
        <v>203</v>
      </c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51" t="s">
        <v>204</v>
      </c>
      <c r="V4" s="251"/>
      <c r="W4" s="252"/>
      <c r="X4" s="253"/>
      <c r="Y4" s="5"/>
    </row>
    <row r="5" spans="2:25" ht="19.899999999999999" customHeight="1">
      <c r="B5" s="4"/>
      <c r="C5" s="229"/>
      <c r="D5" s="230"/>
      <c r="E5" s="23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4" t="s">
        <v>205</v>
      </c>
      <c r="V5" s="254"/>
      <c r="W5" s="255"/>
      <c r="X5" s="256"/>
      <c r="Y5" s="5"/>
    </row>
    <row r="6" spans="2:25" ht="19.899999999999999" customHeight="1">
      <c r="B6" s="4"/>
      <c r="C6" s="229"/>
      <c r="D6" s="230"/>
      <c r="E6" s="23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4" t="s">
        <v>206</v>
      </c>
      <c r="V6" s="254"/>
      <c r="W6" s="255"/>
      <c r="X6" s="256"/>
      <c r="Y6" s="5"/>
    </row>
    <row r="7" spans="2:25" ht="19.899999999999999" customHeight="1">
      <c r="B7" s="4"/>
      <c r="C7" s="229"/>
      <c r="D7" s="230"/>
      <c r="E7" s="23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4" t="s">
        <v>207</v>
      </c>
      <c r="V7" s="254"/>
      <c r="W7" s="255"/>
      <c r="X7" s="256"/>
      <c r="Y7" s="5"/>
    </row>
    <row r="8" spans="2:25">
      <c r="B8" s="4"/>
      <c r="C8" s="229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1"/>
      <c r="Y8" s="5"/>
    </row>
    <row r="9" spans="2:25" ht="40.15" customHeight="1">
      <c r="B9" s="4"/>
      <c r="C9" s="232" t="s">
        <v>76</v>
      </c>
      <c r="D9" s="233"/>
      <c r="E9" s="233"/>
      <c r="F9" s="233"/>
      <c r="G9" s="233"/>
      <c r="H9" s="233"/>
      <c r="I9" s="233"/>
      <c r="J9" s="233"/>
      <c r="K9" s="234"/>
      <c r="L9" s="245">
        <f>+'2021- ESKİ '!P19/4</f>
        <v>0.92749999999999999</v>
      </c>
      <c r="M9" s="245"/>
      <c r="N9" s="245"/>
      <c r="O9" s="245"/>
      <c r="P9" s="245"/>
      <c r="Q9" s="245"/>
      <c r="R9" s="241" t="s">
        <v>208</v>
      </c>
      <c r="S9" s="241"/>
      <c r="T9" s="241"/>
      <c r="U9" s="241" t="s">
        <v>209</v>
      </c>
      <c r="V9" s="241"/>
      <c r="W9" s="241"/>
      <c r="X9" s="31" t="s">
        <v>210</v>
      </c>
      <c r="Y9" s="5"/>
    </row>
    <row r="10" spans="2:25" ht="40.15" customHeight="1">
      <c r="B10" s="4"/>
      <c r="C10" s="235"/>
      <c r="D10" s="236"/>
      <c r="E10" s="236"/>
      <c r="F10" s="236"/>
      <c r="G10" s="236"/>
      <c r="H10" s="236"/>
      <c r="I10" s="236"/>
      <c r="J10" s="236"/>
      <c r="K10" s="237"/>
      <c r="L10" s="245"/>
      <c r="M10" s="245"/>
      <c r="N10" s="245"/>
      <c r="O10" s="245"/>
      <c r="P10" s="245"/>
      <c r="Q10" s="245"/>
      <c r="R10" s="242" t="s">
        <v>211</v>
      </c>
      <c r="S10" s="242"/>
      <c r="T10" s="242"/>
      <c r="U10" s="255" t="s">
        <v>212</v>
      </c>
      <c r="V10" s="255"/>
      <c r="W10" s="255"/>
      <c r="X10" s="32"/>
      <c r="Y10" s="5"/>
    </row>
    <row r="11" spans="2:25" ht="40.15" customHeight="1">
      <c r="B11" s="4"/>
      <c r="C11" s="235"/>
      <c r="D11" s="236"/>
      <c r="E11" s="236"/>
      <c r="F11" s="236"/>
      <c r="G11" s="236"/>
      <c r="H11" s="236"/>
      <c r="I11" s="236"/>
      <c r="J11" s="236"/>
      <c r="K11" s="237"/>
      <c r="L11" s="245"/>
      <c r="M11" s="245"/>
      <c r="N11" s="245"/>
      <c r="O11" s="245"/>
      <c r="P11" s="245"/>
      <c r="Q11" s="245"/>
      <c r="R11" s="242" t="s">
        <v>213</v>
      </c>
      <c r="S11" s="242"/>
      <c r="T11" s="242"/>
      <c r="U11" s="255" t="s">
        <v>214</v>
      </c>
      <c r="V11" s="255"/>
      <c r="W11" s="255"/>
      <c r="X11" s="32"/>
      <c r="Y11" s="5"/>
    </row>
    <row r="12" spans="2:25" ht="40.15" customHeight="1">
      <c r="B12" s="4"/>
      <c r="C12" s="235"/>
      <c r="D12" s="236"/>
      <c r="E12" s="236"/>
      <c r="F12" s="236"/>
      <c r="G12" s="236"/>
      <c r="H12" s="236"/>
      <c r="I12" s="236"/>
      <c r="J12" s="236"/>
      <c r="K12" s="237"/>
      <c r="L12" s="245"/>
      <c r="M12" s="245"/>
      <c r="N12" s="245"/>
      <c r="O12" s="245"/>
      <c r="P12" s="245"/>
      <c r="Q12" s="245"/>
      <c r="R12" s="242" t="s">
        <v>215</v>
      </c>
      <c r="S12" s="242"/>
      <c r="T12" s="242"/>
      <c r="U12" s="255" t="s">
        <v>216</v>
      </c>
      <c r="V12" s="255"/>
      <c r="W12" s="255"/>
      <c r="X12" s="32"/>
      <c r="Y12" s="5"/>
    </row>
    <row r="13" spans="2:25" ht="40.15" customHeight="1">
      <c r="B13" s="4"/>
      <c r="C13" s="238"/>
      <c r="D13" s="239"/>
      <c r="E13" s="239"/>
      <c r="F13" s="239"/>
      <c r="G13" s="239"/>
      <c r="H13" s="239"/>
      <c r="I13" s="239"/>
      <c r="J13" s="239"/>
      <c r="K13" s="240"/>
      <c r="L13" s="246"/>
      <c r="M13" s="246"/>
      <c r="N13" s="246"/>
      <c r="O13" s="246"/>
      <c r="P13" s="246"/>
      <c r="Q13" s="246"/>
      <c r="R13" s="243" t="s">
        <v>217</v>
      </c>
      <c r="S13" s="243"/>
      <c r="T13" s="243"/>
      <c r="U13" s="244" t="s">
        <v>218</v>
      </c>
      <c r="V13" s="244"/>
      <c r="W13" s="244"/>
      <c r="X13" s="33" t="s">
        <v>219</v>
      </c>
      <c r="Y13" s="5"/>
    </row>
    <row r="14" spans="2:25">
      <c r="B14" s="4"/>
      <c r="C14" s="259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1"/>
      <c r="Y14" s="5"/>
    </row>
    <row r="15" spans="2:25">
      <c r="B15" s="4"/>
      <c r="C15" s="262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4"/>
      <c r="Y15" s="5"/>
    </row>
    <row r="16" spans="2:25">
      <c r="B16" s="4"/>
      <c r="C16" s="262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4"/>
      <c r="Y16" s="5"/>
    </row>
    <row r="17" spans="2:25">
      <c r="B17" s="4"/>
      <c r="C17" s="262"/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4"/>
      <c r="Y17" s="5"/>
    </row>
    <row r="18" spans="2:25">
      <c r="B18" s="4"/>
      <c r="C18" s="262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4"/>
      <c r="Y18" s="5"/>
    </row>
    <row r="19" spans="2:25">
      <c r="B19" s="4"/>
      <c r="C19" s="262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4"/>
      <c r="Y19" s="5"/>
    </row>
    <row r="20" spans="2:25">
      <c r="B20" s="4"/>
      <c r="C20" s="262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4"/>
      <c r="Y20" s="5"/>
    </row>
    <row r="21" spans="2:25">
      <c r="B21" s="4"/>
      <c r="C21" s="262"/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4"/>
      <c r="Y21" s="5"/>
    </row>
    <row r="22" spans="2:25">
      <c r="B22" s="4"/>
      <c r="C22" s="262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4"/>
      <c r="Y22" s="5"/>
    </row>
    <row r="23" spans="2:25">
      <c r="B23" s="4"/>
      <c r="C23" s="262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4"/>
      <c r="Y23" s="5"/>
    </row>
    <row r="24" spans="2:25">
      <c r="B24" s="4"/>
      <c r="C24" s="262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4"/>
      <c r="Y24" s="5"/>
    </row>
    <row r="25" spans="2:25">
      <c r="B25" s="4"/>
      <c r="C25" s="262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4"/>
      <c r="Y25" s="5"/>
    </row>
    <row r="26" spans="2:25">
      <c r="B26" s="4"/>
      <c r="C26" s="262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4"/>
      <c r="Y26" s="5"/>
    </row>
    <row r="27" spans="2:25">
      <c r="B27" s="4"/>
      <c r="C27" s="262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4"/>
      <c r="Y27" s="5"/>
    </row>
    <row r="28" spans="2:25">
      <c r="B28" s="4"/>
      <c r="C28" s="262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4"/>
      <c r="Y28" s="5"/>
    </row>
    <row r="29" spans="2:25">
      <c r="B29" s="4"/>
      <c r="C29" s="262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4"/>
      <c r="Y29" s="5"/>
    </row>
    <row r="30" spans="2:25">
      <c r="B30" s="4"/>
      <c r="C30" s="262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4"/>
      <c r="Y30" s="5"/>
    </row>
    <row r="31" spans="2:25">
      <c r="B31" s="4"/>
      <c r="C31" s="262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4"/>
      <c r="Y31" s="5"/>
    </row>
    <row r="32" spans="2:25">
      <c r="B32" s="4"/>
      <c r="C32" s="262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4"/>
      <c r="Y32" s="5"/>
    </row>
    <row r="33" spans="2:25">
      <c r="B33" s="4"/>
      <c r="C33" s="262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4"/>
      <c r="Y33" s="5"/>
    </row>
    <row r="34" spans="2:25">
      <c r="B34" s="4"/>
      <c r="C34" s="262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4"/>
      <c r="Y34" s="5"/>
    </row>
    <row r="35" spans="2:25">
      <c r="B35" s="4"/>
      <c r="C35" s="262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4"/>
      <c r="Y35" s="5"/>
    </row>
    <row r="36" spans="2:25">
      <c r="B36" s="4"/>
      <c r="C36" s="262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4"/>
      <c r="Y36" s="5"/>
    </row>
    <row r="37" spans="2:25">
      <c r="B37" s="4"/>
      <c r="C37" s="262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4"/>
      <c r="Y37" s="5"/>
    </row>
    <row r="38" spans="2:25">
      <c r="B38" s="4"/>
      <c r="C38" s="262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4"/>
      <c r="Y38" s="5"/>
    </row>
    <row r="39" spans="2:25">
      <c r="B39" s="4"/>
      <c r="C39" s="262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4"/>
      <c r="Y39" s="5"/>
    </row>
    <row r="40" spans="2:25">
      <c r="B40" s="4"/>
      <c r="C40" s="262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4"/>
      <c r="Y40" s="5"/>
    </row>
    <row r="41" spans="2:25">
      <c r="B41" s="4"/>
      <c r="C41" s="262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4"/>
      <c r="Y41" s="5"/>
    </row>
    <row r="42" spans="2:25">
      <c r="B42" s="4"/>
      <c r="C42" s="262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4"/>
      <c r="Y42" s="5"/>
    </row>
    <row r="43" spans="2:25">
      <c r="B43" s="4"/>
      <c r="C43" s="262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4"/>
      <c r="Y43" s="5"/>
    </row>
    <row r="44" spans="2:25">
      <c r="B44" s="4"/>
      <c r="C44" s="262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4"/>
      <c r="Y44" s="5"/>
    </row>
    <row r="45" spans="2:25">
      <c r="B45" s="4"/>
      <c r="C45" s="262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4"/>
      <c r="Y45" s="5"/>
    </row>
    <row r="46" spans="2:25">
      <c r="B46" s="4"/>
      <c r="C46" s="262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4"/>
      <c r="Y46" s="5"/>
    </row>
    <row r="47" spans="2:25">
      <c r="B47" s="4"/>
      <c r="C47" s="262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4"/>
      <c r="Y47" s="5"/>
    </row>
    <row r="48" spans="2:25">
      <c r="B48" s="4"/>
      <c r="C48" s="262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4"/>
      <c r="Y48" s="5"/>
    </row>
    <row r="49" spans="2:25">
      <c r="B49" s="4"/>
      <c r="C49" s="262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4"/>
      <c r="Y49" s="5"/>
    </row>
    <row r="50" spans="2:25">
      <c r="B50" s="4"/>
      <c r="C50" s="262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4"/>
      <c r="Y50" s="5"/>
    </row>
    <row r="51" spans="2:25">
      <c r="B51" s="4"/>
      <c r="C51" s="262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4"/>
      <c r="Y51" s="5"/>
    </row>
    <row r="52" spans="2:25">
      <c r="B52" s="4"/>
      <c r="C52" s="262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4"/>
      <c r="Y52" s="5"/>
    </row>
    <row r="53" spans="2:25">
      <c r="B53" s="4"/>
      <c r="C53" s="262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4"/>
      <c r="Y53" s="5"/>
    </row>
    <row r="54" spans="2:25">
      <c r="B54" s="4"/>
      <c r="C54" s="262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4"/>
      <c r="Y54" s="5"/>
    </row>
    <row r="55" spans="2:25">
      <c r="B55" s="4"/>
      <c r="C55" s="262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4"/>
      <c r="Y55" s="5"/>
    </row>
    <row r="56" spans="2:25">
      <c r="B56" s="4"/>
      <c r="C56" s="262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4"/>
      <c r="Y56" s="5"/>
    </row>
    <row r="57" spans="2:25">
      <c r="B57" s="4"/>
      <c r="C57" s="262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4"/>
      <c r="Y57" s="5"/>
    </row>
    <row r="58" spans="2:25">
      <c r="B58" s="4"/>
      <c r="C58" s="262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4"/>
      <c r="Y58" s="5"/>
    </row>
    <row r="59" spans="2:25">
      <c r="B59" s="4"/>
      <c r="C59" s="262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4"/>
      <c r="Y59" s="5"/>
    </row>
    <row r="60" spans="2:25">
      <c r="B60" s="4"/>
      <c r="C60" s="262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4"/>
      <c r="Y60" s="5"/>
    </row>
    <row r="61" spans="2:25">
      <c r="B61" s="4"/>
      <c r="C61" s="262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4"/>
      <c r="Y61" s="5"/>
    </row>
    <row r="62" spans="2:25">
      <c r="B62" s="4"/>
      <c r="C62" s="262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4"/>
      <c r="Y62" s="5"/>
    </row>
    <row r="63" spans="2:25">
      <c r="B63" s="4"/>
      <c r="C63" s="262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4"/>
      <c r="Y63" s="5"/>
    </row>
    <row r="64" spans="2:25">
      <c r="B64" s="4"/>
      <c r="C64" s="262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4"/>
      <c r="Y64" s="5"/>
    </row>
    <row r="65" spans="2:25">
      <c r="B65" s="4"/>
      <c r="C65" s="262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4"/>
      <c r="Y65" s="5"/>
    </row>
    <row r="66" spans="2:25">
      <c r="B66" s="4"/>
      <c r="C66" s="262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4"/>
      <c r="Y66" s="5"/>
    </row>
    <row r="67" spans="2:25">
      <c r="B67" s="4"/>
      <c r="C67" s="262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4"/>
      <c r="Y67" s="5"/>
    </row>
    <row r="68" spans="2:25">
      <c r="B68" s="4"/>
      <c r="C68" s="262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4"/>
      <c r="Y68" s="5"/>
    </row>
    <row r="69" spans="2:25">
      <c r="B69" s="4"/>
      <c r="C69" s="262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4"/>
      <c r="Y69" s="5"/>
    </row>
    <row r="70" spans="2:25">
      <c r="B70" s="4"/>
      <c r="C70" s="262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4"/>
      <c r="Y70" s="5"/>
    </row>
    <row r="71" spans="2:25">
      <c r="B71" s="4"/>
      <c r="C71" s="262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4"/>
      <c r="Y71" s="5"/>
    </row>
    <row r="72" spans="2:25">
      <c r="B72" s="4"/>
      <c r="C72" s="262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4"/>
      <c r="Y72" s="5"/>
    </row>
    <row r="73" spans="2:25">
      <c r="B73" s="4"/>
      <c r="C73" s="262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4"/>
      <c r="Y73" s="5"/>
    </row>
    <row r="74" spans="2:25">
      <c r="B74" s="4"/>
      <c r="C74" s="262"/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4"/>
      <c r="Y74" s="5"/>
    </row>
    <row r="75" spans="2:25">
      <c r="B75" s="4"/>
      <c r="C75" s="262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4"/>
      <c r="Y75" s="5"/>
    </row>
    <row r="76" spans="2:25">
      <c r="B76" s="4"/>
      <c r="C76" s="262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4"/>
      <c r="Y76" s="5"/>
    </row>
    <row r="77" spans="2:25">
      <c r="B77" s="4"/>
      <c r="C77" s="262"/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4"/>
      <c r="Y77" s="5"/>
    </row>
    <row r="78" spans="2:25">
      <c r="B78" s="4"/>
      <c r="C78" s="262"/>
      <c r="D78" s="263"/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4"/>
      <c r="Y78" s="5"/>
    </row>
    <row r="79" spans="2:25">
      <c r="B79" s="4"/>
      <c r="C79" s="262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4"/>
      <c r="Y79" s="5"/>
    </row>
    <row r="80" spans="2:25">
      <c r="B80" s="4"/>
      <c r="C80" s="262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4"/>
      <c r="Y80" s="5"/>
    </row>
    <row r="81" spans="2:25">
      <c r="B81" s="4"/>
      <c r="C81" s="262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4"/>
      <c r="Y81" s="5"/>
    </row>
    <row r="82" spans="2:25">
      <c r="B82" s="4"/>
      <c r="C82" s="262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4"/>
      <c r="Y82" s="5"/>
    </row>
    <row r="83" spans="2:25">
      <c r="B83" s="4"/>
      <c r="C83" s="262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4"/>
      <c r="Y83" s="5"/>
    </row>
    <row r="84" spans="2:25">
      <c r="B84" s="4"/>
      <c r="C84" s="262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4"/>
      <c r="Y84" s="5"/>
    </row>
    <row r="85" spans="2:25">
      <c r="B85" s="4"/>
      <c r="C85" s="262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4"/>
      <c r="Y85" s="5"/>
    </row>
    <row r="86" spans="2:25">
      <c r="B86" s="4"/>
      <c r="C86" s="262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4"/>
      <c r="Y86" s="5"/>
    </row>
    <row r="87" spans="2:25">
      <c r="B87" s="4"/>
      <c r="C87" s="262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4"/>
      <c r="Y87" s="5"/>
    </row>
    <row r="88" spans="2:25">
      <c r="B88" s="4"/>
      <c r="C88" s="262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4"/>
      <c r="Y88" s="5"/>
    </row>
    <row r="89" spans="2:25">
      <c r="B89" s="4"/>
      <c r="C89" s="265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  <c r="W89" s="266"/>
      <c r="X89" s="267"/>
      <c r="Y89" s="5"/>
    </row>
    <row r="90" spans="2:25">
      <c r="B90" s="4"/>
      <c r="C90" s="34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5"/>
      <c r="Y90" s="5"/>
    </row>
    <row r="91" spans="2:25" ht="30" customHeight="1">
      <c r="B91" s="4"/>
      <c r="C91" s="34"/>
      <c r="D91" s="257" t="s">
        <v>220</v>
      </c>
      <c r="E91" s="257"/>
      <c r="F91" s="257"/>
      <c r="G91" s="257"/>
      <c r="H91" s="258">
        <v>43831</v>
      </c>
      <c r="I91" s="258"/>
      <c r="J91" s="258"/>
      <c r="K91" s="258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5"/>
      <c r="Y91" s="5"/>
    </row>
    <row r="92" spans="2:25">
      <c r="B92" s="4"/>
      <c r="C92" s="34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5"/>
      <c r="Y92" s="5"/>
    </row>
    <row r="93" spans="2:25" ht="19.899999999999999" customHeight="1">
      <c r="B93" s="4"/>
      <c r="C93" s="34"/>
      <c r="D93" s="268" t="s">
        <v>221</v>
      </c>
      <c r="E93" s="269"/>
      <c r="F93" s="269"/>
      <c r="G93" s="270"/>
      <c r="H93" s="268" t="s">
        <v>222</v>
      </c>
      <c r="I93" s="269"/>
      <c r="J93" s="269"/>
      <c r="K93" s="269"/>
      <c r="L93" s="269"/>
      <c r="M93" s="269"/>
      <c r="N93" s="269"/>
      <c r="O93" s="270"/>
      <c r="P93" s="268" t="s">
        <v>223</v>
      </c>
      <c r="Q93" s="269"/>
      <c r="R93" s="269"/>
      <c r="S93" s="269"/>
      <c r="T93" s="269"/>
      <c r="U93" s="269"/>
      <c r="V93" s="269"/>
      <c r="W93" s="270"/>
      <c r="X93" s="35"/>
      <c r="Y93" s="5"/>
    </row>
    <row r="94" spans="2:25" ht="19.899999999999999" customHeight="1">
      <c r="B94" s="4"/>
      <c r="C94" s="34"/>
      <c r="D94" s="271"/>
      <c r="E94" s="272"/>
      <c r="F94" s="272"/>
      <c r="G94" s="273"/>
      <c r="H94" s="274"/>
      <c r="I94" s="275"/>
      <c r="J94" s="275"/>
      <c r="K94" s="275"/>
      <c r="L94" s="275"/>
      <c r="M94" s="275"/>
      <c r="N94" s="275"/>
      <c r="O94" s="276"/>
      <c r="P94" s="274"/>
      <c r="Q94" s="275"/>
      <c r="R94" s="275"/>
      <c r="S94" s="275"/>
      <c r="T94" s="275"/>
      <c r="U94" s="275"/>
      <c r="V94" s="275"/>
      <c r="W94" s="276"/>
      <c r="X94" s="35"/>
      <c r="Y94" s="5"/>
    </row>
    <row r="95" spans="2:25" ht="19.899999999999999" customHeight="1">
      <c r="B95" s="4"/>
      <c r="C95" s="34"/>
      <c r="D95" s="271"/>
      <c r="E95" s="272"/>
      <c r="F95" s="272"/>
      <c r="G95" s="273"/>
      <c r="H95" s="277"/>
      <c r="I95" s="278"/>
      <c r="J95" s="278"/>
      <c r="K95" s="278"/>
      <c r="L95" s="278"/>
      <c r="M95" s="278"/>
      <c r="N95" s="278"/>
      <c r="O95" s="279"/>
      <c r="P95" s="277"/>
      <c r="Q95" s="278"/>
      <c r="R95" s="278"/>
      <c r="S95" s="278"/>
      <c r="T95" s="278"/>
      <c r="U95" s="278"/>
      <c r="V95" s="278"/>
      <c r="W95" s="279"/>
      <c r="X95" s="35"/>
      <c r="Y95" s="5"/>
    </row>
    <row r="96" spans="2:25" ht="19.899999999999999" customHeight="1">
      <c r="B96" s="4"/>
      <c r="C96" s="34"/>
      <c r="D96" s="271"/>
      <c r="E96" s="272"/>
      <c r="F96" s="272"/>
      <c r="G96" s="273"/>
      <c r="H96" s="280"/>
      <c r="I96" s="281"/>
      <c r="J96" s="281"/>
      <c r="K96" s="281"/>
      <c r="L96" s="281"/>
      <c r="M96" s="281"/>
      <c r="N96" s="281"/>
      <c r="O96" s="282"/>
      <c r="P96" s="280"/>
      <c r="Q96" s="281"/>
      <c r="R96" s="281"/>
      <c r="S96" s="281"/>
      <c r="T96" s="281"/>
      <c r="U96" s="281"/>
      <c r="V96" s="281"/>
      <c r="W96" s="282"/>
      <c r="X96" s="35"/>
      <c r="Y96" s="5"/>
    </row>
    <row r="97" spans="2:25" ht="19.899999999999999" customHeight="1">
      <c r="B97" s="4"/>
      <c r="C97" s="34"/>
      <c r="D97" s="274"/>
      <c r="E97" s="275"/>
      <c r="F97" s="275"/>
      <c r="G97" s="276"/>
      <c r="H97" s="283"/>
      <c r="I97" s="284"/>
      <c r="J97" s="284"/>
      <c r="K97" s="284"/>
      <c r="L97" s="284"/>
      <c r="M97" s="284"/>
      <c r="N97" s="284"/>
      <c r="O97" s="285"/>
      <c r="P97" s="283"/>
      <c r="Q97" s="284"/>
      <c r="R97" s="284"/>
      <c r="S97" s="284"/>
      <c r="T97" s="284"/>
      <c r="U97" s="284"/>
      <c r="V97" s="284"/>
      <c r="W97" s="285"/>
      <c r="X97" s="35"/>
      <c r="Y97" s="5"/>
    </row>
    <row r="98" spans="2:25" ht="19.899999999999999" customHeight="1" thickBot="1">
      <c r="B98" s="4"/>
      <c r="C98" s="36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8"/>
      <c r="Y98" s="5"/>
    </row>
    <row r="99" spans="2:25" ht="15.75" thickBot="1"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8"/>
    </row>
  </sheetData>
  <mergeCells count="31">
    <mergeCell ref="D93:G97"/>
    <mergeCell ref="H93:O94"/>
    <mergeCell ref="P93:W94"/>
    <mergeCell ref="H95:O97"/>
    <mergeCell ref="P95:W97"/>
    <mergeCell ref="D91:G91"/>
    <mergeCell ref="H91:K91"/>
    <mergeCell ref="U10:W10"/>
    <mergeCell ref="R11:T11"/>
    <mergeCell ref="U11:W11"/>
    <mergeCell ref="R12:T12"/>
    <mergeCell ref="U12:W12"/>
    <mergeCell ref="C14:X89"/>
    <mergeCell ref="C4:E7"/>
    <mergeCell ref="F4:T7"/>
    <mergeCell ref="U4:V4"/>
    <mergeCell ref="W4:X4"/>
    <mergeCell ref="U5:V5"/>
    <mergeCell ref="W5:X5"/>
    <mergeCell ref="U6:V6"/>
    <mergeCell ref="W6:X6"/>
    <mergeCell ref="U7:V7"/>
    <mergeCell ref="W7:X7"/>
    <mergeCell ref="C8:X8"/>
    <mergeCell ref="C9:K13"/>
    <mergeCell ref="R9:T9"/>
    <mergeCell ref="U9:W9"/>
    <mergeCell ref="R10:T10"/>
    <mergeCell ref="R13:T13"/>
    <mergeCell ref="U13:W13"/>
    <mergeCell ref="L9:Q13"/>
  </mergeCells>
  <pageMargins left="0" right="0" top="0" bottom="0" header="0.31496062992125984" footer="0.31496062992125984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2021- ESKİ </vt:lpstr>
      <vt:lpstr>2022- ESKİ </vt:lpstr>
      <vt:lpstr>2023 - ESKİ </vt:lpstr>
      <vt:lpstr>2021</vt:lpstr>
      <vt:lpstr>2022</vt:lpstr>
      <vt:lpstr>2023</vt:lpstr>
      <vt:lpstr>2024</vt:lpstr>
      <vt:lpstr>2025</vt:lpstr>
      <vt:lpstr>Grafik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Veli Can DEMİR</dc:creator>
  <cp:keywords/>
  <dc:description/>
  <cp:lastModifiedBy>KalDer Eskişehir</cp:lastModifiedBy>
  <cp:revision/>
  <dcterms:created xsi:type="dcterms:W3CDTF">2015-06-05T18:17:20Z</dcterms:created>
  <dcterms:modified xsi:type="dcterms:W3CDTF">2025-12-30T19:56:13Z</dcterms:modified>
  <cp:category/>
  <cp:contentStatus/>
</cp:coreProperties>
</file>