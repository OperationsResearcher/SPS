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PY_Cursor\SP_Belge\"/>
    </mc:Choice>
  </mc:AlternateContent>
  <xr:revisionPtr revIDLastSave="0" documentId="8_{4544D1BD-EE68-44C6-82E6-7152CC95957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BSC_Paydas_Veri" sheetId="1" state="hidden" r:id="rId1"/>
    <sheet name="2025-2027 Çalışması" sheetId="24" r:id="rId2"/>
    <sheet name="BSC_OperasyonelMükemmellik_Veri" sheetId="6" state="hidden" r:id="rId3"/>
    <sheet name="BSC_ÇalışanGelişim_Veri" sheetId="4" state="hidden" r:id="rId4"/>
    <sheet name="BSC_Finansal_Veri (2)" sheetId="12" state="hidden" r:id="rId5"/>
    <sheet name="Dikkate Alma" sheetId="5" state="hidden" r:id="rId6"/>
  </sheets>
  <definedNames>
    <definedName name="_xlnm._FilterDatabase" localSheetId="3" hidden="1">BSC_ÇalışanGelişim_Veri!$C$3:$U$81</definedName>
    <definedName name="_xlnm._FilterDatabase" localSheetId="4" hidden="1">'BSC_Finansal_Veri (2)'!$C$3:$U$29</definedName>
    <definedName name="_xlnm._FilterDatabase" localSheetId="2" hidden="1">BSC_OperasyonelMükemmellik_Veri!$C$3:$U$133</definedName>
    <definedName name="_xlnm._FilterDatabase" localSheetId="0" hidden="1">BSC_Paydas_Veri!$C$3:$U$16</definedName>
    <definedName name="_xlnm._FilterDatabase" localSheetId="5" hidden="1">'Dikkate Alma'!$C$3:$U$29</definedName>
    <definedName name="_xlnm.Print_Area" localSheetId="3">BSC_ÇalışanGelişim_Veri!$A$1:$O$237</definedName>
    <definedName name="_xlnm.Print_Area" localSheetId="4">'BSC_Finansal_Veri (2)'!$A$1:$O$172</definedName>
    <definedName name="_xlnm.Print_Area" localSheetId="2">BSC_OperasyonelMükemmellik_Veri!$A$1:$O$718</definedName>
    <definedName name="_xlnm.Print_Area" localSheetId="0">BSC_Paydas_Veri!$A$1:$O$367</definedName>
    <definedName name="_xlnm.Print_Area" localSheetId="5">'Dikkate Alma'!$A$1:$O$185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2" l="1"/>
  <c r="M16" i="12" l="1"/>
  <c r="N146" i="12" l="1"/>
  <c r="M146" i="12"/>
  <c r="N55" i="12"/>
  <c r="M55" i="12"/>
  <c r="N29" i="12"/>
  <c r="M29" i="12"/>
  <c r="N16" i="12"/>
  <c r="M171" i="12"/>
  <c r="M170" i="12"/>
  <c r="M169" i="12"/>
  <c r="M168" i="12"/>
  <c r="M167" i="12"/>
  <c r="M166" i="12"/>
  <c r="M165" i="12"/>
  <c r="M164" i="12"/>
  <c r="M163" i="12"/>
  <c r="M162" i="12"/>
  <c r="M161" i="12"/>
  <c r="M160" i="12"/>
  <c r="L94" i="5" l="1"/>
  <c r="N94" i="5"/>
  <c r="O94" i="5"/>
  <c r="M94" i="5"/>
  <c r="M289" i="1" l="1"/>
  <c r="N289" i="1"/>
  <c r="O289" i="1"/>
  <c r="L289" i="1"/>
  <c r="N146" i="1"/>
  <c r="M146" i="1"/>
  <c r="O146" i="1"/>
  <c r="L146" i="1"/>
  <c r="O198" i="5" l="1"/>
  <c r="N198" i="5"/>
  <c r="M198" i="5"/>
  <c r="L198" i="5"/>
  <c r="O185" i="5"/>
  <c r="N185" i="5"/>
  <c r="M185" i="5"/>
  <c r="L185" i="5"/>
  <c r="O172" i="5"/>
  <c r="N172" i="5"/>
  <c r="M172" i="5"/>
  <c r="L172" i="5"/>
  <c r="O159" i="5"/>
  <c r="N159" i="5"/>
  <c r="M159" i="5"/>
  <c r="L159" i="5"/>
  <c r="O146" i="5"/>
  <c r="N146" i="5"/>
  <c r="M146" i="5"/>
  <c r="L146" i="5"/>
  <c r="O133" i="5"/>
  <c r="N133" i="5"/>
  <c r="M133" i="5"/>
  <c r="L133" i="5"/>
  <c r="O120" i="5"/>
  <c r="N120" i="5"/>
  <c r="M120" i="5"/>
  <c r="L120" i="5"/>
  <c r="O107" i="5"/>
  <c r="N107" i="5"/>
  <c r="M107" i="5"/>
  <c r="L107" i="5"/>
  <c r="O81" i="5"/>
  <c r="N81" i="5"/>
  <c r="M81" i="5"/>
  <c r="L81" i="5"/>
  <c r="O68" i="5"/>
  <c r="N68" i="5"/>
  <c r="M68" i="5"/>
  <c r="L68" i="5"/>
  <c r="O55" i="5"/>
  <c r="N55" i="5"/>
  <c r="M55" i="5"/>
  <c r="L55" i="5"/>
  <c r="O42" i="5"/>
  <c r="N42" i="5"/>
  <c r="M42" i="5"/>
  <c r="L42" i="5"/>
  <c r="O29" i="5"/>
  <c r="N29" i="5"/>
  <c r="M29" i="5"/>
  <c r="L29" i="5"/>
  <c r="M16" i="5"/>
  <c r="N16" i="5"/>
  <c r="O16" i="5"/>
  <c r="L16" i="5"/>
  <c r="O81" i="4"/>
  <c r="N81" i="4"/>
  <c r="M81" i="4"/>
  <c r="L81" i="4"/>
  <c r="O68" i="4"/>
  <c r="N68" i="4"/>
  <c r="M68" i="4"/>
  <c r="L68" i="4"/>
  <c r="O55" i="4"/>
  <c r="N55" i="4"/>
  <c r="M55" i="4"/>
  <c r="L55" i="4"/>
  <c r="O42" i="4"/>
  <c r="N42" i="4"/>
  <c r="M42" i="4"/>
  <c r="L42" i="4"/>
  <c r="O29" i="4"/>
  <c r="N29" i="4"/>
  <c r="M29" i="4"/>
  <c r="L29" i="4"/>
  <c r="M16" i="4"/>
  <c r="N16" i="4"/>
  <c r="O16" i="4"/>
  <c r="L16" i="4"/>
  <c r="O354" i="6"/>
  <c r="N354" i="6"/>
  <c r="M354" i="6"/>
  <c r="L354" i="6"/>
  <c r="O341" i="6"/>
  <c r="N341" i="6"/>
  <c r="M341" i="6"/>
  <c r="L341" i="6"/>
  <c r="O328" i="6"/>
  <c r="N328" i="6"/>
  <c r="M328" i="6"/>
  <c r="L328" i="6"/>
  <c r="O315" i="6"/>
  <c r="N315" i="6"/>
  <c r="M315" i="6"/>
  <c r="L315" i="6"/>
  <c r="O302" i="6"/>
  <c r="N302" i="6"/>
  <c r="M302" i="6"/>
  <c r="L302" i="6"/>
  <c r="O289" i="6"/>
  <c r="N289" i="6"/>
  <c r="M289" i="6"/>
  <c r="L289" i="6"/>
  <c r="O276" i="6"/>
  <c r="N276" i="6"/>
  <c r="M276" i="6"/>
  <c r="L276" i="6"/>
  <c r="O263" i="6"/>
  <c r="N263" i="6"/>
  <c r="M263" i="6"/>
  <c r="L263" i="6"/>
  <c r="O250" i="6"/>
  <c r="N250" i="6"/>
  <c r="M250" i="6"/>
  <c r="L250" i="6"/>
  <c r="O237" i="6"/>
  <c r="N237" i="6"/>
  <c r="M237" i="6"/>
  <c r="L237" i="6"/>
  <c r="O224" i="6"/>
  <c r="N224" i="6"/>
  <c r="M224" i="6"/>
  <c r="L224" i="6"/>
  <c r="O211" i="6"/>
  <c r="N211" i="6"/>
  <c r="M211" i="6"/>
  <c r="L211" i="6"/>
  <c r="O198" i="6"/>
  <c r="N198" i="6"/>
  <c r="M198" i="6"/>
  <c r="L198" i="6"/>
  <c r="O185" i="6"/>
  <c r="N185" i="6"/>
  <c r="M185" i="6"/>
  <c r="L185" i="6"/>
  <c r="O172" i="6"/>
  <c r="N172" i="6"/>
  <c r="M172" i="6"/>
  <c r="L172" i="6"/>
  <c r="O159" i="6"/>
  <c r="N159" i="6"/>
  <c r="M159" i="6"/>
  <c r="L159" i="6"/>
  <c r="O146" i="6"/>
  <c r="N146" i="6"/>
  <c r="M146" i="6"/>
  <c r="L146" i="6"/>
  <c r="O133" i="6"/>
  <c r="N133" i="6"/>
  <c r="M133" i="6"/>
  <c r="L133" i="6"/>
  <c r="O120" i="6"/>
  <c r="N120" i="6"/>
  <c r="M120" i="6"/>
  <c r="L120" i="6"/>
  <c r="O107" i="6"/>
  <c r="N107" i="6"/>
  <c r="M107" i="6"/>
  <c r="L107" i="6"/>
  <c r="O94" i="6"/>
  <c r="N94" i="6"/>
  <c r="M94" i="6"/>
  <c r="L94" i="6"/>
  <c r="O81" i="6"/>
  <c r="N81" i="6"/>
  <c r="M81" i="6"/>
  <c r="L81" i="6"/>
  <c r="O68" i="6"/>
  <c r="N68" i="6"/>
  <c r="M68" i="6"/>
  <c r="L68" i="6"/>
  <c r="O55" i="6"/>
  <c r="N55" i="6"/>
  <c r="M55" i="6"/>
  <c r="L55" i="6"/>
  <c r="O42" i="6"/>
  <c r="N42" i="6"/>
  <c r="M42" i="6"/>
  <c r="L42" i="6"/>
  <c r="O29" i="6"/>
  <c r="N29" i="6"/>
  <c r="M29" i="6"/>
  <c r="L29" i="6"/>
  <c r="M16" i="6"/>
  <c r="N16" i="6"/>
  <c r="O16" i="6"/>
  <c r="L16" i="6"/>
  <c r="O367" i="1"/>
  <c r="N367" i="1"/>
  <c r="M367" i="1"/>
  <c r="L367" i="1"/>
  <c r="O354" i="1"/>
  <c r="N354" i="1"/>
  <c r="M354" i="1"/>
  <c r="L354" i="1"/>
  <c r="O341" i="1"/>
  <c r="N341" i="1"/>
  <c r="M341" i="1"/>
  <c r="L341" i="1"/>
  <c r="L328" i="1"/>
  <c r="M328" i="1"/>
  <c r="N328" i="1"/>
  <c r="O328" i="1"/>
  <c r="O315" i="1"/>
  <c r="N315" i="1"/>
  <c r="M315" i="1"/>
  <c r="L315" i="1"/>
  <c r="O302" i="1"/>
  <c r="N302" i="1"/>
  <c r="M302" i="1"/>
  <c r="L302" i="1"/>
  <c r="O276" i="1"/>
  <c r="N276" i="1"/>
  <c r="M276" i="1"/>
  <c r="L276" i="1"/>
  <c r="O263" i="1"/>
  <c r="N263" i="1"/>
  <c r="M263" i="1"/>
  <c r="L263" i="1"/>
  <c r="O250" i="1"/>
  <c r="N250" i="1"/>
  <c r="M250" i="1"/>
  <c r="L250" i="1"/>
  <c r="O237" i="1"/>
  <c r="N237" i="1"/>
  <c r="M237" i="1"/>
  <c r="L237" i="1"/>
  <c r="O224" i="1"/>
  <c r="N224" i="1"/>
  <c r="M224" i="1"/>
  <c r="L224" i="1"/>
  <c r="O211" i="1"/>
  <c r="N211" i="1"/>
  <c r="M211" i="1"/>
  <c r="L211" i="1"/>
  <c r="O198" i="1"/>
  <c r="N198" i="1"/>
  <c r="M198" i="1"/>
  <c r="L198" i="1"/>
  <c r="L185" i="1"/>
  <c r="M185" i="1"/>
  <c r="N185" i="1"/>
  <c r="O185" i="1"/>
  <c r="O172" i="1"/>
  <c r="N172" i="1"/>
  <c r="M172" i="1"/>
  <c r="L172" i="1"/>
  <c r="O159" i="1"/>
  <c r="N159" i="1"/>
  <c r="M159" i="1"/>
  <c r="L159" i="1"/>
  <c r="O133" i="1"/>
  <c r="N133" i="1"/>
  <c r="M133" i="1"/>
  <c r="L133" i="1"/>
  <c r="O120" i="1"/>
  <c r="N120" i="1"/>
  <c r="M120" i="1"/>
  <c r="L120" i="1"/>
  <c r="O107" i="1"/>
  <c r="N107" i="1"/>
  <c r="M107" i="1"/>
  <c r="L107" i="1"/>
  <c r="O94" i="1"/>
  <c r="N94" i="1"/>
  <c r="M94" i="1"/>
  <c r="L94" i="1"/>
  <c r="O81" i="1"/>
  <c r="N81" i="1"/>
  <c r="M81" i="1"/>
  <c r="L81" i="1"/>
  <c r="O68" i="1"/>
  <c r="N68" i="1"/>
  <c r="M68" i="1"/>
  <c r="L68" i="1"/>
  <c r="O55" i="1"/>
  <c r="N55" i="1"/>
  <c r="M55" i="1"/>
  <c r="L55" i="1"/>
  <c r="L42" i="1"/>
  <c r="M42" i="1"/>
  <c r="N42" i="1"/>
  <c r="O42" i="1"/>
  <c r="O29" i="1"/>
  <c r="N29" i="1"/>
  <c r="M29" i="1"/>
  <c r="L29" i="1"/>
  <c r="M16" i="1"/>
  <c r="N16" i="1"/>
  <c r="O16" i="1"/>
  <c r="L16" i="1"/>
  <c r="F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Esra Karakaş</author>
  </authors>
  <commentList>
    <comment ref="D5" authorId="0" shapeId="0" xr:uid="{6D4591EB-3F48-4412-AF5B-1125634D89E7}">
      <text>
        <r>
          <rPr>
            <b/>
            <sz val="9"/>
            <color indexed="81"/>
            <rFont val="Tahoma"/>
            <family val="2"/>
            <charset val="162"/>
          </rPr>
          <t>Esra Karakaş:</t>
        </r>
        <r>
          <rPr>
            <sz val="9"/>
            <color indexed="81"/>
            <rFont val="Tahoma"/>
            <family val="2"/>
            <charset val="162"/>
          </rPr>
          <t xml:space="preserve">
Bireysel ve şubeler bazında hedefler eklenecek </t>
        </r>
      </text>
    </comment>
  </commentList>
</comments>
</file>

<file path=xl/sharedStrings.xml><?xml version="1.0" encoding="utf-8"?>
<sst xmlns="http://schemas.openxmlformats.org/spreadsheetml/2006/main" count="2018" uniqueCount="390">
  <si>
    <t>Cumulative</t>
  </si>
  <si>
    <t>Gösterge Adı</t>
  </si>
  <si>
    <t>Gösterge Tanımı</t>
  </si>
  <si>
    <t>Formül</t>
  </si>
  <si>
    <t>Birim</t>
  </si>
  <si>
    <t>Veri Sorumlusu</t>
  </si>
  <si>
    <t>Veri Kaynağı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</si>
  <si>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</si>
  <si>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</si>
  <si>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</si>
  <si>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</si>
  <si>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</si>
  <si>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</si>
  <si>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</si>
  <si>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</si>
  <si>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</si>
  <si>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</si>
  <si>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</si>
  <si>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</si>
  <si>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Hedef</t>
  </si>
  <si>
    <t>Gösterge Sorumlusu</t>
  </si>
  <si>
    <t xml:space="preserve">Hedef </t>
  </si>
  <si>
    <t xml:space="preserve">Gerçekleşen </t>
  </si>
  <si>
    <t>PAYDAŞ</t>
  </si>
  <si>
    <t xml:space="preserve">Stratejik Hedef  </t>
  </si>
  <si>
    <t xml:space="preserve">KALDER 2014 Kurum Karnesi Veri Dosyası </t>
  </si>
  <si>
    <t>Ölçüm Sıklığı</t>
  </si>
  <si>
    <t>Gösterge Bileşenleri</t>
  </si>
  <si>
    <t xml:space="preserve">Dönem </t>
  </si>
  <si>
    <t>Kurumsal Yayılımı Artırmak</t>
  </si>
  <si>
    <t>Üye Artış Oranı</t>
  </si>
  <si>
    <t>Etkin Hizmet Sunmak</t>
  </si>
  <si>
    <t>Hizmet Memnuniyet Oranı</t>
  </si>
  <si>
    <t>Paylaşılan İyi Uygulama Sayısı</t>
  </si>
  <si>
    <t>Kamuda Mükemmellik Yönetim Yaklaşımının Yayılımını Sağlamak</t>
  </si>
  <si>
    <t>KOBİlerde Mükemmellik Yönetim Yaklaşımının Yayılımını Sağlamak</t>
  </si>
  <si>
    <t>Kurumsal Bilinirliği Artırmak</t>
  </si>
  <si>
    <t>Görsel Medyada Görünürlük Süresi</t>
  </si>
  <si>
    <t>ÇALIŞAN GELİŞİM</t>
  </si>
  <si>
    <t>Çalışanların Yetkinliklerini Geliştirmek</t>
  </si>
  <si>
    <t>ÇMA Puanı</t>
  </si>
  <si>
    <t>Hedef Gerçekleşme Performansı</t>
  </si>
  <si>
    <t>Kişi Başı Ortalama Eğitim Saati</t>
  </si>
  <si>
    <t>Kurumsal Entegrasyonu Güçlendirmek</t>
  </si>
  <si>
    <t>Bütünsel Hedef Belirleme ve Paylaşım Sistematiğinin Hayata Geçirilmesi</t>
  </si>
  <si>
    <t>  Kurum İçi Çalışma Standartlarına Uyum Oranı</t>
  </si>
  <si>
    <t xml:space="preserve"> Strateji Yönetim Takvimi Uyum Oranı</t>
  </si>
  <si>
    <t>FİNANSAL</t>
  </si>
  <si>
    <t>Gelirleri Sürdürülebilir Yönetmek</t>
  </si>
  <si>
    <t>Alacak Devir Hızı</t>
  </si>
  <si>
    <t>Gelir Artış Oranı</t>
  </si>
  <si>
    <t>İşbirliklerinin Yarattığı Katkı Payı</t>
  </si>
  <si>
    <t>Ortalama Tahsilat Süresi</t>
  </si>
  <si>
    <t>Sponsorluk Gelir Artış Oranı</t>
  </si>
  <si>
    <t>Şüpheli Alacak Oranı</t>
  </si>
  <si>
    <t>Yeni Ürün veya Hizmetlerden Elde Edilen Gelir</t>
  </si>
  <si>
    <t>Giderleri Etkin Yönetmek</t>
  </si>
  <si>
    <t>Gider Bütçesine Uyum Oranı</t>
  </si>
  <si>
    <t>OPERASYONEL MÜKEMMELLİK</t>
  </si>
  <si>
    <t>Yenilikçi Ürün ve Hizmetler Geliştirmek</t>
  </si>
  <si>
    <t>Proje Takvimine Uyum</t>
  </si>
  <si>
    <t>Sunulan Yeni Ürün / Hizmet Sayısı</t>
  </si>
  <si>
    <t>Yeni Ürün ve Hizmetlerin Kullanım Oranı</t>
  </si>
  <si>
    <t>Yeni İşbirlikleri Geliştirmek</t>
  </si>
  <si>
    <t>Potansiyel İşbirliği Yapılacak Kurum Sayısı - Kamu (Geliştirilen İşbirliği Sayısı)</t>
  </si>
  <si>
    <t>Potansiyel İşbirliği Yapılacak Kurum Sayısı - Özel İşletme (Geliştirilen İşbirliği Sayısı)</t>
  </si>
  <si>
    <t>Potansiyel İşbirliği Yapılacak Kurum Sayısı -STK (Geliştirilen İşbirliği Sayısı)</t>
  </si>
  <si>
    <t>EFQM İş Birliğinin Etkinliğini Artırmak</t>
  </si>
  <si>
    <t>EFQM Aktivitelerine Katılım</t>
  </si>
  <si>
    <t>Operasyonel Verimliliği Artırmak</t>
  </si>
  <si>
    <t>Verilen Tekliflerin Satışa Dönüş Oranı</t>
  </si>
  <si>
    <t>Ziyaret Oranı</t>
  </si>
  <si>
    <t>İrtibata Geçilen Potansiyel Müşteri Sayısı</t>
  </si>
  <si>
    <t>Belgelendirme Sayısı</t>
  </si>
  <si>
    <t>Değerlendirme Sayısı</t>
  </si>
  <si>
    <t>Etkinlik Sayısı</t>
  </si>
  <si>
    <t>Genel Katılıma Açık Eğitim Sayısı</t>
  </si>
  <si>
    <t>Kıyaslama Sayısı</t>
  </si>
  <si>
    <t>Ödül Başvuru Sayısı</t>
  </si>
  <si>
    <t>Rehberlik Sayısı</t>
  </si>
  <si>
    <t>TMME'ye Katılımcı Sayısı</t>
  </si>
  <si>
    <t>Kalitatif</t>
  </si>
  <si>
    <t>Adet</t>
  </si>
  <si>
    <t>Yüzde</t>
  </si>
  <si>
    <t>Dakika</t>
  </si>
  <si>
    <t>Puan</t>
  </si>
  <si>
    <t>Kişi / Saat</t>
  </si>
  <si>
    <t>Gün</t>
  </si>
  <si>
    <t>TL</t>
  </si>
  <si>
    <t xml:space="preserve">Ölçüm Sıklığı </t>
  </si>
  <si>
    <t xml:space="preserve">2013
</t>
  </si>
  <si>
    <t>2014
(Ölçüm Sıklığı 
Aylık ise tüm aylara, 3 aylık ise Mart-Haziran-Ağustos-Ekim-Aralık aylarına veri girişi yapılacaktır</t>
  </si>
  <si>
    <t>Yeni Üye Kaydı</t>
  </si>
  <si>
    <t>Ay</t>
  </si>
  <si>
    <t xml:space="preserve">Ay </t>
  </si>
  <si>
    <t>3 Ay</t>
  </si>
  <si>
    <t>Yıl</t>
  </si>
  <si>
    <t>6 Ay</t>
  </si>
  <si>
    <t>Gönüllü Katılımı</t>
  </si>
  <si>
    <t>Gönüllü Katkısı</t>
  </si>
  <si>
    <t>%</t>
  </si>
  <si>
    <t>0 - 5</t>
  </si>
  <si>
    <t>UKH bildirgesi imzalayan KOBİ sayısı</t>
  </si>
  <si>
    <t>KOBİ' lere verilen toplam eğitim + rehberlik + DD vd. hizmetlerin toplam gün sayısı</t>
  </si>
  <si>
    <t>Kazanılan Yeni Gönüllü Sayısı (Değerlendiriciler dahil)</t>
  </si>
  <si>
    <t>Kişi</t>
  </si>
  <si>
    <t>Strateji Yönetim Takvimi Uyum Oranı</t>
  </si>
  <si>
    <t>UKH Katılım oranı</t>
  </si>
  <si>
    <t>İnternet sitesinde yayınlanan iyi uygulama örneği</t>
  </si>
  <si>
    <t>UKH kapsamında veya Model için (Rehberlik + Özdeğerlendirme +Dış Değerlendirme + Eğitim) verilen toplam hizmet gün</t>
  </si>
  <si>
    <t>Üye anketi sonuçları</t>
  </si>
  <si>
    <t>Ürünün hayata geçirilmesi (uygulama yapılabilmesi aşamamsına gelme) için geçen fiili süre / projelendirilen veya öngörülen süre</t>
  </si>
  <si>
    <t>Hayata geçirilen bir ürün/hizmetin o dönem içinde kaç kez sunulduğu</t>
  </si>
  <si>
    <t>Yeni ürün veya hizmetler; mevcut hizmet ana başlıkları (faaliyet grubu) altında sunulan yeni ürünler (eğitim programı, yeni bir alanda rehberlik vb) veya tamamen yeni bir ürün olabilir.</t>
  </si>
  <si>
    <t>İşbirliği yapılmak üzere protokol veya sözleşme yapılan kuruluş sayısı</t>
  </si>
  <si>
    <t>İşbirliği yapılan kurulaşlar vasıtasıyla elde edilen gelirin toplamı / tüm faaliyet gelirlerinin toplamı</t>
  </si>
  <si>
    <t>EFQM Forumun 2015'te Türkiye'de Gerçekleştirilmesi</t>
  </si>
  <si>
    <t xml:space="preserve">6 Ay </t>
  </si>
  <si>
    <t>Ziyaret Edilen Üye Sayısı / Toplam Üye Sayısı</t>
  </si>
  <si>
    <t>Üye Başına Sunulan Hizmet Sayısı</t>
  </si>
  <si>
    <t>B &amp; K Gelişim Süreci dahilinde sunulan hizmetlerin toplam miktarı / toplam tüzel üye sayısı</t>
  </si>
  <si>
    <t>Çalışan başına ortalama hedef gerçekkleştirme oranı</t>
  </si>
  <si>
    <t>Saat</t>
  </si>
  <si>
    <t>Stratejik Plan Takviminden sapma miktarı</t>
  </si>
  <si>
    <t>Bir önceki yılın gerçeklşemesine göre artış oranı</t>
  </si>
  <si>
    <t>Tahsilatı Geciken Alacak Oranı</t>
  </si>
  <si>
    <t>Dönem içindeki tahsil edilemeyen alacak miktarı / toplam öngörülen tahsilat miktarı (üye gelirleri)</t>
  </si>
  <si>
    <t>Gerçekleşen Giderler / Bütçelenen Giderler</t>
  </si>
  <si>
    <t>Tüm hizmetlere yönelik (kongre) anket sonuçlarının ortalaması</t>
  </si>
  <si>
    <t xml:space="preserve">Dönem içinde Gönüllülerden Alınan Toplam Hizmet Gün </t>
  </si>
  <si>
    <t>CRM' i tam hayata geçirme ve kullanım etkinliği</t>
  </si>
  <si>
    <t xml:space="preserve">Üye entegrasyonu; bilgi güncelliği ve tamlığı; etkinlik takviminin kullanmı; MIS raporlamalarının yapılması </t>
  </si>
  <si>
    <t>Kümülatif</t>
  </si>
  <si>
    <t>QPR hayata geçirme; ara değerlendirme toplantılarını gerçekleştirme</t>
  </si>
  <si>
    <t>İşitsel Medyada Yeralma Süresi</t>
  </si>
  <si>
    <t>Sosyal Medyada Takipçi Sayısı</t>
  </si>
  <si>
    <t>Web Sitesi Ziyaretçi Sayısı</t>
  </si>
  <si>
    <t>Genel Memnuniyet Oranı</t>
  </si>
  <si>
    <t>Ortalama Ödeme Gün Sayısı</t>
  </si>
  <si>
    <t>Kurum İçi Eğitim Sayısı</t>
  </si>
  <si>
    <t xml:space="preserve">Tanıtım Sayısı </t>
  </si>
  <si>
    <t xml:space="preserve">Etkinlik Sayısı </t>
  </si>
  <si>
    <t>KalDer tanıtım etkinlikleri</t>
  </si>
  <si>
    <t>KalDer adına katılınan toplantı, seminer vb</t>
  </si>
  <si>
    <t>Müşteri Hizmet Kullanımı</t>
  </si>
  <si>
    <t>KOBİ'lere Verilen Hizmet Gün Sayısı</t>
  </si>
  <si>
    <t>Yazılı Basında Çıkan Olumlu Haber Sayısı - Şubeler</t>
  </si>
  <si>
    <t>Son 1 yılda KalDer portföyüne dahil edilen ürün/hizmetten elde edilen gelirin toplam gelirler içerisinde payını ölçen gösterge</t>
  </si>
  <si>
    <t>Toplam Giderler / Toplam Gelirler</t>
  </si>
  <si>
    <t>UKH Katılım -KOBİ</t>
  </si>
  <si>
    <t>Yeni Üye Sayısı  - Kamu</t>
  </si>
  <si>
    <t>Yeni Üye Sayısı  - KOBİ</t>
  </si>
  <si>
    <t>Yeni Üye Sayısı  - Diğer</t>
  </si>
  <si>
    <t>Üye Artış Oranı  - Kamu</t>
  </si>
  <si>
    <t>Üye Artış Oranı  - KOBİ</t>
  </si>
  <si>
    <t>Üye Artış Oranı  - Diğer</t>
  </si>
  <si>
    <t>Ortalama Tahsilat Süresi - Kamu</t>
  </si>
  <si>
    <t>Ortalama Tahsilat Süresi - İşletme</t>
  </si>
  <si>
    <t>Ortalama Ödeme Gün Sayısı - Hizmet Ortakları</t>
  </si>
  <si>
    <t>Proje Takvimine Uyum - Faaliyet</t>
  </si>
  <si>
    <t>Sunulan Yeni Ürün / Hizmet Sayısı - Faaliyet</t>
  </si>
  <si>
    <t>Yeni Ürün ve Hizmetlerin Kullanım Oranı - Faaliyet</t>
  </si>
  <si>
    <t>İrtibata Geçilen Potansiyel Müşteri Sayısı - Hizmet Süreçleri</t>
  </si>
  <si>
    <t>Ziyaret Oranı - Hizmet Süreçleri</t>
  </si>
  <si>
    <t>Verilen Tekliflerin Satışa Dönüş Oranı - Hizmet Süreçleri</t>
  </si>
  <si>
    <t>Yeni Üye Sayısı</t>
  </si>
  <si>
    <t>4 Ay</t>
  </si>
  <si>
    <t>5 Ay</t>
  </si>
  <si>
    <t>Sunulan Hizmet Miktarı- Mevcut Merkezi ve Yerel Yönetimler</t>
  </si>
  <si>
    <t>Sunulan Hizmet Miktarı- Üniversite</t>
  </si>
  <si>
    <t>Sunulan Hizmet Miktarı - Yeni Merkezi ve Yerel Yönetimler</t>
  </si>
  <si>
    <t>ÇMA Puanı - Merkez</t>
  </si>
  <si>
    <t>Hedef Gerçekleşme Performansı - Merkez</t>
  </si>
  <si>
    <t>Kişi Başı Ortalama Eğitim Saati - Merkez</t>
  </si>
  <si>
    <t xml:space="preserve">Yeni Üye Sayısı  - Merkez </t>
  </si>
  <si>
    <t xml:space="preserve">Üye Artış Oranı  - Merkez </t>
  </si>
  <si>
    <t xml:space="preserve">UKH Katılım oranı  - Merkez </t>
  </si>
  <si>
    <t xml:space="preserve">Tanıtım Sayısı  - Merkez </t>
  </si>
  <si>
    <t xml:space="preserve">Etkinlik Sayısı  - Merkez </t>
  </si>
  <si>
    <t xml:space="preserve">Hizmet Memnuniyet Oranı  - Merkez </t>
  </si>
  <si>
    <t xml:space="preserve">Genel Memnuniyet Oranı  - Merkez </t>
  </si>
  <si>
    <t xml:space="preserve">Gönüllü Katılımı  - Merkez </t>
  </si>
  <si>
    <t xml:space="preserve">Paylaşılan İyi Uygulama Sayısı  - Merkez </t>
  </si>
  <si>
    <t xml:space="preserve">Gönüllü Katkısı  - Merkez </t>
  </si>
  <si>
    <t xml:space="preserve">Sunulan Hizmet Miktarı - Mevcut Merkezi ve Yerel Yönetimler  - Merkez </t>
  </si>
  <si>
    <t xml:space="preserve">Sunulan Hizmet Miktarı - Üniversite  - Merkez </t>
  </si>
  <si>
    <t xml:space="preserve">Sunulan Hizmet Miktarı - Yeni Merkezi / Yerel Yönetimler  - Merkez </t>
  </si>
  <si>
    <t xml:space="preserve">UKH Katılım - KOBİ  - Merkez </t>
  </si>
  <si>
    <t xml:space="preserve">KOBİ'lere Verilen Hizmet Gün Sayısı  - Merkez </t>
  </si>
  <si>
    <t>Basında Çıkan Olumlu Haber Sayısı - Merkez</t>
  </si>
  <si>
    <t>Görsel Medyada Görünürlük Süresi - Merkez</t>
  </si>
  <si>
    <t>İşitsel Medyada Yeralma Süresi - Merkez</t>
  </si>
  <si>
    <t>Sosyal Medyada Takipçi Sayısı - Merkez</t>
  </si>
  <si>
    <t>Web Sayfası Ziyaretçi Sayısı - Merkez</t>
  </si>
  <si>
    <t>Proje Takvimine Uyum - Merkez</t>
  </si>
  <si>
    <t>Sunulan Yeni Ürün / Hizmet Sayısı - Merkez</t>
  </si>
  <si>
    <t>Yeni Ürün ve Hizmetlerin Kullanım Oranı - Merkez</t>
  </si>
  <si>
    <t>Potansiyel İşbirliği Yapılacak Kurum Sayısı - Kamu (Geliştirilen İşbirliği Sayısı) - Merkez</t>
  </si>
  <si>
    <t>Potansiyel İşbirliği Yapılacak Kurum Sayısı - Özel İşletme (Geliştirilen İşbirliği Sayısı) - Merkez</t>
  </si>
  <si>
    <t>Potansiyel İşbirliği Yapılacak Kurum Sayısı -STK (Geliştirilen İşbirliği Sayısı) - Merkez</t>
  </si>
  <si>
    <t>EFQM Aktivitelerine Katılım - Merkez</t>
  </si>
  <si>
    <t>EFQM Forumun 2015'te Türkiye'de Gerçekleştirilmesi - Merkez</t>
  </si>
  <si>
    <t>İrtibata Geçilen Potansiyel Müşteri Sayısı - Merkez</t>
  </si>
  <si>
    <t>Ziyaret Oranı - Merkez</t>
  </si>
  <si>
    <t>Verilen Tekliflerin Satışa Dönüş Oranı - Merkez</t>
  </si>
  <si>
    <t>Belgelendirme Sayısı - Merkez</t>
  </si>
  <si>
    <t>Değerlendirme Sayısı - Merkez</t>
  </si>
  <si>
    <t>Etkinlik Sayısı - Merkez</t>
  </si>
  <si>
    <t>Genel Katılıma Açık Eğitim Sayısı - Merkez</t>
  </si>
  <si>
    <t>Kurum İçi Eğitim Sayısı - Merkez</t>
  </si>
  <si>
    <t>Kıyaslama Sayısı - Merkez</t>
  </si>
  <si>
    <t>Ödül Başvuru Sayısı - Merkez</t>
  </si>
  <si>
    <t>Rehberlik Sayısı - Merkez</t>
  </si>
  <si>
    <t>TMME'ye Katılımcı Sayısı - Merkez</t>
  </si>
  <si>
    <t>Üye Başına Sunulan Hizmet Sayısı - Merkez</t>
  </si>
  <si>
    <t>Alacak Devir Hızı - Merkez</t>
  </si>
  <si>
    <t>Gelir Artış Oranı - Merkez</t>
  </si>
  <si>
    <t>İşbirliklerinin Yarattığı Katkı Payı - Merkez</t>
  </si>
  <si>
    <t>Ortalama Tahsilat Süresi - Merkez</t>
  </si>
  <si>
    <t>Sponsorluk Gelir Artış Oranı - Merkez</t>
  </si>
  <si>
    <t>Şüpheli Alacak Oranı - Merkez</t>
  </si>
  <si>
    <t>Tahsilat Geciken Alacak Oranı - Merkez</t>
  </si>
  <si>
    <t>Yeni Ürün veya Hizmetlerden Elde Edilen Gelir - Merkez</t>
  </si>
  <si>
    <t>Ortalama Ödeme Gün Sayısı - Merkez</t>
  </si>
  <si>
    <t>Gider Bütçesine Uyum Oranı - Merkez</t>
  </si>
  <si>
    <t>Toplam Faaliyet Giderleri / Toplam Gelirler - Merkez</t>
  </si>
  <si>
    <t>Sabri Bülbül</t>
  </si>
  <si>
    <t>Sanem Sümer</t>
  </si>
  <si>
    <t>Kİ</t>
  </si>
  <si>
    <t>(Dönem Sonu Toplam Üye Sayısı - Dönem Başı Üye Sayısı) /Dönem Sonu Üye Sayısı</t>
  </si>
  <si>
    <t>Toplam UKH Üye Sayısı / Toplam KalDer Tüzel Üye Sayısı</t>
  </si>
  <si>
    <t>(Geçmiş dönem hizmet verilen üye sayısı - Bu dönem hizmet verilen üye sayısı)/ Toplam Üye Sayısı</t>
  </si>
  <si>
    <t>Ortalama Tahsilat Merkez - Üyeler</t>
  </si>
  <si>
    <t>Muhasebe Programı</t>
  </si>
  <si>
    <t>Bütçe</t>
  </si>
  <si>
    <t xml:space="preserve">Bütçe ve Muhasebe </t>
  </si>
  <si>
    <t>Toplam Giderler / Toplam Gelirler (genel giderler hariç)</t>
  </si>
  <si>
    <t>Temel Strateji</t>
  </si>
  <si>
    <t>Mevcut işbirliklerinin etkinliğini artırmak</t>
  </si>
  <si>
    <t>Proje desteklerinden yararlanmak</t>
  </si>
  <si>
    <t>Kurumsal Yetkinliğimizi Artırma</t>
  </si>
  <si>
    <t>Güçlü Mali Yapı Oluşturma</t>
  </si>
  <si>
    <t>2030 Stratejik Amaçlar</t>
  </si>
  <si>
    <t>Güçlü İşbirlikleri Geliştirme</t>
  </si>
  <si>
    <t>Mevcut ve potansiyel üyelerle ilişkilerde derinleşmek</t>
  </si>
  <si>
    <t>Üye Memnuniyet Oranı</t>
  </si>
  <si>
    <t>Potansiyel Üye Ziyaret Sayısı</t>
  </si>
  <si>
    <t>Çalışan Memnuniyet Oranı</t>
  </si>
  <si>
    <t>Tablo 3: KalDer 2025-2027 Dönemi Strateji Haritası</t>
  </si>
  <si>
    <t>Boyut 1: PAYDAŞ</t>
  </si>
  <si>
    <t>2025-2027 Stratejik Hedefler</t>
  </si>
  <si>
    <t>Boyut 2: OPERASYONEL MÜKEMMELLİK</t>
  </si>
  <si>
    <t>2025-2027 Stratejik Hedefleri</t>
  </si>
  <si>
    <t>Göstergeler</t>
  </si>
  <si>
    <t>Hedefler</t>
  </si>
  <si>
    <t>Boyut 3: KURUMSAL GELİŞİM</t>
  </si>
  <si>
    <t>Boyut 4: FİNANSAL</t>
  </si>
  <si>
    <t>ISO 500’deki KalDer üyesi firma sayısı</t>
  </si>
  <si>
    <t>Mevcut</t>
  </si>
  <si>
    <t>Sürdürülebilirlik Gelecek Ödülleri Rehberlik Alan Kuruluş Sayısı</t>
  </si>
  <si>
    <t>KalDer web sitesi tıklanma sayısı</t>
  </si>
  <si>
    <t>Yeni kazanılan gönüllü sayısı</t>
  </si>
  <si>
    <t>Yeni Üye Hizmet ve Ürünlerde Yapılan İşbirliği Sayısı</t>
  </si>
  <si>
    <t>Üye Sayısı</t>
  </si>
  <si>
    <t>UKH Üye Sayısı</t>
  </si>
  <si>
    <t>Çalışanların Temel Yetkinliklerinin Tanımlanması ve Ölçülmesi</t>
  </si>
  <si>
    <t>Yetkinlikleri Beklenen Seviyede Olma Oranı</t>
  </si>
  <si>
    <t>KalDer İK Politikasının Oluşturulması</t>
  </si>
  <si>
    <t>KalDer Süreç Çerçevesinin Tanımlanması</t>
  </si>
  <si>
    <t>KalDer Süreçlerinin mevcut performanslarındaki artış oranı</t>
  </si>
  <si>
    <t>KalDer EFQM Olgunluk Puanı</t>
  </si>
  <si>
    <t>İş Süreçlerinde dijitalleşme oranı</t>
  </si>
  <si>
    <t>Ortak veri tabanı kullanım oranı</t>
  </si>
  <si>
    <t>Hizmetlerde dijitalleşme oranı</t>
  </si>
  <si>
    <t>KOBİ Kurumsal Gelişim ve Verimlilik Modeli ile sunulan hizmetlerin dijitalleşme oranı</t>
  </si>
  <si>
    <t>Kurumsal web sitesinin dönüşümünü tamamlama oranı</t>
  </si>
  <si>
    <t>Kurumsal web sitesi kullanıcıları memnuniyet oranı</t>
  </si>
  <si>
    <t>Çalışan Başına Eğitimi</t>
  </si>
  <si>
    <t>2030 yılında yılında ISO 500’de yer alan kuruluşlar da dahil olmak üzere üye firma sayısını 2 kat artırmak</t>
  </si>
  <si>
    <t>Büyük ölçekli kuruluşlarda EFQM Modeli konusunda farkındalığı artırarak yeni üye kazanmak</t>
  </si>
  <si>
    <t>Sürdürülebilirlik için Yayılımı Artırma</t>
  </si>
  <si>
    <t>Yerel Yönetimlerde ve İştirak Şirketlerinde UKH’ın yayılımını artırmak</t>
  </si>
  <si>
    <t>KOBİ’ lerde KalDer KOBİ Kurumsal Gelişim ve Verimlilik Modelinin Yayılımını Sağlamak</t>
  </si>
  <si>
    <t>KOBİ’lere yönelik Kurumsal Gelişim ve Verimlilik Modeli ile birlikte verimlilik ve kurumsal olgunluğu hedef alan bir Tanıma ve Ödüllendirme Programını hayata geçirmek</t>
  </si>
  <si>
    <t xml:space="preserve">KOBİ Kurumsal Gelişim ve Verimlilik Programı ile UKH’a Katılan Firma Sayısı </t>
  </si>
  <si>
    <t>UKH’ı KOBİ’leri hedef alan bir Ulusal Verimlilik Hareketi ile güçlendirmek</t>
  </si>
  <si>
    <t xml:space="preserve">KalDer KOBİ Kurumsal Gelişim ve Verimlilik Modelini, UKH içinde bir UVH şeklinde lanse ederek Verimlik Hareketi ile UKH katılımcı sayısını artırmak </t>
  </si>
  <si>
    <t>KOBİ Kurumsal Gelişim ve Verimlilik Tanıma ve Ödül Programının tamamlanması</t>
  </si>
  <si>
    <t>KOBİ Kurumsal Gelişim ve Verimlilik Tanıma ve Ödül Programına Başvuran Kuruluş Sayısı</t>
  </si>
  <si>
    <t>Sürdürülebilir Gelecek Ödüllerinin yayılımını artırmak</t>
  </si>
  <si>
    <t>Sürdürülebilirlik Gelecek Ödüllerini alan kuruluşlara yönelik iyi uygulamaların paylaşıldığı yayın ve etkinlikler yapma</t>
  </si>
  <si>
    <t>Sürdürülebilirlik Gelecek Ödülleri Modeline yönelik eğitim ve rehberlik hizmetlerini hayata geçirmek</t>
  </si>
  <si>
    <t>Sürdürülebilirlik İyi Uygulamalar Paylaşım Etkinliği Katılımcı Sayısı</t>
  </si>
  <si>
    <t>Dijitalleşme ve İletişimde Dönüşüm</t>
  </si>
  <si>
    <t>Kurumsal tanıtım ve pazarlamayı dijital mecralar ile güçlendirmek</t>
  </si>
  <si>
    <t>Hizmetlerin KalDer Dijital Platform üzerinde toplamak</t>
  </si>
  <si>
    <t>KalDer web sistesinin yeni teknoloji ve iletişim yaklaşımları çerçevesinde erişim ve gezinme sayısını artırmak</t>
  </si>
  <si>
    <t>Yazılı, Sözlü, Görsel ve İnternet başta olmak üzere tüm mecralarda olumlu yer alma, görünür olmak</t>
  </si>
  <si>
    <t>KalDer Dijital Platformu geliştirmek</t>
  </si>
  <si>
    <t>Dijital Platform Tamamlanma Oranı</t>
  </si>
  <si>
    <t>Değerin yaratılması ve sunumunda yeni işbirlikleri ile güçlendirmek</t>
  </si>
  <si>
    <t>Değerin sunumunda gönüllü katkısını ve katılımını artırmak</t>
  </si>
  <si>
    <t xml:space="preserve">Yeni hizmet ve ürünlerin gelişimini destekleyecek işbirlikleri geliştirmek </t>
  </si>
  <si>
    <t>Mevcut ürün ve hizmetlerin sunumunu güçlendirecek ve yaygınlaşmayı destekleyecek profesyonel eğitmen ve rehber havuzunun zenginleştirilmesi</t>
  </si>
  <si>
    <t xml:space="preserve">Rehber  Sayısı </t>
  </si>
  <si>
    <t>Eğitmen Sayısı</t>
  </si>
  <si>
    <t>Yetkin Çalışanlara  Sahip Olmak</t>
  </si>
  <si>
    <t>Zayıf olan alanlara ve süreçlere yönelik nitelikli çalışanların istihdam imkanları oluşturmak</t>
  </si>
  <si>
    <t>Mevcut çalışanların yetkinliklerini geliştirme</t>
  </si>
  <si>
    <t>KalDer Kurumsal Örgüt Yapısının Arzu Edilen Yayılım ve Etkililiği Sağlayacak Yetkinlik ve Düzeyde Olmasını Sağlamak</t>
  </si>
  <si>
    <t>KalDer EFQM Dış Değerlendirme Puanını 500 seviyesine getirme</t>
  </si>
  <si>
    <t>KalDer Süreç Çerçevsinin geleceğin ihtiyaçları çerçevesinde yapılandırılması ve Süreç Yönetiminin etkililiğini artırma</t>
  </si>
  <si>
    <t>KalDer bütününde süreçler, hizmet ve ürünler arasında eşgüdüm ve uyumu sağlayacak bir yapının oluşturulması</t>
  </si>
  <si>
    <t>KalDer Yönetişim süreçlerinin etkililiğini artırma</t>
  </si>
  <si>
    <t>KalDer İK Politikası Çerçevesinde ihtiyaç görünün alanlara ilişkin yaklaşımların hayata geçirilmesi</t>
  </si>
  <si>
    <t>KalDer Merkez ve Şubeler Arası Hizmet Süreçlerinin  Uyumlandırmasının Tamamlanması</t>
  </si>
  <si>
    <t>KalDer içinde Ortak Karar Verme, Yön Birliği Sağlama, Hesap Verilebilirlik ve Şeffaflık Bağlamında Süreçlerin Yapılandırılması ve Uygulamaya Alınması</t>
  </si>
  <si>
    <t>0 - 1000</t>
  </si>
  <si>
    <t>Merkez – Şube ortak veri tabanları ile veri ve bilgilerden yararlanmayı üst seviyeye taşıma</t>
  </si>
  <si>
    <t>İşsüreçlerinde dijitalleşmeyi artırma</t>
  </si>
  <si>
    <t xml:space="preserve">KalDer KOBİ Kurumsal Gelişim ve Verimlilik Modeli ile ilgili uyugulamaları dijital platform üzerinden yürütme  </t>
  </si>
  <si>
    <t>Hizmetlerin önceliklendirilerek dijital dönüşümüne yönelik projelerin başlatılması</t>
  </si>
  <si>
    <t>Kurumsal Tanıtım ve Pazarlamayı Dijital Mecralar ile güçlendirmek</t>
  </si>
  <si>
    <t>Üye ve Potansiyel üyelerin KalDer Kurumsal Web Sitesinden ihtiyaç duyulan tüm bilgi ve verilere ulaşabilmesine imkan verme</t>
  </si>
  <si>
    <t>Giderleri etkin yönetme</t>
  </si>
  <si>
    <t xml:space="preserve">Gelirleri sürdürülebilir yönetme </t>
  </si>
  <si>
    <t>Faaliyet Gelirlerinin Toplam Gelirler İçindeki Payı</t>
  </si>
  <si>
    <t>Gelir Artımı</t>
  </si>
  <si>
    <t>İşbirlikleri ile giderlerde sağlanan tasarruf</t>
  </si>
  <si>
    <t>Kaynak geliştirme ve projelerle sürdürülebilir gelir elde etme</t>
  </si>
  <si>
    <t>Fon ve hibe projeleri ile yaratılan kaynak miktarı</t>
  </si>
  <si>
    <t>AB, EBRD, Kalkınma Ajansları, Tübitak, KOSGEB vb. ile ilişkileri geliştirme</t>
  </si>
  <si>
    <t xml:space="preserve">İşbirlikleri ile sağlanan ürün/hizmet geliştirme vb. konularda kaynak miktarı </t>
  </si>
  <si>
    <t>Faaliyet Gelirlerinin Toplam Gelirler İçindeki Payını Arttırmak</t>
  </si>
  <si>
    <t>Mali yapının sponsorluk dışında da farklı kaynak geliştirme araçları ile güçlendirilmesi.</t>
  </si>
  <si>
    <t>Yerel Yönetimler ve İştirakler bazında hizmet sunum memnuniyetini artırma</t>
  </si>
  <si>
    <t>Hizmet Memnuniyet Oranı (Yerel Yönetim ve İBB İştirakleri)</t>
  </si>
  <si>
    <t xml:space="preserve">Yerel Yönetimlerde ve İştirak Şirketlerinde UKH’ın yayılımını artırmak  </t>
  </si>
  <si>
    <t xml:space="preserve">Yerel Yönetimler ve İştiraklere yönelik hizmetlerde eşgüdüm ve uyum sağlanması </t>
  </si>
  <si>
    <t>KalDer Kurumsal Gelişim ve Verimlilik Modelinden fayda yaratmaya yönelik iş modeli ve süreçlerin yapılandırılması</t>
  </si>
  <si>
    <t xml:space="preserve">KalDer KOBİ Kurumsal Gelişim ve Verimlilik Modeli çerçevesinde sunulan hizmetlerden olumlu geri bildirim alınması </t>
  </si>
  <si>
    <t xml:space="preserve">Ulusal Verimlilik Hareketi süreçlerinde yer alan kuruluşlardan olumlu geri bildirim alınması  </t>
  </si>
  <si>
    <t xml:space="preserve">Sürdürülebilir Gelecek Ödülleri ve eğitim/rehberlik hizmetlerine katılan kuruluşlardan olumlu geri bildirim alma  </t>
  </si>
  <si>
    <t>Merkez ve Şubeler Arasında Süreç Uyumlandırma Çalışmasını Tamamlama</t>
  </si>
  <si>
    <t>KalDer Kurumsal Gelişim ve Verimlilik Modeliyle Değer Yaratacak İş Modeli ve Süreç Yapılandırmasını Tamamlama</t>
  </si>
  <si>
    <t>Hizmet Memnuniyet Oranı (KOBİ Kurumsal Gelişim ve Verimlilik Modeli çerçevesinde)</t>
  </si>
  <si>
    <t>Sürdürülebilirlik Gelecek Ödülleri Rehberlik ve Eğitim Süreçlerinin Yapılandırılması</t>
  </si>
  <si>
    <t>Sürdürülebilirlik Gelecek Ödülleri, Rehberlik ve Eğitim Süreçleri Memnuniyet Oranı</t>
  </si>
  <si>
    <t>Ulusal Verimlilik Hareketi için iş modeli ve süreçlerin yapılandırılması</t>
  </si>
  <si>
    <t>Yeni yaratılan işbirliklerinden olumlu algı elde etme</t>
  </si>
  <si>
    <t xml:space="preserve">Mevcut işbirliklerinin sunulan hizmetlerden olan memnuniyeti artırma </t>
  </si>
  <si>
    <t>Yeni işbirliklerinden yeni ürün ve hizmetlerin geliştirilmesi ve sunumunda etkin yararlanma</t>
  </si>
  <si>
    <t>Mevcut işbirliklerinin sunulan hzimet üzerindeki katkısını artırma</t>
  </si>
  <si>
    <t>Yeni İşbirlikleri ile geliştirilen ürün / hizmet sayısı</t>
  </si>
  <si>
    <t>Yeni İşbirlikleri ile geliştirilen ürün / hizmet memnuniyet oranı</t>
  </si>
  <si>
    <t>İşbirlikleri ile sunulan ürün ve hizmet hacmi - ciro (eğitim, rehberlik, etkinlik)</t>
  </si>
  <si>
    <t>Mevcut İşbirlikleri ile sunulan ürün / hizmet memnuniyet oranı</t>
  </si>
  <si>
    <t>Tüm üyeleri yılda en az bir kez ziyeret etme</t>
  </si>
  <si>
    <t xml:space="preserve">Daha fazla üyeye ve potansiyel müşteriye hizmet sunma </t>
  </si>
  <si>
    <t xml:space="preserve">Potansiyel üye ziyaretlerini artırma </t>
  </si>
  <si>
    <t>Üye başına sunulan hizmet sayısını artırma</t>
  </si>
  <si>
    <t xml:space="preserve">Ziyaretlerin Üyeliğe Dönüşme Oranı </t>
  </si>
  <si>
    <t>Üye Başına Ziyaret Sayısı</t>
  </si>
  <si>
    <t>Üye Başına Hizmet Cirosu</t>
  </si>
  <si>
    <t>Mevcut Üyeler İçinde Hizmet Sunulan Kuruluş Oranı</t>
  </si>
  <si>
    <t>Yol Haritası</t>
  </si>
  <si>
    <t xml:space="preserve">Deneyim Paylaşım Toplantısı yapmak, Kazananlar Konferansı düzenlemek, ödül almış kuruluşların yöneticilerinin röportajlarıı yayınlamak, web sitesinde ödül almış kuruluşların yöneticilerinin görüşlerinin web sitsinde yer alması, Model konulu webinarlar düzenlemek </t>
  </si>
  <si>
    <t>İştirak bazlı EFQM deneyim paylaşım toplantıları düzenlemek</t>
  </si>
  <si>
    <t>Büyükşehir Belediye iştirakleri başta olmak üzere EFQM Modeli ile farkındalığı artırıcı çalışmalar ile UKH’a dahil etmek ve ödüle taşımak</t>
  </si>
  <si>
    <t>UKH' Katılan Yerel Yönetim ve BB İştirak Şirket Sayısı / Ödüle başvuran Yerel Yönetim ve BB İştirak Şirket Sayısı</t>
  </si>
  <si>
    <t xml:space="preserve">Modelin hayata geçirilmesindeki iş süreçlerinin hayata geçirilmesi </t>
  </si>
  <si>
    <t>UKH içinde UVH süreçlerinin tanımlanması ve Modelin EFQM ile ilişkisinin kurulması</t>
  </si>
  <si>
    <t xml:space="preserve">Kazananlar Tek Sahnede - Sürdürülebilirlik Zirvesi düzenlemek - web sitesinde sürdürülebilirlik röportajları eklemek </t>
  </si>
  <si>
    <t>UKH içinde sürdürülebilirlik ödülleri ve rehberliği konumlandırılacaktır</t>
  </si>
  <si>
    <t xml:space="preserve">Dijital Platformun kapsamının netleştirilmesi ve geliştirme adımlarının önceliklendirilmesi  </t>
  </si>
  <si>
    <t>Yapılan Olumlu/Olumsuz Haber Oranı</t>
  </si>
  <si>
    <t xml:space="preserve">Web sitesinin tamamlanması </t>
  </si>
  <si>
    <t>Web sitesinin güncel tutulması</t>
  </si>
  <si>
    <t>Gönüllü yönetimi sürecinin ortaya konması (çalışma grupları/GençKal/ ödül değerlendiricileri/rehberler)</t>
  </si>
  <si>
    <t xml:space="preserve">İşbirlikleri yönetimi sürecinin ortaya konması </t>
  </si>
  <si>
    <t>Eğitmen ve rehber yetiştirme programı oluşturmak</t>
  </si>
  <si>
    <t>Rehberlik hizmeti devam ederken ilerlemeyi değerlendirmek için anketlerin uygulanması</t>
  </si>
  <si>
    <t>Şubelerin katılımı ile süreç hizalaması için alt ekiplerin kurulması</t>
  </si>
  <si>
    <t>Geri bildirim almak için uygun kanalların oluşturulması ve anketlerin geliştirilmesi</t>
  </si>
  <si>
    <t>Sürdürülebilir Gelecek Ödüllerine aday ve katılan kuruluşlardan gelecek eğitim ve rehberlik hizmetini karşılamak</t>
  </si>
  <si>
    <t>Ziyaret planı ve yeterli çalışan sayısı</t>
  </si>
  <si>
    <t>Üyeler ile etikili iletişim</t>
  </si>
  <si>
    <t>Kurumsal yapı çalışma gurubu</t>
  </si>
  <si>
    <t xml:space="preserve">Projeler ve işbirlikleri </t>
  </si>
  <si>
    <t>Hedefler (Merkez+Şubeler)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</si>
</sst>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T_L_-;\-* #,##0.00\ _T_L_-;_-* &quot;-&quot;??\ _T_L_-;_-@_-"/>
    <numFmt numFmtId="165" formatCode="[$-41F]mmmm\ yy;@"/>
    <numFmt numFmtId="166" formatCode="0.0"/>
    <numFmt numFmtId="167" formatCode="#,##0\ &quot;TL&quot;"/>
  </numFmts>
  <fonts count="21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indexed="17"/>
      <name val="Arial"/>
      <family val="2"/>
      <charset val="162"/>
    </font>
    <font>
      <b/>
      <sz val="14"/>
      <name val="Arial"/>
      <family val="2"/>
      <charset val="162"/>
    </font>
    <font>
      <b/>
      <sz val="28"/>
      <name val="Arial"/>
      <family val="2"/>
      <charset val="162"/>
    </font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0"/>
      <color rgb="FFFFFFFF"/>
      <name val="Calibri"/>
      <family val="2"/>
      <charset val="162"/>
      <scheme val="minor"/>
    </font>
    <font>
      <b/>
      <sz val="10"/>
      <color rgb="FF215868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b/>
      <sz val="16"/>
      <color rgb="FF215868"/>
      <name val="Calibri"/>
      <family val="2"/>
      <charset val="162"/>
      <scheme val="minor"/>
    </font>
    <font>
      <sz val="16"/>
      <name val="Arial"/>
      <family val="2"/>
      <charset val="162"/>
    </font>
    <font>
      <b/>
      <sz val="14"/>
      <color rgb="FF215868"/>
      <name val="Calibri"/>
      <family val="2"/>
      <charset val="162"/>
      <scheme val="minor"/>
    </font>
    <font>
      <sz val="14"/>
      <name val="Arial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889F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215868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215868"/>
      </right>
      <top/>
      <bottom style="medium">
        <color rgb="FFFFFFFF"/>
      </bottom>
      <diagonal/>
    </border>
    <border>
      <left/>
      <right style="medium">
        <color rgb="FF21586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215868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</borders>
  <cellStyleXfs count="9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2" fontId="5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 applyProtection="1">
      <alignment horizontal="center"/>
      <protection locked="0"/>
    </xf>
    <xf numFmtId="1" fontId="5" fillId="0" borderId="1" xfId="0" applyNumberFormat="1" applyFont="1" applyBorder="1" applyAlignment="1" applyProtection="1">
      <alignment horizontal="center"/>
      <protection locked="0"/>
    </xf>
    <xf numFmtId="166" fontId="5" fillId="0" borderId="1" xfId="0" applyNumberFormat="1" applyFon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67" fontId="5" fillId="0" borderId="1" xfId="0" applyNumberFormat="1" applyFont="1" applyBorder="1" applyAlignment="1">
      <alignment horizontal="center" vertical="center" wrapText="1"/>
    </xf>
    <xf numFmtId="167" fontId="5" fillId="0" borderId="1" xfId="1" applyNumberFormat="1" applyFont="1" applyFill="1" applyBorder="1" applyAlignment="1">
      <alignment horizontal="center" vertical="center" wrapText="1"/>
    </xf>
    <xf numFmtId="167" fontId="5" fillId="0" borderId="1" xfId="0" applyNumberFormat="1" applyFont="1" applyBorder="1" applyAlignment="1" applyProtection="1">
      <alignment horizontal="center" vertical="center" wrapText="1"/>
      <protection locked="0"/>
    </xf>
    <xf numFmtId="167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2" applyFill="1" applyBorder="1" applyAlignment="1">
      <alignment vertical="center" wrapText="1"/>
    </xf>
    <xf numFmtId="0" fontId="4" fillId="0" borderId="0" xfId="2" applyAlignment="1">
      <alignment vertical="center" wrapText="1"/>
    </xf>
    <xf numFmtId="0" fontId="6" fillId="2" borderId="1" xfId="2" applyFont="1" applyFill="1" applyBorder="1" applyAlignment="1">
      <alignment horizontal="center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4" fillId="7" borderId="1" xfId="2" applyFill="1" applyBorder="1" applyAlignment="1">
      <alignment horizontal="center" vertical="center" wrapText="1"/>
    </xf>
    <xf numFmtId="4" fontId="4" fillId="7" borderId="1" xfId="2" applyNumberFormat="1" applyFill="1" applyBorder="1" applyAlignment="1">
      <alignment horizontal="center" vertical="center" wrapText="1"/>
    </xf>
    <xf numFmtId="2" fontId="4" fillId="7" borderId="1" xfId="1" applyNumberFormat="1" applyFont="1" applyFill="1" applyBorder="1" applyAlignment="1">
      <alignment horizontal="center" vertical="center" wrapText="1"/>
    </xf>
    <xf numFmtId="1" fontId="4" fillId="7" borderId="1" xfId="1" applyNumberFormat="1" applyFont="1" applyFill="1" applyBorder="1" applyAlignment="1">
      <alignment horizontal="center" vertical="center" wrapText="1"/>
    </xf>
    <xf numFmtId="3" fontId="4" fillId="7" borderId="1" xfId="1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4" fillId="0" borderId="0" xfId="2" applyAlignment="1">
      <alignment vertical="center"/>
    </xf>
    <xf numFmtId="0" fontId="4" fillId="3" borderId="1" xfId="2" applyFill="1" applyBorder="1" applyAlignment="1">
      <alignment horizontal="center" vertical="center" wrapText="1"/>
    </xf>
    <xf numFmtId="2" fontId="4" fillId="3" borderId="1" xfId="1" applyNumberFormat="1" applyFont="1" applyFill="1" applyBorder="1" applyAlignment="1">
      <alignment horizontal="center" vertical="center" wrapText="1"/>
    </xf>
    <xf numFmtId="1" fontId="4" fillId="3" borderId="1" xfId="1" applyNumberFormat="1" applyFont="1" applyFill="1" applyBorder="1" applyAlignment="1">
      <alignment horizontal="center" vertical="center" wrapText="1"/>
    </xf>
    <xf numFmtId="9" fontId="4" fillId="7" borderId="1" xfId="2" applyNumberFormat="1" applyFill="1" applyBorder="1" applyAlignment="1">
      <alignment horizontal="center" vertical="center" wrapText="1"/>
    </xf>
    <xf numFmtId="9" fontId="4" fillId="7" borderId="1" xfId="3" applyFont="1" applyFill="1" applyBorder="1" applyAlignment="1">
      <alignment horizontal="center" vertical="center" wrapText="1"/>
    </xf>
    <xf numFmtId="9" fontId="4" fillId="7" borderId="1" xfId="1" applyNumberFormat="1" applyFont="1" applyFill="1" applyBorder="1" applyAlignment="1">
      <alignment horizontal="center" vertical="center" wrapText="1"/>
    </xf>
    <xf numFmtId="9" fontId="4" fillId="3" borderId="1" xfId="2" applyNumberFormat="1" applyFill="1" applyBorder="1" applyAlignment="1">
      <alignment horizontal="center" vertical="center" wrapText="1"/>
    </xf>
    <xf numFmtId="3" fontId="4" fillId="0" borderId="0" xfId="2" applyNumberFormat="1" applyAlignment="1">
      <alignment horizontal="center" vertical="center"/>
    </xf>
    <xf numFmtId="3" fontId="4" fillId="0" borderId="0" xfId="2" applyNumberFormat="1" applyAlignment="1">
      <alignment vertical="center" wrapText="1"/>
    </xf>
    <xf numFmtId="3" fontId="4" fillId="0" borderId="0" xfId="2" applyNumberFormat="1" applyAlignment="1">
      <alignment horizontal="left" vertical="center" wrapText="1"/>
    </xf>
    <xf numFmtId="2" fontId="4" fillId="0" borderId="0" xfId="2" applyNumberFormat="1" applyAlignment="1">
      <alignment horizontal="center" vertical="center"/>
    </xf>
    <xf numFmtId="0" fontId="4" fillId="0" borderId="0" xfId="2" applyAlignment="1">
      <alignment horizontal="center" vertical="center"/>
    </xf>
    <xf numFmtId="0" fontId="4" fillId="0" borderId="0" xfId="2" applyAlignment="1">
      <alignment horizontal="left" vertical="center" wrapText="1"/>
    </xf>
    <xf numFmtId="4" fontId="4" fillId="0" borderId="0" xfId="2" applyNumberForma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top"/>
    </xf>
    <xf numFmtId="0" fontId="12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wrapText="1"/>
    </xf>
    <xf numFmtId="0" fontId="11" fillId="6" borderId="1" xfId="0" applyFont="1" applyFill="1" applyBorder="1" applyAlignment="1">
      <alignment vertical="center" wrapText="1"/>
    </xf>
    <xf numFmtId="0" fontId="11" fillId="0" borderId="10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1" xfId="0" applyFont="1" applyBorder="1"/>
    <xf numFmtId="0" fontId="0" fillId="0" borderId="4" xfId="0" applyBorder="1" applyAlignment="1">
      <alignment wrapText="1"/>
    </xf>
    <xf numFmtId="0" fontId="12" fillId="8" borderId="13" xfId="0" applyFont="1" applyFill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12" fillId="8" borderId="15" xfId="0" applyFont="1" applyFill="1" applyBorder="1" applyAlignment="1">
      <alignment horizontal="center" vertical="top" wrapText="1"/>
    </xf>
    <xf numFmtId="0" fontId="12" fillId="8" borderId="18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8" borderId="19" xfId="0" applyFont="1" applyFill="1" applyBorder="1" applyAlignment="1">
      <alignment horizontal="center" vertical="top"/>
    </xf>
    <xf numFmtId="0" fontId="11" fillId="0" borderId="1" xfId="0" applyFont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2" fillId="8" borderId="10" xfId="0" applyFont="1" applyFill="1" applyBorder="1" applyAlignment="1">
      <alignment vertical="center" wrapText="1"/>
    </xf>
    <xf numFmtId="0" fontId="12" fillId="8" borderId="2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4" fillId="10" borderId="1" xfId="0" applyFont="1" applyFill="1" applyBorder="1" applyAlignment="1">
      <alignment vertical="center" wrapText="1"/>
    </xf>
    <xf numFmtId="0" fontId="12" fillId="8" borderId="18" xfId="0" applyFont="1" applyFill="1" applyBorder="1" applyAlignment="1">
      <alignment vertical="top" wrapText="1"/>
    </xf>
    <xf numFmtId="0" fontId="12" fillId="8" borderId="19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top" wrapText="1"/>
    </xf>
    <xf numFmtId="0" fontId="12" fillId="8" borderId="0" xfId="0" applyFont="1" applyFill="1" applyAlignment="1">
      <alignment horizontal="center" vertical="top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1" fillId="0" borderId="2" xfId="0" applyFont="1" applyBorder="1" applyAlignment="1">
      <alignment horizontal="left" vertical="top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1" fillId="6" borderId="2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11" fillId="0" borderId="1" xfId="0" applyFont="1" applyBorder="1" applyAlignment="1">
      <alignment wrapText="1"/>
    </xf>
    <xf numFmtId="0" fontId="0" fillId="0" borderId="1" xfId="0" applyBorder="1"/>
    <xf numFmtId="0" fontId="17" fillId="9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11" fillId="6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horizontal="left" vertical="top" wrapText="1"/>
    </xf>
    <xf numFmtId="0" fontId="0" fillId="6" borderId="1" xfId="0" applyFill="1" applyBorder="1" applyAlignment="1">
      <alignment wrapText="1"/>
    </xf>
    <xf numFmtId="0" fontId="15" fillId="9" borderId="2" xfId="0" applyFont="1" applyFill="1" applyBorder="1" applyAlignment="1">
      <alignment horizontal="center" vertical="top" textRotation="90" wrapText="1"/>
    </xf>
    <xf numFmtId="0" fontId="16" fillId="0" borderId="3" xfId="0" applyFont="1" applyBorder="1" applyAlignment="1">
      <alignment horizontal="center" vertical="top" textRotation="90" wrapText="1"/>
    </xf>
    <xf numFmtId="0" fontId="16" fillId="0" borderId="4" xfId="0" applyFont="1" applyBorder="1" applyAlignment="1">
      <alignment horizontal="center" vertical="top" textRotation="90" wrapText="1"/>
    </xf>
    <xf numFmtId="0" fontId="0" fillId="0" borderId="3" xfId="0" applyBorder="1" applyAlignment="1">
      <alignment vertical="top" wrapText="1"/>
    </xf>
    <xf numFmtId="0" fontId="12" fillId="8" borderId="12" xfId="0" applyFont="1" applyFill="1" applyBorder="1" applyAlignment="1">
      <alignment horizontal="left" vertical="top" wrapText="1"/>
    </xf>
    <xf numFmtId="0" fontId="12" fillId="8" borderId="13" xfId="0" applyFont="1" applyFill="1" applyBorder="1" applyAlignment="1">
      <alignment horizontal="left" vertical="top" wrapText="1"/>
    </xf>
    <xf numFmtId="0" fontId="12" fillId="8" borderId="14" xfId="0" applyFont="1" applyFill="1" applyBorder="1" applyAlignment="1">
      <alignment horizontal="left" vertical="top" wrapText="1"/>
    </xf>
    <xf numFmtId="0" fontId="11" fillId="6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8" fillId="0" borderId="3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 textRotation="90" wrapText="1"/>
    </xf>
    <xf numFmtId="0" fontId="16" fillId="0" borderId="3" xfId="0" applyFont="1" applyBorder="1" applyAlignment="1">
      <alignment horizontal="center" vertical="center" textRotation="90" wrapText="1"/>
    </xf>
    <xf numFmtId="0" fontId="11" fillId="6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8" fillId="0" borderId="1" xfId="0" applyFont="1" applyBorder="1" applyAlignment="1">
      <alignment horizontal="center" vertical="center" textRotation="90" wrapText="1"/>
    </xf>
    <xf numFmtId="0" fontId="11" fillId="6" borderId="2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11" fillId="6" borderId="3" xfId="0" applyFont="1" applyFill="1" applyBorder="1" applyAlignment="1">
      <alignment vertical="center" wrapText="1"/>
    </xf>
    <xf numFmtId="0" fontId="11" fillId="0" borderId="2" xfId="0" applyFont="1" applyBorder="1" applyAlignment="1">
      <alignment wrapText="1"/>
    </xf>
    <xf numFmtId="0" fontId="13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1" fillId="6" borderId="16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5" fillId="3" borderId="1" xfId="0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textRotation="90" wrapText="1"/>
    </xf>
    <xf numFmtId="0" fontId="9" fillId="4" borderId="3" xfId="2" applyFont="1" applyFill="1" applyBorder="1" applyAlignment="1">
      <alignment horizontal="center" vertical="center" textRotation="90" wrapText="1"/>
    </xf>
    <xf numFmtId="0" fontId="9" fillId="4" borderId="4" xfId="2" applyFont="1" applyFill="1" applyBorder="1" applyAlignment="1">
      <alignment horizontal="center" vertical="center" textRotation="90" wrapText="1"/>
    </xf>
    <xf numFmtId="0" fontId="6" fillId="4" borderId="1" xfId="2" applyFont="1" applyFill="1" applyBorder="1" applyAlignment="1">
      <alignment horizontal="center" vertical="center" wrapText="1"/>
    </xf>
    <xf numFmtId="0" fontId="6" fillId="5" borderId="5" xfId="2" applyFont="1" applyFill="1" applyBorder="1" applyAlignment="1">
      <alignment horizontal="center" vertical="center" wrapText="1"/>
    </xf>
    <xf numFmtId="0" fontId="6" fillId="5" borderId="6" xfId="2" applyFont="1" applyFill="1" applyBorder="1" applyAlignment="1">
      <alignment horizontal="center" vertical="center" wrapText="1"/>
    </xf>
    <xf numFmtId="0" fontId="6" fillId="5" borderId="7" xfId="2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6" fillId="7" borderId="1" xfId="2" applyFont="1" applyFill="1" applyBorder="1" applyAlignment="1">
      <alignment horizontal="center" vertical="center" textRotation="90" wrapText="1"/>
    </xf>
    <xf numFmtId="0" fontId="4" fillId="7" borderId="1" xfId="2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textRotation="90" wrapText="1"/>
    </xf>
    <xf numFmtId="0" fontId="4" fillId="3" borderId="1" xfId="2" applyFill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4" fillId="3" borderId="2" xfId="2" applyFill="1" applyBorder="1" applyAlignment="1">
      <alignment horizontal="center" vertical="center" wrapText="1"/>
    </xf>
    <xf numFmtId="0" fontId="4" fillId="3" borderId="3" xfId="2" applyFill="1" applyBorder="1" applyAlignment="1">
      <alignment horizontal="center" vertical="center" wrapText="1"/>
    </xf>
    <xf numFmtId="0" fontId="4" fillId="3" borderId="4" xfId="2" applyFill="1" applyBorder="1" applyAlignment="1">
      <alignment horizontal="center" vertical="center" wrapText="1"/>
    </xf>
    <xf numFmtId="0" fontId="7" fillId="0" borderId="0" xfId="2" applyFont="1" applyAlignment="1">
      <alignment horizontal="left" vertical="center"/>
    </xf>
    <xf numFmtId="0" fontId="6" fillId="0" borderId="2" xfId="2" applyFont="1" applyBorder="1" applyAlignment="1">
      <alignment horizontal="center" vertical="center" textRotation="90" wrapText="1"/>
    </xf>
    <xf numFmtId="0" fontId="6" fillId="0" borderId="3" xfId="2" applyFont="1" applyBorder="1" applyAlignment="1">
      <alignment horizontal="center" vertical="center" textRotation="90" wrapText="1"/>
    </xf>
    <xf numFmtId="0" fontId="6" fillId="0" borderId="4" xfId="2" applyFont="1" applyBorder="1" applyAlignment="1">
      <alignment horizontal="center" vertical="center" textRotation="90" wrapText="1"/>
    </xf>
    <xf numFmtId="0" fontId="4" fillId="0" borderId="2" xfId="2" applyBorder="1" applyAlignment="1">
      <alignment horizontal="center" vertical="center" wrapText="1"/>
    </xf>
    <xf numFmtId="0" fontId="4" fillId="0" borderId="3" xfId="2" applyBorder="1" applyAlignment="1">
      <alignment horizontal="center" vertical="center" wrapText="1"/>
    </xf>
    <xf numFmtId="0" fontId="4" fillId="0" borderId="4" xfId="2" applyBorder="1" applyAlignment="1">
      <alignment horizontal="center" vertical="center" wrapText="1"/>
    </xf>
    <xf numFmtId="0" fontId="4" fillId="7" borderId="2" xfId="2" applyFill="1" applyBorder="1" applyAlignment="1">
      <alignment horizontal="center" vertical="center" wrapText="1"/>
    </xf>
    <xf numFmtId="0" fontId="4" fillId="7" borderId="3" xfId="2" applyFill="1" applyBorder="1" applyAlignment="1">
      <alignment horizontal="center" vertical="center" wrapText="1"/>
    </xf>
    <xf numFmtId="0" fontId="4" fillId="7" borderId="4" xfId="2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textRotation="90" wrapText="1"/>
    </xf>
    <xf numFmtId="0" fontId="9" fillId="4" borderId="9" xfId="0" applyFont="1" applyFill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</cellXfs>
  <cellStyles count="9">
    <cellStyle name="Normal" xfId="0" builtinId="0"/>
    <cellStyle name="Normal 2" xfId="2" xr:uid="{00000000-0005-0000-0000-000001000000}"/>
    <cellStyle name="Normal 2 2" xfId="8" xr:uid="{AF266CBB-6586-4F46-9B1E-F0D30A4608C2}"/>
    <cellStyle name="Normal 3" xfId="4" xr:uid="{00000000-0005-0000-0000-000002000000}"/>
    <cellStyle name="Normal 4" xfId="5" xr:uid="{00000000-0005-0000-0000-000003000000}"/>
    <cellStyle name="Normal 5" xfId="6" xr:uid="{5476B76A-BBB2-453D-9A05-3529096C26F5}"/>
    <cellStyle name="Virgül" xfId="1" builtinId="3"/>
    <cellStyle name="Yüzde 2" xfId="3" xr:uid="{00000000-0005-0000-0000-000006000000}"/>
    <cellStyle name="Yüzde 3" xfId="7" xr:uid="{7FD7609F-97FA-4EB9-AEB1-C48EA4EBD221}"/>
  </cellStyles>
  <dxfs count="2"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3"/>
      </font>
      <fill>
        <patternFill patternType="gray0625"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mruColors>
      <color rgb="FFFFFF99"/>
      <color rgb="FF99FF99"/>
      <color rgb="FF017559"/>
      <color rgb="FF01B78C"/>
      <color rgb="FFFFCF37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7"/>
  <sheetViews>
    <sheetView showGridLines="0" showZeros="0" zoomScale="80" zoomScaleNormal="80" zoomScaleSheetLayoutView="45" workbookViewId="0">
      <pane xSplit="4" ySplit="3" topLeftCell="E94" activePane="bottomRight" state="frozen"/>
      <selection pane="topRight" activeCell="E1" sqref="E1"/>
      <selection pane="bottomLeft" activeCell="A4" sqref="A4"/>
      <selection pane="bottomRight" activeCell="E95" sqref="E95:E107"/>
    </sheetView>
  </sheetViews>
  <sheetFormatPr defaultColWidth="9.140625" defaultRowHeight="12.75" x14ac:dyDescent="0.2"/>
  <cols>
    <col min="1" max="1" width="9.140625" style="1"/>
    <col min="2" max="2" width="12" style="1" customWidth="1"/>
    <col min="3" max="3" width="20.85546875" style="4" customWidth="1"/>
    <col min="4" max="4" width="29" style="2" customWidth="1"/>
    <col min="5" max="5" width="21" style="2" customWidth="1"/>
    <col min="6" max="6" width="15.140625" style="5" customWidth="1"/>
    <col min="7" max="7" width="8.140625" style="6" customWidth="1"/>
    <col min="8" max="8" width="14.85546875" style="6" customWidth="1"/>
    <col min="9" max="9" width="12.85546875" style="6" customWidth="1"/>
    <col min="10" max="10" width="11.140625" style="6" customWidth="1"/>
    <col min="11" max="12" width="12" style="6" customWidth="1"/>
    <col min="13" max="13" width="14.42578125" style="6" customWidth="1"/>
    <col min="14" max="15" width="15.42578125" style="9" customWidth="1"/>
    <col min="16" max="20" width="8" style="7" customWidth="1"/>
    <col min="21" max="21" width="10.140625" style="7" customWidth="1"/>
    <col min="22" max="16384" width="9.140625" style="1"/>
  </cols>
  <sheetData>
    <row r="1" spans="1:15" s="2" customFormat="1" ht="21" customHeight="1" x14ac:dyDescent="0.2">
      <c r="A1" s="15"/>
      <c r="B1" s="100" t="s">
        <v>25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2" customFormat="1" ht="84" customHeight="1" x14ac:dyDescent="0.2">
      <c r="A2" s="96" t="s">
        <v>23</v>
      </c>
      <c r="B2" s="99" t="s">
        <v>24</v>
      </c>
      <c r="C2" s="102" t="s">
        <v>27</v>
      </c>
      <c r="D2" s="103"/>
      <c r="E2" s="103"/>
      <c r="F2" s="103"/>
      <c r="G2" s="103"/>
      <c r="H2" s="103"/>
      <c r="I2" s="103"/>
      <c r="J2" s="103"/>
      <c r="K2" s="104"/>
      <c r="L2" s="98">
        <v>2013</v>
      </c>
      <c r="M2" s="98"/>
      <c r="N2" s="98" t="s">
        <v>91</v>
      </c>
      <c r="O2" s="98"/>
    </row>
    <row r="3" spans="1:15" s="3" customFormat="1" ht="26.25" customHeight="1" x14ac:dyDescent="0.2">
      <c r="A3" s="96"/>
      <c r="B3" s="99"/>
      <c r="C3" s="13" t="s">
        <v>1</v>
      </c>
      <c r="D3" s="13" t="s">
        <v>2</v>
      </c>
      <c r="E3" s="13" t="s">
        <v>3</v>
      </c>
      <c r="F3" s="13" t="s">
        <v>4</v>
      </c>
      <c r="G3" s="13" t="s">
        <v>26</v>
      </c>
      <c r="H3" s="13" t="s">
        <v>5</v>
      </c>
      <c r="I3" s="13" t="s">
        <v>20</v>
      </c>
      <c r="J3" s="13" t="s">
        <v>6</v>
      </c>
      <c r="K3" s="13" t="s">
        <v>28</v>
      </c>
      <c r="L3" s="13" t="s">
        <v>21</v>
      </c>
      <c r="M3" s="13" t="s">
        <v>22</v>
      </c>
      <c r="N3" s="14" t="s">
        <v>19</v>
      </c>
      <c r="O3" s="14" t="s">
        <v>22</v>
      </c>
    </row>
    <row r="4" spans="1:15" ht="12.75" customHeight="1" x14ac:dyDescent="0.2">
      <c r="A4" s="96"/>
      <c r="B4" s="101" t="s">
        <v>29</v>
      </c>
      <c r="C4" s="97" t="s">
        <v>174</v>
      </c>
      <c r="D4" s="111" t="s">
        <v>165</v>
      </c>
      <c r="E4" s="97" t="s">
        <v>92</v>
      </c>
      <c r="F4" s="97" t="e">
        <f>#REF!</f>
        <v>#REF!</v>
      </c>
      <c r="G4" s="97" t="s">
        <v>94</v>
      </c>
      <c r="H4" s="97" t="s">
        <v>227</v>
      </c>
      <c r="I4" s="97" t="s">
        <v>226</v>
      </c>
      <c r="J4" s="97"/>
      <c r="K4" s="11" t="s">
        <v>7</v>
      </c>
      <c r="L4" s="22">
        <v>0</v>
      </c>
      <c r="M4" s="22">
        <v>0</v>
      </c>
      <c r="N4" s="22">
        <v>0</v>
      </c>
      <c r="O4" s="22">
        <v>0</v>
      </c>
    </row>
    <row r="5" spans="1:15" x14ac:dyDescent="0.2">
      <c r="A5" s="96"/>
      <c r="B5" s="101"/>
      <c r="C5" s="97"/>
      <c r="D5" s="111"/>
      <c r="E5" s="97"/>
      <c r="F5" s="97"/>
      <c r="G5" s="97"/>
      <c r="H5" s="97"/>
      <c r="I5" s="97"/>
      <c r="J5" s="97"/>
      <c r="K5" s="11" t="s">
        <v>8</v>
      </c>
      <c r="L5" s="22">
        <v>0</v>
      </c>
      <c r="M5" s="22">
        <v>0</v>
      </c>
      <c r="N5" s="22">
        <v>0</v>
      </c>
      <c r="O5" s="22">
        <v>0</v>
      </c>
    </row>
    <row r="6" spans="1:15" x14ac:dyDescent="0.2">
      <c r="A6" s="96"/>
      <c r="B6" s="101"/>
      <c r="C6" s="97"/>
      <c r="D6" s="111"/>
      <c r="E6" s="97"/>
      <c r="F6" s="97"/>
      <c r="G6" s="97"/>
      <c r="H6" s="97"/>
      <c r="I6" s="97"/>
      <c r="J6" s="97"/>
      <c r="K6" s="11" t="s">
        <v>9</v>
      </c>
      <c r="L6" s="22">
        <v>0</v>
      </c>
      <c r="M6" s="22">
        <v>0</v>
      </c>
      <c r="N6" s="22">
        <v>0</v>
      </c>
      <c r="O6" s="22">
        <v>0</v>
      </c>
    </row>
    <row r="7" spans="1:15" x14ac:dyDescent="0.2">
      <c r="A7" s="96"/>
      <c r="B7" s="101"/>
      <c r="C7" s="97"/>
      <c r="D7" s="111"/>
      <c r="E7" s="97"/>
      <c r="F7" s="97"/>
      <c r="G7" s="97"/>
      <c r="H7" s="97"/>
      <c r="I7" s="97"/>
      <c r="J7" s="97"/>
      <c r="K7" s="11" t="s">
        <v>10</v>
      </c>
      <c r="L7" s="22">
        <v>0</v>
      </c>
      <c r="M7" s="22">
        <v>0</v>
      </c>
      <c r="N7" s="22">
        <v>0</v>
      </c>
      <c r="O7" s="22">
        <v>0</v>
      </c>
    </row>
    <row r="8" spans="1:15" x14ac:dyDescent="0.2">
      <c r="A8" s="96"/>
      <c r="B8" s="101"/>
      <c r="C8" s="97"/>
      <c r="D8" s="111"/>
      <c r="E8" s="97"/>
      <c r="F8" s="97"/>
      <c r="G8" s="97"/>
      <c r="H8" s="97"/>
      <c r="I8" s="97"/>
      <c r="J8" s="97"/>
      <c r="K8" s="11" t="s">
        <v>11</v>
      </c>
      <c r="L8" s="22">
        <v>0</v>
      </c>
      <c r="M8" s="22">
        <v>0</v>
      </c>
      <c r="N8" s="22">
        <v>0</v>
      </c>
      <c r="O8" s="22">
        <v>0</v>
      </c>
    </row>
    <row r="9" spans="1:15" x14ac:dyDescent="0.2">
      <c r="A9" s="96"/>
      <c r="B9" s="101"/>
      <c r="C9" s="97"/>
      <c r="D9" s="111"/>
      <c r="E9" s="97"/>
      <c r="F9" s="97"/>
      <c r="G9" s="97"/>
      <c r="H9" s="97"/>
      <c r="I9" s="97"/>
      <c r="J9" s="97"/>
      <c r="K9" s="11" t="s">
        <v>12</v>
      </c>
      <c r="L9" s="22">
        <v>0</v>
      </c>
      <c r="M9" s="22">
        <v>0</v>
      </c>
      <c r="N9" s="22">
        <v>0</v>
      </c>
      <c r="O9" s="22">
        <v>0</v>
      </c>
    </row>
    <row r="10" spans="1:15" x14ac:dyDescent="0.2">
      <c r="A10" s="96"/>
      <c r="B10" s="101"/>
      <c r="C10" s="97"/>
      <c r="D10" s="111"/>
      <c r="E10" s="97"/>
      <c r="F10" s="97"/>
      <c r="G10" s="97"/>
      <c r="H10" s="97"/>
      <c r="I10" s="97"/>
      <c r="J10" s="97"/>
      <c r="K10" s="11" t="s">
        <v>13</v>
      </c>
      <c r="L10" s="22">
        <v>0</v>
      </c>
      <c r="M10" s="22">
        <v>44</v>
      </c>
      <c r="N10" s="22">
        <v>50</v>
      </c>
      <c r="O10" s="22">
        <v>0</v>
      </c>
    </row>
    <row r="11" spans="1:15" x14ac:dyDescent="0.2">
      <c r="A11" s="96"/>
      <c r="B11" s="101"/>
      <c r="C11" s="97"/>
      <c r="D11" s="111"/>
      <c r="E11" s="97"/>
      <c r="F11" s="97"/>
      <c r="G11" s="97"/>
      <c r="H11" s="97"/>
      <c r="I11" s="97"/>
      <c r="J11" s="97"/>
      <c r="K11" s="11" t="s">
        <v>14</v>
      </c>
      <c r="L11" s="22">
        <v>90</v>
      </c>
      <c r="M11" s="22">
        <v>44</v>
      </c>
      <c r="N11" s="22">
        <v>50</v>
      </c>
      <c r="O11" s="22">
        <v>0</v>
      </c>
    </row>
    <row r="12" spans="1:15" x14ac:dyDescent="0.2">
      <c r="A12" s="96"/>
      <c r="B12" s="101"/>
      <c r="C12" s="97"/>
      <c r="D12" s="111"/>
      <c r="E12" s="97"/>
      <c r="F12" s="97"/>
      <c r="G12" s="97"/>
      <c r="H12" s="97"/>
      <c r="I12" s="97"/>
      <c r="J12" s="97"/>
      <c r="K12" s="11" t="s">
        <v>15</v>
      </c>
      <c r="L12" s="22">
        <v>0</v>
      </c>
      <c r="M12" s="22">
        <v>0</v>
      </c>
      <c r="N12" s="22">
        <v>0</v>
      </c>
      <c r="O12" s="22">
        <v>0</v>
      </c>
    </row>
    <row r="13" spans="1:15" x14ac:dyDescent="0.2">
      <c r="A13" s="96"/>
      <c r="B13" s="101"/>
      <c r="C13" s="97"/>
      <c r="D13" s="111"/>
      <c r="E13" s="97"/>
      <c r="F13" s="97"/>
      <c r="G13" s="97"/>
      <c r="H13" s="97"/>
      <c r="I13" s="97"/>
      <c r="J13" s="97"/>
      <c r="K13" s="11" t="s">
        <v>16</v>
      </c>
      <c r="L13" s="22">
        <v>0</v>
      </c>
      <c r="M13" s="22">
        <v>0</v>
      </c>
      <c r="N13" s="22">
        <v>0</v>
      </c>
      <c r="O13" s="22">
        <v>0</v>
      </c>
    </row>
    <row r="14" spans="1:15" x14ac:dyDescent="0.2">
      <c r="A14" s="96"/>
      <c r="B14" s="101"/>
      <c r="C14" s="97"/>
      <c r="D14" s="111"/>
      <c r="E14" s="97"/>
      <c r="F14" s="97"/>
      <c r="G14" s="97"/>
      <c r="H14" s="97"/>
      <c r="I14" s="97"/>
      <c r="J14" s="97"/>
      <c r="K14" s="11" t="s">
        <v>17</v>
      </c>
      <c r="L14" s="22">
        <v>0</v>
      </c>
      <c r="M14" s="22">
        <v>0</v>
      </c>
      <c r="N14" s="22">
        <v>0</v>
      </c>
      <c r="O14" s="22">
        <v>0</v>
      </c>
    </row>
    <row r="15" spans="1:15" x14ac:dyDescent="0.2">
      <c r="A15" s="96"/>
      <c r="B15" s="101"/>
      <c r="C15" s="97"/>
      <c r="D15" s="111"/>
      <c r="E15" s="97"/>
      <c r="F15" s="97"/>
      <c r="G15" s="97"/>
      <c r="H15" s="97"/>
      <c r="I15" s="97"/>
      <c r="J15" s="97"/>
      <c r="K15" s="11" t="s">
        <v>18</v>
      </c>
      <c r="L15" s="22">
        <v>0</v>
      </c>
      <c r="M15" s="22">
        <v>0</v>
      </c>
      <c r="N15" s="22">
        <v>0</v>
      </c>
      <c r="O15" s="22">
        <v>0</v>
      </c>
    </row>
    <row r="16" spans="1:15" ht="13.5" customHeight="1" x14ac:dyDescent="0.2">
      <c r="A16" s="96"/>
      <c r="B16" s="101"/>
      <c r="C16" s="97"/>
      <c r="D16" s="111"/>
      <c r="E16" s="97"/>
      <c r="F16" s="97"/>
      <c r="G16" s="97"/>
      <c r="H16" s="97"/>
      <c r="I16" s="97"/>
      <c r="J16" s="97"/>
      <c r="K16" s="11" t="s">
        <v>0</v>
      </c>
      <c r="L16" s="18">
        <f>SUM(L4:L15)</f>
        <v>90</v>
      </c>
      <c r="M16" s="18">
        <f t="shared" ref="M16:O16" si="0">SUM(M4:M15)</f>
        <v>88</v>
      </c>
      <c r="N16" s="18">
        <f t="shared" si="0"/>
        <v>100</v>
      </c>
      <c r="O16" s="18">
        <f t="shared" si="0"/>
        <v>0</v>
      </c>
    </row>
    <row r="17" spans="1:15" ht="12.75" customHeight="1" x14ac:dyDescent="0.2">
      <c r="A17" s="96"/>
      <c r="B17" s="101" t="s">
        <v>29</v>
      </c>
      <c r="C17" s="97" t="s">
        <v>150</v>
      </c>
      <c r="D17" s="111" t="s">
        <v>165</v>
      </c>
      <c r="E17" s="97" t="s">
        <v>92</v>
      </c>
      <c r="F17" s="97" t="s">
        <v>82</v>
      </c>
      <c r="G17" s="97" t="s">
        <v>94</v>
      </c>
      <c r="H17" s="97"/>
      <c r="I17" s="97"/>
      <c r="J17" s="97"/>
      <c r="K17" s="12" t="s">
        <v>7</v>
      </c>
      <c r="L17" s="22">
        <v>0</v>
      </c>
      <c r="M17" s="22">
        <v>0</v>
      </c>
      <c r="N17" s="22">
        <v>0</v>
      </c>
      <c r="O17" s="22">
        <v>0</v>
      </c>
    </row>
    <row r="18" spans="1:15" x14ac:dyDescent="0.2">
      <c r="A18" s="96"/>
      <c r="B18" s="101"/>
      <c r="C18" s="97"/>
      <c r="D18" s="111"/>
      <c r="E18" s="97"/>
      <c r="F18" s="97"/>
      <c r="G18" s="97"/>
      <c r="H18" s="97"/>
      <c r="I18" s="97"/>
      <c r="J18" s="97"/>
      <c r="K18" s="12" t="s">
        <v>8</v>
      </c>
      <c r="L18" s="22">
        <v>0</v>
      </c>
      <c r="M18" s="22">
        <v>0</v>
      </c>
      <c r="N18" s="22">
        <v>0</v>
      </c>
      <c r="O18" s="22">
        <v>0</v>
      </c>
    </row>
    <row r="19" spans="1:15" x14ac:dyDescent="0.2">
      <c r="A19" s="96"/>
      <c r="B19" s="101"/>
      <c r="C19" s="97"/>
      <c r="D19" s="111"/>
      <c r="E19" s="97"/>
      <c r="F19" s="97"/>
      <c r="G19" s="97"/>
      <c r="H19" s="97"/>
      <c r="I19" s="97"/>
      <c r="J19" s="97"/>
      <c r="K19" s="12" t="s">
        <v>9</v>
      </c>
      <c r="L19" s="22">
        <v>0</v>
      </c>
      <c r="M19" s="22">
        <v>0</v>
      </c>
      <c r="N19" s="22">
        <v>0</v>
      </c>
      <c r="O19" s="22">
        <v>0</v>
      </c>
    </row>
    <row r="20" spans="1:15" x14ac:dyDescent="0.2">
      <c r="A20" s="96"/>
      <c r="B20" s="101"/>
      <c r="C20" s="97"/>
      <c r="D20" s="111"/>
      <c r="E20" s="97"/>
      <c r="F20" s="97"/>
      <c r="G20" s="97"/>
      <c r="H20" s="97"/>
      <c r="I20" s="97"/>
      <c r="J20" s="97"/>
      <c r="K20" s="12" t="s">
        <v>10</v>
      </c>
      <c r="L20" s="22">
        <v>0</v>
      </c>
      <c r="M20" s="22">
        <v>0</v>
      </c>
      <c r="N20" s="22">
        <v>0</v>
      </c>
      <c r="O20" s="22">
        <v>0</v>
      </c>
    </row>
    <row r="21" spans="1:15" x14ac:dyDescent="0.2">
      <c r="A21" s="96"/>
      <c r="B21" s="101"/>
      <c r="C21" s="97"/>
      <c r="D21" s="111"/>
      <c r="E21" s="97"/>
      <c r="F21" s="97"/>
      <c r="G21" s="97"/>
      <c r="H21" s="97"/>
      <c r="I21" s="97"/>
      <c r="J21" s="97"/>
      <c r="K21" s="12" t="s">
        <v>11</v>
      </c>
      <c r="L21" s="22">
        <v>0</v>
      </c>
      <c r="M21" s="22">
        <v>0</v>
      </c>
      <c r="N21" s="22">
        <v>0</v>
      </c>
      <c r="O21" s="22">
        <v>0</v>
      </c>
    </row>
    <row r="22" spans="1:15" x14ac:dyDescent="0.2">
      <c r="A22" s="96"/>
      <c r="B22" s="101"/>
      <c r="C22" s="97"/>
      <c r="D22" s="111"/>
      <c r="E22" s="97"/>
      <c r="F22" s="97"/>
      <c r="G22" s="97"/>
      <c r="H22" s="97"/>
      <c r="I22" s="97"/>
      <c r="J22" s="97"/>
      <c r="K22" s="12" t="s">
        <v>12</v>
      </c>
      <c r="L22" s="22">
        <v>0</v>
      </c>
      <c r="M22" s="22">
        <v>0</v>
      </c>
      <c r="N22" s="22">
        <v>0</v>
      </c>
      <c r="O22" s="22">
        <v>0</v>
      </c>
    </row>
    <row r="23" spans="1:15" x14ac:dyDescent="0.2">
      <c r="A23" s="96"/>
      <c r="B23" s="101"/>
      <c r="C23" s="97"/>
      <c r="D23" s="111"/>
      <c r="E23" s="97"/>
      <c r="F23" s="97"/>
      <c r="G23" s="97"/>
      <c r="H23" s="97"/>
      <c r="I23" s="97"/>
      <c r="J23" s="97"/>
      <c r="K23" s="12" t="s">
        <v>13</v>
      </c>
      <c r="L23" s="22">
        <v>0</v>
      </c>
      <c r="M23" s="22">
        <v>0</v>
      </c>
      <c r="N23" s="22">
        <v>0</v>
      </c>
      <c r="O23" s="22">
        <v>0</v>
      </c>
    </row>
    <row r="24" spans="1:15" x14ac:dyDescent="0.2">
      <c r="A24" s="96"/>
      <c r="B24" s="101"/>
      <c r="C24" s="97"/>
      <c r="D24" s="111"/>
      <c r="E24" s="97"/>
      <c r="F24" s="97"/>
      <c r="G24" s="97"/>
      <c r="H24" s="97"/>
      <c r="I24" s="97"/>
      <c r="J24" s="97"/>
      <c r="K24" s="12" t="s">
        <v>14</v>
      </c>
      <c r="L24" s="22">
        <v>36</v>
      </c>
      <c r="M24" s="22">
        <v>11</v>
      </c>
      <c r="N24" s="22">
        <v>11</v>
      </c>
      <c r="O24" s="22">
        <v>0</v>
      </c>
    </row>
    <row r="25" spans="1:15" x14ac:dyDescent="0.2">
      <c r="A25" s="96"/>
      <c r="B25" s="101"/>
      <c r="C25" s="97"/>
      <c r="D25" s="111"/>
      <c r="E25" s="97"/>
      <c r="F25" s="97"/>
      <c r="G25" s="97"/>
      <c r="H25" s="97"/>
      <c r="I25" s="97"/>
      <c r="J25" s="97"/>
      <c r="K25" s="12" t="s">
        <v>15</v>
      </c>
      <c r="L25" s="22">
        <v>0</v>
      </c>
      <c r="M25" s="22">
        <v>0</v>
      </c>
      <c r="N25" s="22">
        <v>0</v>
      </c>
      <c r="O25" s="22">
        <v>0</v>
      </c>
    </row>
    <row r="26" spans="1:15" x14ac:dyDescent="0.2">
      <c r="A26" s="96"/>
      <c r="B26" s="101"/>
      <c r="C26" s="97"/>
      <c r="D26" s="111"/>
      <c r="E26" s="97"/>
      <c r="F26" s="97"/>
      <c r="G26" s="97"/>
      <c r="H26" s="97"/>
      <c r="I26" s="97"/>
      <c r="J26" s="97"/>
      <c r="K26" s="12" t="s">
        <v>16</v>
      </c>
      <c r="L26" s="22">
        <v>0</v>
      </c>
      <c r="M26" s="22">
        <v>0</v>
      </c>
      <c r="N26" s="22">
        <v>0</v>
      </c>
      <c r="O26" s="22">
        <v>0</v>
      </c>
    </row>
    <row r="27" spans="1:15" x14ac:dyDescent="0.2">
      <c r="A27" s="96"/>
      <c r="B27" s="101"/>
      <c r="C27" s="97"/>
      <c r="D27" s="111"/>
      <c r="E27" s="97"/>
      <c r="F27" s="97"/>
      <c r="G27" s="97"/>
      <c r="H27" s="97"/>
      <c r="I27" s="97"/>
      <c r="J27" s="97"/>
      <c r="K27" s="12" t="s">
        <v>17</v>
      </c>
      <c r="L27" s="22">
        <v>0</v>
      </c>
      <c r="M27" s="22">
        <v>0</v>
      </c>
      <c r="N27" s="22">
        <v>0</v>
      </c>
      <c r="O27" s="22">
        <v>0</v>
      </c>
    </row>
    <row r="28" spans="1:15" x14ac:dyDescent="0.2">
      <c r="A28" s="96"/>
      <c r="B28" s="101"/>
      <c r="C28" s="97"/>
      <c r="D28" s="111"/>
      <c r="E28" s="97"/>
      <c r="F28" s="97"/>
      <c r="G28" s="97"/>
      <c r="H28" s="97"/>
      <c r="I28" s="97"/>
      <c r="J28" s="97"/>
      <c r="K28" s="12" t="s">
        <v>18</v>
      </c>
      <c r="L28" s="22">
        <v>0</v>
      </c>
      <c r="M28" s="22">
        <v>0</v>
      </c>
      <c r="N28" s="22">
        <v>0</v>
      </c>
      <c r="O28" s="22">
        <v>0</v>
      </c>
    </row>
    <row r="29" spans="1:15" x14ac:dyDescent="0.2">
      <c r="A29" s="96"/>
      <c r="B29" s="101"/>
      <c r="C29" s="97"/>
      <c r="D29" s="111"/>
      <c r="E29" s="97"/>
      <c r="F29" s="97"/>
      <c r="G29" s="97"/>
      <c r="H29" s="97"/>
      <c r="I29" s="97"/>
      <c r="J29" s="97"/>
      <c r="K29" s="12" t="s">
        <v>0</v>
      </c>
      <c r="L29" s="18">
        <f>SUM(L17:L28)</f>
        <v>36</v>
      </c>
      <c r="M29" s="18">
        <f t="shared" ref="M29" si="1">SUM(M17:M28)</f>
        <v>11</v>
      </c>
      <c r="N29" s="18">
        <f t="shared" ref="N29" si="2">SUM(N17:N28)</f>
        <v>11</v>
      </c>
      <c r="O29" s="18">
        <f t="shared" ref="O29" si="3">SUM(O17:O28)</f>
        <v>0</v>
      </c>
    </row>
    <row r="30" spans="1:15" x14ac:dyDescent="0.2">
      <c r="A30" s="96"/>
      <c r="B30" s="101" t="s">
        <v>29</v>
      </c>
      <c r="C30" s="97" t="s">
        <v>151</v>
      </c>
      <c r="D30" s="111" t="s">
        <v>165</v>
      </c>
      <c r="E30" s="97" t="s">
        <v>92</v>
      </c>
      <c r="F30" s="97" t="s">
        <v>82</v>
      </c>
      <c r="G30" s="97" t="s">
        <v>94</v>
      </c>
      <c r="H30" s="97"/>
      <c r="I30" s="97"/>
      <c r="J30" s="97"/>
      <c r="K30" s="12" t="s">
        <v>7</v>
      </c>
      <c r="L30" s="22">
        <v>0</v>
      </c>
      <c r="M30" s="22">
        <v>0</v>
      </c>
      <c r="N30" s="22">
        <v>0</v>
      </c>
      <c r="O30" s="22">
        <v>0</v>
      </c>
    </row>
    <row r="31" spans="1:15" x14ac:dyDescent="0.2">
      <c r="A31" s="96"/>
      <c r="B31" s="101"/>
      <c r="C31" s="97"/>
      <c r="D31" s="111"/>
      <c r="E31" s="97"/>
      <c r="F31" s="97"/>
      <c r="G31" s="97"/>
      <c r="H31" s="97"/>
      <c r="I31" s="97"/>
      <c r="J31" s="97"/>
      <c r="K31" s="12" t="s">
        <v>8</v>
      </c>
      <c r="L31" s="22">
        <v>0</v>
      </c>
      <c r="M31" s="22">
        <v>0</v>
      </c>
      <c r="N31" s="22">
        <v>0</v>
      </c>
      <c r="O31" s="22">
        <v>0</v>
      </c>
    </row>
    <row r="32" spans="1:15" x14ac:dyDescent="0.2">
      <c r="A32" s="96"/>
      <c r="B32" s="101"/>
      <c r="C32" s="97"/>
      <c r="D32" s="111"/>
      <c r="E32" s="97"/>
      <c r="F32" s="97"/>
      <c r="G32" s="97"/>
      <c r="H32" s="97"/>
      <c r="I32" s="97"/>
      <c r="J32" s="97"/>
      <c r="K32" s="12" t="s">
        <v>9</v>
      </c>
      <c r="L32" s="22">
        <v>0</v>
      </c>
      <c r="M32" s="22">
        <v>0</v>
      </c>
      <c r="N32" s="22">
        <v>0</v>
      </c>
      <c r="O32" s="22">
        <v>0</v>
      </c>
    </row>
    <row r="33" spans="1:15" x14ac:dyDescent="0.2">
      <c r="A33" s="96"/>
      <c r="B33" s="101"/>
      <c r="C33" s="97"/>
      <c r="D33" s="111"/>
      <c r="E33" s="97"/>
      <c r="F33" s="97"/>
      <c r="G33" s="97"/>
      <c r="H33" s="97"/>
      <c r="I33" s="97"/>
      <c r="J33" s="97"/>
      <c r="K33" s="12" t="s">
        <v>10</v>
      </c>
      <c r="L33" s="22">
        <v>0</v>
      </c>
      <c r="M33" s="22">
        <v>0</v>
      </c>
      <c r="N33" s="22">
        <v>0</v>
      </c>
      <c r="O33" s="22">
        <v>0</v>
      </c>
    </row>
    <row r="34" spans="1:15" x14ac:dyDescent="0.2">
      <c r="A34" s="96"/>
      <c r="B34" s="101"/>
      <c r="C34" s="97"/>
      <c r="D34" s="111"/>
      <c r="E34" s="97"/>
      <c r="F34" s="97"/>
      <c r="G34" s="97"/>
      <c r="H34" s="97"/>
      <c r="I34" s="97"/>
      <c r="J34" s="97"/>
      <c r="K34" s="12" t="s">
        <v>11</v>
      </c>
      <c r="L34" s="22">
        <v>0</v>
      </c>
      <c r="M34" s="22">
        <v>0</v>
      </c>
      <c r="N34" s="22">
        <v>0</v>
      </c>
      <c r="O34" s="22">
        <v>0</v>
      </c>
    </row>
    <row r="35" spans="1:15" x14ac:dyDescent="0.2">
      <c r="A35" s="96"/>
      <c r="B35" s="101"/>
      <c r="C35" s="97"/>
      <c r="D35" s="111"/>
      <c r="E35" s="97"/>
      <c r="F35" s="97"/>
      <c r="G35" s="97"/>
      <c r="H35" s="97"/>
      <c r="I35" s="97"/>
      <c r="J35" s="97"/>
      <c r="K35" s="12" t="s">
        <v>12</v>
      </c>
      <c r="L35" s="22">
        <v>0</v>
      </c>
      <c r="M35" s="22">
        <v>0</v>
      </c>
      <c r="N35" s="22">
        <v>0</v>
      </c>
      <c r="O35" s="22">
        <v>0</v>
      </c>
    </row>
    <row r="36" spans="1:15" x14ac:dyDescent="0.2">
      <c r="A36" s="96"/>
      <c r="B36" s="101"/>
      <c r="C36" s="97"/>
      <c r="D36" s="111"/>
      <c r="E36" s="97"/>
      <c r="F36" s="97"/>
      <c r="G36" s="97"/>
      <c r="H36" s="97"/>
      <c r="I36" s="97"/>
      <c r="J36" s="97"/>
      <c r="K36" s="12" t="s">
        <v>13</v>
      </c>
      <c r="L36" s="22">
        <v>0</v>
      </c>
      <c r="M36" s="22">
        <v>0</v>
      </c>
      <c r="N36" s="22">
        <v>0</v>
      </c>
      <c r="O36" s="22">
        <v>0</v>
      </c>
    </row>
    <row r="37" spans="1:15" x14ac:dyDescent="0.2">
      <c r="A37" s="96"/>
      <c r="B37" s="101"/>
      <c r="C37" s="97"/>
      <c r="D37" s="111"/>
      <c r="E37" s="97"/>
      <c r="F37" s="97"/>
      <c r="G37" s="97"/>
      <c r="H37" s="97"/>
      <c r="I37" s="97"/>
      <c r="J37" s="97"/>
      <c r="K37" s="12" t="s">
        <v>14</v>
      </c>
      <c r="L37" s="22">
        <v>36</v>
      </c>
      <c r="M37" s="22">
        <v>24</v>
      </c>
      <c r="N37" s="22">
        <v>27</v>
      </c>
      <c r="O37" s="22">
        <v>0</v>
      </c>
    </row>
    <row r="38" spans="1:15" x14ac:dyDescent="0.2">
      <c r="A38" s="96"/>
      <c r="B38" s="101"/>
      <c r="C38" s="97"/>
      <c r="D38" s="111"/>
      <c r="E38" s="97"/>
      <c r="F38" s="97"/>
      <c r="G38" s="97"/>
      <c r="H38" s="97"/>
      <c r="I38" s="97"/>
      <c r="J38" s="97"/>
      <c r="K38" s="12" t="s">
        <v>15</v>
      </c>
      <c r="L38" s="22">
        <v>0</v>
      </c>
      <c r="M38" s="22">
        <v>0</v>
      </c>
      <c r="N38" s="22">
        <v>0</v>
      </c>
      <c r="O38" s="22">
        <v>0</v>
      </c>
    </row>
    <row r="39" spans="1:15" x14ac:dyDescent="0.2">
      <c r="A39" s="96"/>
      <c r="B39" s="101"/>
      <c r="C39" s="97"/>
      <c r="D39" s="111"/>
      <c r="E39" s="97"/>
      <c r="F39" s="97"/>
      <c r="G39" s="97"/>
      <c r="H39" s="97"/>
      <c r="I39" s="97"/>
      <c r="J39" s="97"/>
      <c r="K39" s="12" t="s">
        <v>16</v>
      </c>
      <c r="L39" s="22">
        <v>0</v>
      </c>
      <c r="M39" s="22">
        <v>0</v>
      </c>
      <c r="N39" s="22">
        <v>0</v>
      </c>
      <c r="O39" s="22">
        <v>0</v>
      </c>
    </row>
    <row r="40" spans="1:15" x14ac:dyDescent="0.2">
      <c r="A40" s="96"/>
      <c r="B40" s="101"/>
      <c r="C40" s="97"/>
      <c r="D40" s="111"/>
      <c r="E40" s="97"/>
      <c r="F40" s="97"/>
      <c r="G40" s="97"/>
      <c r="H40" s="97"/>
      <c r="I40" s="97"/>
      <c r="J40" s="97"/>
      <c r="K40" s="12" t="s">
        <v>17</v>
      </c>
      <c r="L40" s="22">
        <v>0</v>
      </c>
      <c r="M40" s="22">
        <v>0</v>
      </c>
      <c r="N40" s="22">
        <v>0</v>
      </c>
      <c r="O40" s="22">
        <v>0</v>
      </c>
    </row>
    <row r="41" spans="1:15" x14ac:dyDescent="0.2">
      <c r="A41" s="96"/>
      <c r="B41" s="101"/>
      <c r="C41" s="97"/>
      <c r="D41" s="111"/>
      <c r="E41" s="97"/>
      <c r="F41" s="97"/>
      <c r="G41" s="97"/>
      <c r="H41" s="97"/>
      <c r="I41" s="97"/>
      <c r="J41" s="97"/>
      <c r="K41" s="12" t="s">
        <v>18</v>
      </c>
      <c r="L41" s="22">
        <v>0</v>
      </c>
      <c r="M41" s="22">
        <v>0</v>
      </c>
      <c r="N41" s="22">
        <v>0</v>
      </c>
      <c r="O41" s="22">
        <v>0</v>
      </c>
    </row>
    <row r="42" spans="1:15" x14ac:dyDescent="0.2">
      <c r="A42" s="96"/>
      <c r="B42" s="101"/>
      <c r="C42" s="97"/>
      <c r="D42" s="111"/>
      <c r="E42" s="97"/>
      <c r="F42" s="97"/>
      <c r="G42" s="97"/>
      <c r="H42" s="97"/>
      <c r="I42" s="97"/>
      <c r="J42" s="97"/>
      <c r="K42" s="12" t="s">
        <v>0</v>
      </c>
      <c r="L42" s="18">
        <f>SUM(L30:L41)</f>
        <v>36</v>
      </c>
      <c r="M42" s="18">
        <f t="shared" ref="M42" si="4">SUM(M30:M41)</f>
        <v>24</v>
      </c>
      <c r="N42" s="18">
        <f t="shared" ref="N42" si="5">SUM(N30:N41)</f>
        <v>27</v>
      </c>
      <c r="O42" s="18">
        <f t="shared" ref="O42" si="6">SUM(O30:O41)</f>
        <v>0</v>
      </c>
    </row>
    <row r="43" spans="1:15" ht="12.75" customHeight="1" x14ac:dyDescent="0.2">
      <c r="A43" s="96"/>
      <c r="B43" s="101" t="s">
        <v>29</v>
      </c>
      <c r="C43" s="97" t="s">
        <v>152</v>
      </c>
      <c r="D43" s="111" t="s">
        <v>165</v>
      </c>
      <c r="E43" s="97" t="s">
        <v>92</v>
      </c>
      <c r="F43" s="97" t="s">
        <v>82</v>
      </c>
      <c r="G43" s="97" t="s">
        <v>94</v>
      </c>
      <c r="H43" s="97"/>
      <c r="I43" s="97"/>
      <c r="J43" s="97"/>
      <c r="K43" s="12" t="s">
        <v>7</v>
      </c>
      <c r="L43" s="22">
        <v>0</v>
      </c>
      <c r="M43" s="22">
        <v>0</v>
      </c>
      <c r="N43" s="22">
        <v>0</v>
      </c>
      <c r="O43" s="22">
        <v>0</v>
      </c>
    </row>
    <row r="44" spans="1:15" x14ac:dyDescent="0.2">
      <c r="A44" s="96"/>
      <c r="B44" s="101"/>
      <c r="C44" s="97"/>
      <c r="D44" s="111"/>
      <c r="E44" s="97"/>
      <c r="F44" s="97"/>
      <c r="G44" s="97"/>
      <c r="H44" s="97"/>
      <c r="I44" s="97"/>
      <c r="J44" s="97"/>
      <c r="K44" s="12" t="s">
        <v>8</v>
      </c>
      <c r="L44" s="22">
        <v>0</v>
      </c>
      <c r="M44" s="22">
        <v>0</v>
      </c>
      <c r="N44" s="22">
        <v>0</v>
      </c>
      <c r="O44" s="22">
        <v>0</v>
      </c>
    </row>
    <row r="45" spans="1:15" x14ac:dyDescent="0.2">
      <c r="A45" s="96"/>
      <c r="B45" s="101"/>
      <c r="C45" s="97"/>
      <c r="D45" s="111"/>
      <c r="E45" s="97"/>
      <c r="F45" s="97"/>
      <c r="G45" s="97"/>
      <c r="H45" s="97"/>
      <c r="I45" s="97"/>
      <c r="J45" s="97"/>
      <c r="K45" s="12" t="s">
        <v>9</v>
      </c>
      <c r="L45" s="22">
        <v>0</v>
      </c>
      <c r="M45" s="22">
        <v>0</v>
      </c>
      <c r="N45" s="22">
        <v>0</v>
      </c>
      <c r="O45" s="22">
        <v>0</v>
      </c>
    </row>
    <row r="46" spans="1:15" x14ac:dyDescent="0.2">
      <c r="A46" s="96"/>
      <c r="B46" s="101"/>
      <c r="C46" s="97"/>
      <c r="D46" s="111"/>
      <c r="E46" s="97"/>
      <c r="F46" s="97"/>
      <c r="G46" s="97"/>
      <c r="H46" s="97"/>
      <c r="I46" s="97"/>
      <c r="J46" s="97"/>
      <c r="K46" s="12" t="s">
        <v>10</v>
      </c>
      <c r="L46" s="22">
        <v>0</v>
      </c>
      <c r="M46" s="22">
        <v>0</v>
      </c>
      <c r="N46" s="22">
        <v>0</v>
      </c>
      <c r="O46" s="22">
        <v>0</v>
      </c>
    </row>
    <row r="47" spans="1:15" x14ac:dyDescent="0.2">
      <c r="A47" s="96"/>
      <c r="B47" s="101"/>
      <c r="C47" s="97"/>
      <c r="D47" s="111"/>
      <c r="E47" s="97"/>
      <c r="F47" s="97"/>
      <c r="G47" s="97"/>
      <c r="H47" s="97"/>
      <c r="I47" s="97"/>
      <c r="J47" s="97"/>
      <c r="K47" s="12" t="s">
        <v>11</v>
      </c>
      <c r="L47" s="22">
        <v>0</v>
      </c>
      <c r="M47" s="22">
        <v>0</v>
      </c>
      <c r="N47" s="22">
        <v>0</v>
      </c>
      <c r="O47" s="22">
        <v>0</v>
      </c>
    </row>
    <row r="48" spans="1:15" x14ac:dyDescent="0.2">
      <c r="A48" s="96"/>
      <c r="B48" s="101"/>
      <c r="C48" s="97"/>
      <c r="D48" s="111"/>
      <c r="E48" s="97"/>
      <c r="F48" s="97"/>
      <c r="G48" s="97"/>
      <c r="H48" s="97"/>
      <c r="I48" s="97"/>
      <c r="J48" s="97"/>
      <c r="K48" s="12" t="s">
        <v>12</v>
      </c>
      <c r="L48" s="22">
        <v>0</v>
      </c>
      <c r="M48" s="22">
        <v>0</v>
      </c>
      <c r="N48" s="22">
        <v>0</v>
      </c>
      <c r="O48" s="22">
        <v>0</v>
      </c>
    </row>
    <row r="49" spans="1:15" x14ac:dyDescent="0.2">
      <c r="A49" s="96"/>
      <c r="B49" s="101"/>
      <c r="C49" s="97"/>
      <c r="D49" s="111"/>
      <c r="E49" s="97"/>
      <c r="F49" s="97"/>
      <c r="G49" s="97"/>
      <c r="H49" s="97"/>
      <c r="I49" s="97"/>
      <c r="J49" s="97"/>
      <c r="K49" s="12" t="s">
        <v>13</v>
      </c>
      <c r="L49" s="22">
        <v>18</v>
      </c>
      <c r="M49" s="22">
        <v>9</v>
      </c>
      <c r="N49" s="22">
        <v>12</v>
      </c>
      <c r="O49" s="22">
        <v>0</v>
      </c>
    </row>
    <row r="50" spans="1:15" x14ac:dyDescent="0.2">
      <c r="A50" s="96"/>
      <c r="B50" s="101"/>
      <c r="C50" s="97"/>
      <c r="D50" s="111"/>
      <c r="E50" s="97"/>
      <c r="F50" s="97"/>
      <c r="G50" s="97"/>
      <c r="H50" s="97"/>
      <c r="I50" s="97"/>
      <c r="J50" s="97"/>
      <c r="K50" s="12" t="s">
        <v>14</v>
      </c>
      <c r="L50" s="22">
        <v>0</v>
      </c>
      <c r="M50" s="22">
        <v>0</v>
      </c>
      <c r="N50" s="22">
        <v>0</v>
      </c>
      <c r="O50" s="22">
        <v>0</v>
      </c>
    </row>
    <row r="51" spans="1:15" x14ac:dyDescent="0.2">
      <c r="A51" s="96"/>
      <c r="B51" s="101"/>
      <c r="C51" s="97"/>
      <c r="D51" s="111"/>
      <c r="E51" s="97"/>
      <c r="F51" s="97"/>
      <c r="G51" s="97"/>
      <c r="H51" s="97"/>
      <c r="I51" s="97"/>
      <c r="J51" s="97"/>
      <c r="K51" s="12" t="s">
        <v>15</v>
      </c>
      <c r="L51" s="22">
        <v>0</v>
      </c>
      <c r="M51" s="22">
        <v>0</v>
      </c>
      <c r="N51" s="22">
        <v>0</v>
      </c>
      <c r="O51" s="22">
        <v>0</v>
      </c>
    </row>
    <row r="52" spans="1:15" x14ac:dyDescent="0.2">
      <c r="A52" s="96"/>
      <c r="B52" s="101"/>
      <c r="C52" s="97"/>
      <c r="D52" s="111"/>
      <c r="E52" s="97"/>
      <c r="F52" s="97"/>
      <c r="G52" s="97"/>
      <c r="H52" s="97"/>
      <c r="I52" s="97"/>
      <c r="J52" s="97"/>
      <c r="K52" s="12" t="s">
        <v>16</v>
      </c>
      <c r="L52" s="22">
        <v>0</v>
      </c>
      <c r="M52" s="22">
        <v>0</v>
      </c>
      <c r="N52" s="22">
        <v>0</v>
      </c>
      <c r="O52" s="22">
        <v>0</v>
      </c>
    </row>
    <row r="53" spans="1:15" x14ac:dyDescent="0.2">
      <c r="A53" s="96"/>
      <c r="B53" s="101"/>
      <c r="C53" s="97"/>
      <c r="D53" s="111"/>
      <c r="E53" s="97"/>
      <c r="F53" s="97"/>
      <c r="G53" s="97"/>
      <c r="H53" s="97"/>
      <c r="I53" s="97"/>
      <c r="J53" s="97"/>
      <c r="K53" s="12" t="s">
        <v>17</v>
      </c>
      <c r="L53" s="22">
        <v>0</v>
      </c>
      <c r="M53" s="22">
        <v>0</v>
      </c>
      <c r="N53" s="22">
        <v>0</v>
      </c>
      <c r="O53" s="22">
        <v>0</v>
      </c>
    </row>
    <row r="54" spans="1:15" x14ac:dyDescent="0.2">
      <c r="A54" s="96"/>
      <c r="B54" s="101"/>
      <c r="C54" s="97"/>
      <c r="D54" s="111"/>
      <c r="E54" s="97"/>
      <c r="F54" s="97"/>
      <c r="G54" s="97"/>
      <c r="H54" s="97"/>
      <c r="I54" s="97"/>
      <c r="J54" s="97"/>
      <c r="K54" s="12" t="s">
        <v>18</v>
      </c>
      <c r="L54" s="22">
        <v>0</v>
      </c>
      <c r="M54" s="22">
        <v>0</v>
      </c>
      <c r="N54" s="22">
        <v>0</v>
      </c>
      <c r="O54" s="22">
        <v>0</v>
      </c>
    </row>
    <row r="55" spans="1:15" x14ac:dyDescent="0.2">
      <c r="A55" s="96"/>
      <c r="B55" s="101"/>
      <c r="C55" s="97"/>
      <c r="D55" s="111"/>
      <c r="E55" s="97"/>
      <c r="F55" s="97"/>
      <c r="G55" s="97"/>
      <c r="H55" s="97"/>
      <c r="I55" s="97"/>
      <c r="J55" s="97"/>
      <c r="K55" s="12" t="s">
        <v>0</v>
      </c>
      <c r="L55" s="18">
        <f>SUM(L43:L54)</f>
        <v>18</v>
      </c>
      <c r="M55" s="18">
        <f t="shared" ref="M55" si="7">SUM(M43:M54)</f>
        <v>9</v>
      </c>
      <c r="N55" s="18">
        <f t="shared" ref="N55" si="8">SUM(N43:N54)</f>
        <v>12</v>
      </c>
      <c r="O55" s="18">
        <f t="shared" ref="O55" si="9">SUM(O43:O54)</f>
        <v>0</v>
      </c>
    </row>
    <row r="56" spans="1:15" x14ac:dyDescent="0.2">
      <c r="A56" s="96"/>
      <c r="B56" s="101" t="s">
        <v>29</v>
      </c>
      <c r="C56" s="97" t="s">
        <v>175</v>
      </c>
      <c r="D56" s="111" t="s">
        <v>30</v>
      </c>
      <c r="E56" s="97" t="s">
        <v>229</v>
      </c>
      <c r="F56" s="97" t="s">
        <v>83</v>
      </c>
      <c r="G56" s="97" t="s">
        <v>95</v>
      </c>
      <c r="H56" s="97"/>
      <c r="I56" s="97"/>
      <c r="J56" s="97"/>
      <c r="K56" s="11" t="s">
        <v>7</v>
      </c>
      <c r="L56" s="21">
        <v>0</v>
      </c>
      <c r="M56" s="21">
        <v>0</v>
      </c>
      <c r="N56" s="21">
        <v>0</v>
      </c>
      <c r="O56" s="21">
        <v>0</v>
      </c>
    </row>
    <row r="57" spans="1:15" x14ac:dyDescent="0.2">
      <c r="A57" s="96"/>
      <c r="B57" s="101"/>
      <c r="C57" s="97"/>
      <c r="D57" s="111"/>
      <c r="E57" s="97"/>
      <c r="F57" s="97"/>
      <c r="G57" s="97"/>
      <c r="H57" s="97"/>
      <c r="I57" s="97"/>
      <c r="J57" s="97"/>
      <c r="K57" s="11" t="s">
        <v>8</v>
      </c>
      <c r="L57" s="21">
        <v>0</v>
      </c>
      <c r="M57" s="21">
        <v>0</v>
      </c>
      <c r="N57" s="21">
        <v>0</v>
      </c>
      <c r="O57" s="21">
        <v>0</v>
      </c>
    </row>
    <row r="58" spans="1:15" x14ac:dyDescent="0.2">
      <c r="A58" s="96"/>
      <c r="B58" s="101"/>
      <c r="C58" s="97"/>
      <c r="D58" s="111"/>
      <c r="E58" s="97"/>
      <c r="F58" s="97"/>
      <c r="G58" s="97"/>
      <c r="H58" s="97"/>
      <c r="I58" s="97"/>
      <c r="J58" s="97"/>
      <c r="K58" s="11" t="s">
        <v>9</v>
      </c>
      <c r="L58" s="21">
        <v>0</v>
      </c>
      <c r="M58" s="21">
        <v>0</v>
      </c>
      <c r="N58" s="21">
        <v>0</v>
      </c>
      <c r="O58" s="21">
        <v>0</v>
      </c>
    </row>
    <row r="59" spans="1:15" x14ac:dyDescent="0.2">
      <c r="A59" s="96"/>
      <c r="B59" s="101"/>
      <c r="C59" s="97"/>
      <c r="D59" s="111"/>
      <c r="E59" s="97"/>
      <c r="F59" s="97"/>
      <c r="G59" s="97"/>
      <c r="H59" s="97"/>
      <c r="I59" s="97"/>
      <c r="J59" s="97"/>
      <c r="K59" s="11" t="s">
        <v>10</v>
      </c>
      <c r="L59" s="21">
        <v>0</v>
      </c>
      <c r="M59" s="21">
        <v>0</v>
      </c>
      <c r="N59" s="21">
        <v>0</v>
      </c>
      <c r="O59" s="21">
        <v>0</v>
      </c>
    </row>
    <row r="60" spans="1:15" x14ac:dyDescent="0.2">
      <c r="A60" s="96"/>
      <c r="B60" s="101"/>
      <c r="C60" s="97"/>
      <c r="D60" s="111"/>
      <c r="E60" s="97"/>
      <c r="F60" s="97"/>
      <c r="G60" s="97"/>
      <c r="H60" s="97"/>
      <c r="I60" s="97"/>
      <c r="J60" s="97"/>
      <c r="K60" s="11" t="s">
        <v>11</v>
      </c>
      <c r="L60" s="21">
        <v>0</v>
      </c>
      <c r="M60" s="21">
        <v>0</v>
      </c>
      <c r="N60" s="21">
        <v>0</v>
      </c>
      <c r="O60" s="21">
        <v>0</v>
      </c>
    </row>
    <row r="61" spans="1:15" x14ac:dyDescent="0.2">
      <c r="A61" s="96"/>
      <c r="B61" s="101"/>
      <c r="C61" s="97"/>
      <c r="D61" s="111"/>
      <c r="E61" s="97"/>
      <c r="F61" s="97"/>
      <c r="G61" s="97"/>
      <c r="H61" s="97"/>
      <c r="I61" s="97"/>
      <c r="J61" s="97"/>
      <c r="K61" s="11" t="s">
        <v>12</v>
      </c>
      <c r="L61" s="21">
        <v>0</v>
      </c>
      <c r="M61" s="21">
        <v>0</v>
      </c>
      <c r="N61" s="21">
        <v>0</v>
      </c>
      <c r="O61" s="21">
        <v>0</v>
      </c>
    </row>
    <row r="62" spans="1:15" x14ac:dyDescent="0.2">
      <c r="A62" s="96"/>
      <c r="B62" s="101"/>
      <c r="C62" s="97"/>
      <c r="D62" s="111"/>
      <c r="E62" s="97"/>
      <c r="F62" s="97"/>
      <c r="G62" s="97"/>
      <c r="H62" s="97"/>
      <c r="I62" s="97"/>
      <c r="J62" s="97"/>
      <c r="K62" s="11" t="s">
        <v>13</v>
      </c>
      <c r="L62" s="21">
        <v>0</v>
      </c>
      <c r="M62" s="21">
        <v>0</v>
      </c>
      <c r="N62" s="21">
        <v>0</v>
      </c>
      <c r="O62" s="21">
        <v>0</v>
      </c>
    </row>
    <row r="63" spans="1:15" x14ac:dyDescent="0.2">
      <c r="A63" s="96"/>
      <c r="B63" s="101"/>
      <c r="C63" s="97"/>
      <c r="D63" s="111"/>
      <c r="E63" s="97"/>
      <c r="F63" s="97"/>
      <c r="G63" s="97"/>
      <c r="H63" s="97"/>
      <c r="I63" s="97"/>
      <c r="J63" s="97"/>
      <c r="K63" s="11" t="s">
        <v>14</v>
      </c>
      <c r="L63" s="21">
        <v>0</v>
      </c>
      <c r="M63" s="21">
        <v>0.84</v>
      </c>
      <c r="N63" s="21">
        <v>0</v>
      </c>
      <c r="O63" s="21">
        <v>0</v>
      </c>
    </row>
    <row r="64" spans="1:15" x14ac:dyDescent="0.2">
      <c r="A64" s="96"/>
      <c r="B64" s="101"/>
      <c r="C64" s="97"/>
      <c r="D64" s="111"/>
      <c r="E64" s="97"/>
      <c r="F64" s="97"/>
      <c r="G64" s="97"/>
      <c r="H64" s="97"/>
      <c r="I64" s="97"/>
      <c r="J64" s="97"/>
      <c r="K64" s="11" t="s">
        <v>15</v>
      </c>
      <c r="L64" s="21">
        <v>0</v>
      </c>
      <c r="M64" s="21">
        <v>0</v>
      </c>
      <c r="N64" s="21">
        <v>0</v>
      </c>
      <c r="O64" s="21">
        <v>0</v>
      </c>
    </row>
    <row r="65" spans="1:19" x14ac:dyDescent="0.2">
      <c r="A65" s="96"/>
      <c r="B65" s="101"/>
      <c r="C65" s="97"/>
      <c r="D65" s="111"/>
      <c r="E65" s="97"/>
      <c r="F65" s="97"/>
      <c r="G65" s="97"/>
      <c r="H65" s="97"/>
      <c r="I65" s="97"/>
      <c r="J65" s="97"/>
      <c r="K65" s="11" t="s">
        <v>16</v>
      </c>
      <c r="L65" s="21">
        <v>0</v>
      </c>
      <c r="M65" s="21">
        <v>0</v>
      </c>
      <c r="N65" s="21">
        <v>0</v>
      </c>
      <c r="O65" s="21">
        <v>0</v>
      </c>
    </row>
    <row r="66" spans="1:19" x14ac:dyDescent="0.2">
      <c r="A66" s="96"/>
      <c r="B66" s="101"/>
      <c r="C66" s="97"/>
      <c r="D66" s="111"/>
      <c r="E66" s="97"/>
      <c r="F66" s="97"/>
      <c r="G66" s="97"/>
      <c r="H66" s="97"/>
      <c r="I66" s="97"/>
      <c r="J66" s="97"/>
      <c r="K66" s="11" t="s">
        <v>17</v>
      </c>
      <c r="L66" s="21">
        <v>0</v>
      </c>
      <c r="M66" s="21">
        <v>0</v>
      </c>
      <c r="N66" s="21">
        <v>0</v>
      </c>
      <c r="O66" s="21">
        <v>0</v>
      </c>
    </row>
    <row r="67" spans="1:19" x14ac:dyDescent="0.2">
      <c r="A67" s="96"/>
      <c r="B67" s="101"/>
      <c r="C67" s="97"/>
      <c r="D67" s="111"/>
      <c r="E67" s="97"/>
      <c r="F67" s="97"/>
      <c r="G67" s="97"/>
      <c r="H67" s="97"/>
      <c r="I67" s="97"/>
      <c r="J67" s="97"/>
      <c r="K67" s="11" t="s">
        <v>18</v>
      </c>
      <c r="L67" s="21">
        <v>0</v>
      </c>
      <c r="M67" s="21">
        <v>0</v>
      </c>
      <c r="N67" s="21">
        <v>0</v>
      </c>
      <c r="O67" s="21">
        <v>0</v>
      </c>
    </row>
    <row r="68" spans="1:19" x14ac:dyDescent="0.2">
      <c r="A68" s="96"/>
      <c r="B68" s="101"/>
      <c r="C68" s="97"/>
      <c r="D68" s="111"/>
      <c r="E68" s="97"/>
      <c r="F68" s="97"/>
      <c r="G68" s="97"/>
      <c r="H68" s="97"/>
      <c r="I68" s="97"/>
      <c r="J68" s="97"/>
      <c r="K68" s="11" t="s">
        <v>0</v>
      </c>
      <c r="L68" s="17">
        <f>SUM(L56:L67)</f>
        <v>0</v>
      </c>
      <c r="M68" s="17">
        <f t="shared" ref="M68" si="10">SUM(M56:M67)</f>
        <v>0.84</v>
      </c>
      <c r="N68" s="17">
        <f t="shared" ref="N68" si="11">SUM(N56:N67)</f>
        <v>0</v>
      </c>
      <c r="O68" s="17">
        <f t="shared" ref="O68" si="12">SUM(O56:O67)</f>
        <v>0</v>
      </c>
    </row>
    <row r="69" spans="1:19" ht="12.75" customHeight="1" x14ac:dyDescent="0.2">
      <c r="A69" s="96"/>
      <c r="B69" s="101" t="s">
        <v>29</v>
      </c>
      <c r="C69" s="97" t="s">
        <v>153</v>
      </c>
      <c r="D69" s="111" t="s">
        <v>30</v>
      </c>
      <c r="E69" s="97" t="s">
        <v>229</v>
      </c>
      <c r="F69" s="97" t="s">
        <v>83</v>
      </c>
      <c r="G69" s="97" t="s">
        <v>166</v>
      </c>
      <c r="H69" s="97"/>
      <c r="I69" s="97"/>
      <c r="J69" s="97"/>
      <c r="K69" s="12" t="s">
        <v>7</v>
      </c>
      <c r="L69" s="21">
        <v>0</v>
      </c>
      <c r="M69" s="21">
        <v>0</v>
      </c>
      <c r="N69" s="21">
        <v>0</v>
      </c>
      <c r="O69" s="21">
        <v>0</v>
      </c>
    </row>
    <row r="70" spans="1:19" x14ac:dyDescent="0.2">
      <c r="A70" s="96"/>
      <c r="B70" s="101"/>
      <c r="C70" s="97"/>
      <c r="D70" s="111"/>
      <c r="E70" s="97"/>
      <c r="F70" s="97"/>
      <c r="G70" s="97"/>
      <c r="H70" s="97"/>
      <c r="I70" s="97"/>
      <c r="J70" s="97"/>
      <c r="K70" s="12" t="s">
        <v>8</v>
      </c>
      <c r="L70" s="21">
        <v>0</v>
      </c>
      <c r="M70" s="21">
        <v>0</v>
      </c>
      <c r="N70" s="21">
        <v>0</v>
      </c>
      <c r="O70" s="21">
        <v>0</v>
      </c>
      <c r="P70" s="112"/>
      <c r="Q70" s="112"/>
      <c r="R70" s="112"/>
      <c r="S70" s="112"/>
    </row>
    <row r="71" spans="1:19" x14ac:dyDescent="0.2">
      <c r="A71" s="96"/>
      <c r="B71" s="101"/>
      <c r="C71" s="97"/>
      <c r="D71" s="111"/>
      <c r="E71" s="97"/>
      <c r="F71" s="97"/>
      <c r="G71" s="97"/>
      <c r="H71" s="97"/>
      <c r="I71" s="97"/>
      <c r="J71" s="97"/>
      <c r="K71" s="12" t="s">
        <v>9</v>
      </c>
      <c r="L71" s="21">
        <v>0</v>
      </c>
      <c r="M71" s="21">
        <v>0</v>
      </c>
      <c r="N71" s="21">
        <v>0</v>
      </c>
      <c r="O71" s="21">
        <v>0</v>
      </c>
    </row>
    <row r="72" spans="1:19" x14ac:dyDescent="0.2">
      <c r="A72" s="96"/>
      <c r="B72" s="101"/>
      <c r="C72" s="97"/>
      <c r="D72" s="111"/>
      <c r="E72" s="97"/>
      <c r="F72" s="97"/>
      <c r="G72" s="97"/>
      <c r="H72" s="97"/>
      <c r="I72" s="97"/>
      <c r="J72" s="97"/>
      <c r="K72" s="12" t="s">
        <v>10</v>
      </c>
      <c r="L72" s="21">
        <v>0</v>
      </c>
      <c r="M72" s="21">
        <v>0</v>
      </c>
      <c r="N72" s="21">
        <v>0</v>
      </c>
      <c r="O72" s="21">
        <v>0</v>
      </c>
    </row>
    <row r="73" spans="1:19" x14ac:dyDescent="0.2">
      <c r="A73" s="96"/>
      <c r="B73" s="101"/>
      <c r="C73" s="97"/>
      <c r="D73" s="111"/>
      <c r="E73" s="97"/>
      <c r="F73" s="97"/>
      <c r="G73" s="97"/>
      <c r="H73" s="97"/>
      <c r="I73" s="97"/>
      <c r="J73" s="97"/>
      <c r="K73" s="12" t="s">
        <v>11</v>
      </c>
      <c r="L73" s="21">
        <v>0</v>
      </c>
      <c r="M73" s="21">
        <v>0</v>
      </c>
      <c r="N73" s="21">
        <v>0</v>
      </c>
      <c r="O73" s="21">
        <v>0</v>
      </c>
    </row>
    <row r="74" spans="1:19" x14ac:dyDescent="0.2">
      <c r="A74" s="96"/>
      <c r="B74" s="101"/>
      <c r="C74" s="97"/>
      <c r="D74" s="111"/>
      <c r="E74" s="97"/>
      <c r="F74" s="97"/>
      <c r="G74" s="97"/>
      <c r="H74" s="97"/>
      <c r="I74" s="97"/>
      <c r="J74" s="97"/>
      <c r="K74" s="12" t="s">
        <v>12</v>
      </c>
      <c r="L74" s="21">
        <v>0</v>
      </c>
      <c r="M74" s="21">
        <v>0</v>
      </c>
      <c r="N74" s="21">
        <v>0</v>
      </c>
      <c r="O74" s="21">
        <v>0</v>
      </c>
    </row>
    <row r="75" spans="1:19" x14ac:dyDescent="0.2">
      <c r="A75" s="96"/>
      <c r="B75" s="101"/>
      <c r="C75" s="97"/>
      <c r="D75" s="111"/>
      <c r="E75" s="97"/>
      <c r="F75" s="97"/>
      <c r="G75" s="97"/>
      <c r="H75" s="97"/>
      <c r="I75" s="97"/>
      <c r="J75" s="97"/>
      <c r="K75" s="12" t="s">
        <v>13</v>
      </c>
      <c r="L75" s="21">
        <v>0</v>
      </c>
      <c r="M75" s="21">
        <v>0</v>
      </c>
      <c r="N75" s="21">
        <v>0</v>
      </c>
      <c r="O75" s="21">
        <v>0</v>
      </c>
    </row>
    <row r="76" spans="1:19" x14ac:dyDescent="0.2">
      <c r="A76" s="96"/>
      <c r="B76" s="101"/>
      <c r="C76" s="97"/>
      <c r="D76" s="111"/>
      <c r="E76" s="97"/>
      <c r="F76" s="97"/>
      <c r="G76" s="97"/>
      <c r="H76" s="97"/>
      <c r="I76" s="97"/>
      <c r="J76" s="97"/>
      <c r="K76" s="12" t="s">
        <v>14</v>
      </c>
      <c r="L76" s="21">
        <v>0</v>
      </c>
      <c r="M76" s="21">
        <v>0</v>
      </c>
      <c r="N76" s="21">
        <v>0</v>
      </c>
      <c r="O76" s="21">
        <v>0</v>
      </c>
    </row>
    <row r="77" spans="1:19" x14ac:dyDescent="0.2">
      <c r="A77" s="96"/>
      <c r="B77" s="101"/>
      <c r="C77" s="97"/>
      <c r="D77" s="111"/>
      <c r="E77" s="97"/>
      <c r="F77" s="97"/>
      <c r="G77" s="97"/>
      <c r="H77" s="97"/>
      <c r="I77" s="97"/>
      <c r="J77" s="97"/>
      <c r="K77" s="12" t="s">
        <v>15</v>
      </c>
      <c r="L77" s="21">
        <v>0</v>
      </c>
      <c r="M77" s="21">
        <v>0</v>
      </c>
      <c r="N77" s="21">
        <v>0</v>
      </c>
      <c r="O77" s="21">
        <v>0</v>
      </c>
    </row>
    <row r="78" spans="1:19" x14ac:dyDescent="0.2">
      <c r="A78" s="96"/>
      <c r="B78" s="101"/>
      <c r="C78" s="97"/>
      <c r="D78" s="111"/>
      <c r="E78" s="97"/>
      <c r="F78" s="97"/>
      <c r="G78" s="97"/>
      <c r="H78" s="97"/>
      <c r="I78" s="97"/>
      <c r="J78" s="97"/>
      <c r="K78" s="12" t="s">
        <v>16</v>
      </c>
      <c r="L78" s="21">
        <v>0</v>
      </c>
      <c r="M78" s="21">
        <v>0</v>
      </c>
      <c r="N78" s="21">
        <v>0</v>
      </c>
      <c r="O78" s="21">
        <v>0</v>
      </c>
    </row>
    <row r="79" spans="1:19" x14ac:dyDescent="0.2">
      <c r="A79" s="96"/>
      <c r="B79" s="101"/>
      <c r="C79" s="97"/>
      <c r="D79" s="111"/>
      <c r="E79" s="97"/>
      <c r="F79" s="97"/>
      <c r="G79" s="97"/>
      <c r="H79" s="97"/>
      <c r="I79" s="97"/>
      <c r="J79" s="97"/>
      <c r="K79" s="12" t="s">
        <v>17</v>
      </c>
      <c r="L79" s="21">
        <v>0</v>
      </c>
      <c r="M79" s="21">
        <v>0</v>
      </c>
      <c r="N79" s="21">
        <v>0</v>
      </c>
      <c r="O79" s="21">
        <v>0</v>
      </c>
    </row>
    <row r="80" spans="1:19" x14ac:dyDescent="0.2">
      <c r="A80" s="96"/>
      <c r="B80" s="101"/>
      <c r="C80" s="97"/>
      <c r="D80" s="111"/>
      <c r="E80" s="97"/>
      <c r="F80" s="97"/>
      <c r="G80" s="97"/>
      <c r="H80" s="97"/>
      <c r="I80" s="97"/>
      <c r="J80" s="97"/>
      <c r="K80" s="12" t="s">
        <v>18</v>
      </c>
      <c r="L80" s="21">
        <v>0</v>
      </c>
      <c r="M80" s="21">
        <v>0</v>
      </c>
      <c r="N80" s="21">
        <v>0</v>
      </c>
      <c r="O80" s="21">
        <v>0</v>
      </c>
    </row>
    <row r="81" spans="1:15" x14ac:dyDescent="0.2">
      <c r="A81" s="96"/>
      <c r="B81" s="101"/>
      <c r="C81" s="97"/>
      <c r="D81" s="111"/>
      <c r="E81" s="97"/>
      <c r="F81" s="97"/>
      <c r="G81" s="97"/>
      <c r="H81" s="97"/>
      <c r="I81" s="97"/>
      <c r="J81" s="97"/>
      <c r="K81" s="12" t="s">
        <v>0</v>
      </c>
      <c r="L81" s="17">
        <f>SUM(L69:L80)</f>
        <v>0</v>
      </c>
      <c r="M81" s="17">
        <f t="shared" ref="M81" si="13">SUM(M69:M80)</f>
        <v>0</v>
      </c>
      <c r="N81" s="17">
        <f t="shared" ref="N81" si="14">SUM(N69:N80)</f>
        <v>0</v>
      </c>
      <c r="O81" s="17">
        <f t="shared" ref="O81" si="15">SUM(O69:O80)</f>
        <v>0</v>
      </c>
    </row>
    <row r="82" spans="1:15" ht="12.75" customHeight="1" x14ac:dyDescent="0.2">
      <c r="A82" s="96"/>
      <c r="B82" s="101" t="s">
        <v>29</v>
      </c>
      <c r="C82" s="97" t="s">
        <v>154</v>
      </c>
      <c r="D82" s="111" t="s">
        <v>30</v>
      </c>
      <c r="E82" s="97" t="s">
        <v>229</v>
      </c>
      <c r="F82" s="97" t="s">
        <v>83</v>
      </c>
      <c r="G82" s="97" t="s">
        <v>167</v>
      </c>
      <c r="H82" s="97"/>
      <c r="I82" s="97"/>
      <c r="J82" s="97"/>
      <c r="K82" s="12" t="s">
        <v>7</v>
      </c>
      <c r="L82" s="21">
        <v>0</v>
      </c>
      <c r="M82" s="21">
        <v>0</v>
      </c>
      <c r="N82" s="21">
        <v>0</v>
      </c>
      <c r="O82" s="21">
        <v>0</v>
      </c>
    </row>
    <row r="83" spans="1:15" x14ac:dyDescent="0.2">
      <c r="A83" s="96"/>
      <c r="B83" s="101"/>
      <c r="C83" s="97"/>
      <c r="D83" s="111"/>
      <c r="E83" s="97"/>
      <c r="F83" s="97"/>
      <c r="G83" s="97"/>
      <c r="H83" s="97"/>
      <c r="I83" s="97"/>
      <c r="J83" s="97"/>
      <c r="K83" s="12" t="s">
        <v>8</v>
      </c>
      <c r="L83" s="21">
        <v>0</v>
      </c>
      <c r="M83" s="21">
        <v>0</v>
      </c>
      <c r="N83" s="21">
        <v>0</v>
      </c>
      <c r="O83" s="21">
        <v>0</v>
      </c>
    </row>
    <row r="84" spans="1:15" x14ac:dyDescent="0.2">
      <c r="A84" s="96"/>
      <c r="B84" s="101"/>
      <c r="C84" s="97"/>
      <c r="D84" s="111"/>
      <c r="E84" s="97"/>
      <c r="F84" s="97"/>
      <c r="G84" s="97"/>
      <c r="H84" s="97"/>
      <c r="I84" s="97"/>
      <c r="J84" s="97"/>
      <c r="K84" s="12" t="s">
        <v>9</v>
      </c>
      <c r="L84" s="21">
        <v>0</v>
      </c>
      <c r="M84" s="21">
        <v>0</v>
      </c>
      <c r="N84" s="21">
        <v>0</v>
      </c>
      <c r="O84" s="21">
        <v>0</v>
      </c>
    </row>
    <row r="85" spans="1:15" x14ac:dyDescent="0.2">
      <c r="A85" s="96"/>
      <c r="B85" s="101"/>
      <c r="C85" s="97"/>
      <c r="D85" s="111"/>
      <c r="E85" s="97"/>
      <c r="F85" s="97"/>
      <c r="G85" s="97"/>
      <c r="H85" s="97"/>
      <c r="I85" s="97"/>
      <c r="J85" s="97"/>
      <c r="K85" s="12" t="s">
        <v>10</v>
      </c>
      <c r="L85" s="21">
        <v>0</v>
      </c>
      <c r="M85" s="21">
        <v>0</v>
      </c>
      <c r="N85" s="21">
        <v>0</v>
      </c>
      <c r="O85" s="21">
        <v>0</v>
      </c>
    </row>
    <row r="86" spans="1:15" x14ac:dyDescent="0.2">
      <c r="A86" s="96"/>
      <c r="B86" s="101"/>
      <c r="C86" s="97"/>
      <c r="D86" s="111"/>
      <c r="E86" s="97"/>
      <c r="F86" s="97"/>
      <c r="G86" s="97"/>
      <c r="H86" s="97"/>
      <c r="I86" s="97"/>
      <c r="J86" s="97"/>
      <c r="K86" s="12" t="s">
        <v>11</v>
      </c>
      <c r="L86" s="21">
        <v>0</v>
      </c>
      <c r="M86" s="21">
        <v>0</v>
      </c>
      <c r="N86" s="21">
        <v>0</v>
      </c>
      <c r="O86" s="21">
        <v>0</v>
      </c>
    </row>
    <row r="87" spans="1:15" x14ac:dyDescent="0.2">
      <c r="A87" s="96"/>
      <c r="B87" s="101"/>
      <c r="C87" s="97"/>
      <c r="D87" s="111"/>
      <c r="E87" s="97"/>
      <c r="F87" s="97"/>
      <c r="G87" s="97"/>
      <c r="H87" s="97"/>
      <c r="I87" s="97"/>
      <c r="J87" s="97"/>
      <c r="K87" s="12" t="s">
        <v>12</v>
      </c>
      <c r="L87" s="21">
        <v>0</v>
      </c>
      <c r="M87" s="21">
        <v>0</v>
      </c>
      <c r="N87" s="21">
        <v>0</v>
      </c>
      <c r="O87" s="21">
        <v>0</v>
      </c>
    </row>
    <row r="88" spans="1:15" x14ac:dyDescent="0.2">
      <c r="A88" s="96"/>
      <c r="B88" s="101"/>
      <c r="C88" s="97"/>
      <c r="D88" s="111"/>
      <c r="E88" s="97"/>
      <c r="F88" s="97"/>
      <c r="G88" s="97"/>
      <c r="H88" s="97"/>
      <c r="I88" s="97"/>
      <c r="J88" s="97"/>
      <c r="K88" s="12" t="s">
        <v>13</v>
      </c>
      <c r="L88" s="21">
        <v>0</v>
      </c>
      <c r="M88" s="21">
        <v>0</v>
      </c>
      <c r="N88" s="21">
        <v>0</v>
      </c>
      <c r="O88" s="21">
        <v>0</v>
      </c>
    </row>
    <row r="89" spans="1:15" x14ac:dyDescent="0.2">
      <c r="A89" s="96"/>
      <c r="B89" s="101"/>
      <c r="C89" s="97"/>
      <c r="D89" s="111"/>
      <c r="E89" s="97"/>
      <c r="F89" s="97"/>
      <c r="G89" s="97"/>
      <c r="H89" s="97"/>
      <c r="I89" s="97"/>
      <c r="J89" s="97"/>
      <c r="K89" s="12" t="s">
        <v>14</v>
      </c>
      <c r="L89" s="21">
        <v>0</v>
      </c>
      <c r="M89" s="21">
        <v>0</v>
      </c>
      <c r="N89" s="21">
        <v>0</v>
      </c>
      <c r="O89" s="21">
        <v>0</v>
      </c>
    </row>
    <row r="90" spans="1:15" x14ac:dyDescent="0.2">
      <c r="A90" s="96"/>
      <c r="B90" s="101"/>
      <c r="C90" s="97"/>
      <c r="D90" s="111"/>
      <c r="E90" s="97"/>
      <c r="F90" s="97"/>
      <c r="G90" s="97"/>
      <c r="H90" s="97"/>
      <c r="I90" s="97"/>
      <c r="J90" s="97"/>
      <c r="K90" s="12" t="s">
        <v>15</v>
      </c>
      <c r="L90" s="21">
        <v>0</v>
      </c>
      <c r="M90" s="21">
        <v>0</v>
      </c>
      <c r="N90" s="21">
        <v>0</v>
      </c>
      <c r="O90" s="21">
        <v>0</v>
      </c>
    </row>
    <row r="91" spans="1:15" x14ac:dyDescent="0.2">
      <c r="A91" s="96"/>
      <c r="B91" s="101"/>
      <c r="C91" s="97"/>
      <c r="D91" s="111"/>
      <c r="E91" s="97"/>
      <c r="F91" s="97"/>
      <c r="G91" s="97"/>
      <c r="H91" s="97"/>
      <c r="I91" s="97"/>
      <c r="J91" s="97"/>
      <c r="K91" s="12" t="s">
        <v>16</v>
      </c>
      <c r="L91" s="21">
        <v>0</v>
      </c>
      <c r="M91" s="21">
        <v>0</v>
      </c>
      <c r="N91" s="21">
        <v>0</v>
      </c>
      <c r="O91" s="21">
        <v>0</v>
      </c>
    </row>
    <row r="92" spans="1:15" x14ac:dyDescent="0.2">
      <c r="A92" s="96"/>
      <c r="B92" s="101"/>
      <c r="C92" s="97"/>
      <c r="D92" s="111"/>
      <c r="E92" s="97"/>
      <c r="F92" s="97"/>
      <c r="G92" s="97"/>
      <c r="H92" s="97"/>
      <c r="I92" s="97"/>
      <c r="J92" s="97"/>
      <c r="K92" s="12" t="s">
        <v>17</v>
      </c>
      <c r="L92" s="21">
        <v>0</v>
      </c>
      <c r="M92" s="21">
        <v>0</v>
      </c>
      <c r="N92" s="21">
        <v>0</v>
      </c>
      <c r="O92" s="21">
        <v>0</v>
      </c>
    </row>
    <row r="93" spans="1:15" x14ac:dyDescent="0.2">
      <c r="A93" s="96"/>
      <c r="B93" s="101"/>
      <c r="C93" s="97"/>
      <c r="D93" s="111"/>
      <c r="E93" s="97"/>
      <c r="F93" s="97"/>
      <c r="G93" s="97"/>
      <c r="H93" s="97"/>
      <c r="I93" s="97"/>
      <c r="J93" s="97"/>
      <c r="K93" s="12" t="s">
        <v>18</v>
      </c>
      <c r="L93" s="21">
        <v>0</v>
      </c>
      <c r="M93" s="21">
        <v>0</v>
      </c>
      <c r="N93" s="21">
        <v>0</v>
      </c>
      <c r="O93" s="21">
        <v>0</v>
      </c>
    </row>
    <row r="94" spans="1:15" x14ac:dyDescent="0.2">
      <c r="A94" s="96"/>
      <c r="B94" s="101"/>
      <c r="C94" s="97"/>
      <c r="D94" s="111"/>
      <c r="E94" s="97"/>
      <c r="F94" s="97"/>
      <c r="G94" s="97"/>
      <c r="H94" s="97"/>
      <c r="I94" s="97"/>
      <c r="J94" s="97"/>
      <c r="K94" s="12" t="s">
        <v>0</v>
      </c>
      <c r="L94" s="17">
        <f>SUM(L82:L93)</f>
        <v>0</v>
      </c>
      <c r="M94" s="17">
        <f t="shared" ref="M94" si="16">SUM(M82:M93)</f>
        <v>0</v>
      </c>
      <c r="N94" s="17">
        <f t="shared" ref="N94" si="17">SUM(N82:N93)</f>
        <v>0</v>
      </c>
      <c r="O94" s="17">
        <f t="shared" ref="O94" si="18">SUM(O82:O93)</f>
        <v>0</v>
      </c>
    </row>
    <row r="95" spans="1:15" ht="12.75" customHeight="1" x14ac:dyDescent="0.2">
      <c r="A95" s="96"/>
      <c r="B95" s="101" t="s">
        <v>29</v>
      </c>
      <c r="C95" s="97" t="s">
        <v>155</v>
      </c>
      <c r="D95" s="111" t="s">
        <v>30</v>
      </c>
      <c r="E95" s="97" t="s">
        <v>229</v>
      </c>
      <c r="F95" s="97" t="s">
        <v>83</v>
      </c>
      <c r="G95" s="97" t="s">
        <v>97</v>
      </c>
      <c r="H95" s="97"/>
      <c r="I95" s="97"/>
      <c r="J95" s="97"/>
      <c r="K95" s="12" t="s">
        <v>7</v>
      </c>
      <c r="L95" s="21">
        <v>0</v>
      </c>
      <c r="M95" s="21">
        <v>0</v>
      </c>
      <c r="N95" s="21">
        <v>0</v>
      </c>
      <c r="O95" s="21">
        <v>0</v>
      </c>
    </row>
    <row r="96" spans="1:15" x14ac:dyDescent="0.2">
      <c r="A96" s="96"/>
      <c r="B96" s="101"/>
      <c r="C96" s="97"/>
      <c r="D96" s="111"/>
      <c r="E96" s="97"/>
      <c r="F96" s="97"/>
      <c r="G96" s="97"/>
      <c r="H96" s="97"/>
      <c r="I96" s="97"/>
      <c r="J96" s="97"/>
      <c r="K96" s="12" t="s">
        <v>8</v>
      </c>
      <c r="L96" s="21">
        <v>0</v>
      </c>
      <c r="M96" s="21">
        <v>0</v>
      </c>
      <c r="N96" s="21">
        <v>0</v>
      </c>
      <c r="O96" s="21">
        <v>0</v>
      </c>
    </row>
    <row r="97" spans="1:15" x14ac:dyDescent="0.2">
      <c r="A97" s="96"/>
      <c r="B97" s="101"/>
      <c r="C97" s="97"/>
      <c r="D97" s="111"/>
      <c r="E97" s="97"/>
      <c r="F97" s="97"/>
      <c r="G97" s="97"/>
      <c r="H97" s="97"/>
      <c r="I97" s="97"/>
      <c r="J97" s="97"/>
      <c r="K97" s="12" t="s">
        <v>9</v>
      </c>
      <c r="L97" s="21">
        <v>0</v>
      </c>
      <c r="M97" s="21">
        <v>0</v>
      </c>
      <c r="N97" s="21">
        <v>0</v>
      </c>
      <c r="O97" s="21">
        <v>0</v>
      </c>
    </row>
    <row r="98" spans="1:15" x14ac:dyDescent="0.2">
      <c r="A98" s="96"/>
      <c r="B98" s="101"/>
      <c r="C98" s="97"/>
      <c r="D98" s="111"/>
      <c r="E98" s="97"/>
      <c r="F98" s="97"/>
      <c r="G98" s="97"/>
      <c r="H98" s="97"/>
      <c r="I98" s="97"/>
      <c r="J98" s="97"/>
      <c r="K98" s="12" t="s">
        <v>10</v>
      </c>
      <c r="L98" s="21">
        <v>0</v>
      </c>
      <c r="M98" s="21">
        <v>0</v>
      </c>
      <c r="N98" s="21">
        <v>0</v>
      </c>
      <c r="O98" s="21">
        <v>0</v>
      </c>
    </row>
    <row r="99" spans="1:15" x14ac:dyDescent="0.2">
      <c r="A99" s="96"/>
      <c r="B99" s="101"/>
      <c r="C99" s="97"/>
      <c r="D99" s="111"/>
      <c r="E99" s="97"/>
      <c r="F99" s="97"/>
      <c r="G99" s="97"/>
      <c r="H99" s="97"/>
      <c r="I99" s="97"/>
      <c r="J99" s="97"/>
      <c r="K99" s="12" t="s">
        <v>11</v>
      </c>
      <c r="L99" s="21">
        <v>0</v>
      </c>
      <c r="M99" s="21">
        <v>0</v>
      </c>
      <c r="N99" s="21">
        <v>0</v>
      </c>
      <c r="O99" s="21">
        <v>0</v>
      </c>
    </row>
    <row r="100" spans="1:15" x14ac:dyDescent="0.2">
      <c r="A100" s="96"/>
      <c r="B100" s="101"/>
      <c r="C100" s="97"/>
      <c r="D100" s="111"/>
      <c r="E100" s="97"/>
      <c r="F100" s="97"/>
      <c r="G100" s="97"/>
      <c r="H100" s="97"/>
      <c r="I100" s="97"/>
      <c r="J100" s="97"/>
      <c r="K100" s="12" t="s">
        <v>12</v>
      </c>
      <c r="L100" s="21">
        <v>0</v>
      </c>
      <c r="M100" s="21">
        <v>0</v>
      </c>
      <c r="N100" s="21">
        <v>0</v>
      </c>
      <c r="O100" s="21">
        <v>0</v>
      </c>
    </row>
    <row r="101" spans="1:15" x14ac:dyDescent="0.2">
      <c r="A101" s="96"/>
      <c r="B101" s="101"/>
      <c r="C101" s="97"/>
      <c r="D101" s="111"/>
      <c r="E101" s="97"/>
      <c r="F101" s="97"/>
      <c r="G101" s="97"/>
      <c r="H101" s="97"/>
      <c r="I101" s="97"/>
      <c r="J101" s="97"/>
      <c r="K101" s="12" t="s">
        <v>13</v>
      </c>
      <c r="L101" s="21">
        <v>0</v>
      </c>
      <c r="M101" s="21">
        <v>0</v>
      </c>
      <c r="N101" s="21">
        <v>0</v>
      </c>
      <c r="O101" s="21">
        <v>0</v>
      </c>
    </row>
    <row r="102" spans="1:15" x14ac:dyDescent="0.2">
      <c r="A102" s="96"/>
      <c r="B102" s="101"/>
      <c r="C102" s="97"/>
      <c r="D102" s="111"/>
      <c r="E102" s="97"/>
      <c r="F102" s="97"/>
      <c r="G102" s="97"/>
      <c r="H102" s="97"/>
      <c r="I102" s="97"/>
      <c r="J102" s="97"/>
      <c r="K102" s="12" t="s">
        <v>14</v>
      </c>
      <c r="L102" s="21">
        <v>0</v>
      </c>
      <c r="M102" s="21">
        <v>0</v>
      </c>
      <c r="N102" s="21">
        <v>0</v>
      </c>
      <c r="O102" s="21">
        <v>0</v>
      </c>
    </row>
    <row r="103" spans="1:15" x14ac:dyDescent="0.2">
      <c r="A103" s="96"/>
      <c r="B103" s="101"/>
      <c r="C103" s="97"/>
      <c r="D103" s="111"/>
      <c r="E103" s="97"/>
      <c r="F103" s="97"/>
      <c r="G103" s="97"/>
      <c r="H103" s="97"/>
      <c r="I103" s="97"/>
      <c r="J103" s="97"/>
      <c r="K103" s="12" t="s">
        <v>15</v>
      </c>
      <c r="L103" s="21">
        <v>0</v>
      </c>
      <c r="M103" s="21">
        <v>0</v>
      </c>
      <c r="N103" s="21">
        <v>0</v>
      </c>
      <c r="O103" s="21">
        <v>0</v>
      </c>
    </row>
    <row r="104" spans="1:15" x14ac:dyDescent="0.2">
      <c r="A104" s="96"/>
      <c r="B104" s="101"/>
      <c r="C104" s="97"/>
      <c r="D104" s="111"/>
      <c r="E104" s="97"/>
      <c r="F104" s="97"/>
      <c r="G104" s="97"/>
      <c r="H104" s="97"/>
      <c r="I104" s="97"/>
      <c r="J104" s="97"/>
      <c r="K104" s="12" t="s">
        <v>16</v>
      </c>
      <c r="L104" s="21">
        <v>0</v>
      </c>
      <c r="M104" s="21">
        <v>0</v>
      </c>
      <c r="N104" s="21">
        <v>0</v>
      </c>
      <c r="O104" s="21">
        <v>0</v>
      </c>
    </row>
    <row r="105" spans="1:15" x14ac:dyDescent="0.2">
      <c r="A105" s="96"/>
      <c r="B105" s="101"/>
      <c r="C105" s="97"/>
      <c r="D105" s="111"/>
      <c r="E105" s="97"/>
      <c r="F105" s="97"/>
      <c r="G105" s="97"/>
      <c r="H105" s="97"/>
      <c r="I105" s="97"/>
      <c r="J105" s="97"/>
      <c r="K105" s="12" t="s">
        <v>17</v>
      </c>
      <c r="L105" s="21">
        <v>0</v>
      </c>
      <c r="M105" s="21">
        <v>0</v>
      </c>
      <c r="N105" s="21">
        <v>0</v>
      </c>
      <c r="O105" s="21">
        <v>0</v>
      </c>
    </row>
    <row r="106" spans="1:15" x14ac:dyDescent="0.2">
      <c r="A106" s="96"/>
      <c r="B106" s="101"/>
      <c r="C106" s="97"/>
      <c r="D106" s="111"/>
      <c r="E106" s="97"/>
      <c r="F106" s="97"/>
      <c r="G106" s="97"/>
      <c r="H106" s="97"/>
      <c r="I106" s="97"/>
      <c r="J106" s="97"/>
      <c r="K106" s="12" t="s">
        <v>18</v>
      </c>
      <c r="L106" s="21">
        <v>0</v>
      </c>
      <c r="M106" s="21">
        <v>0</v>
      </c>
      <c r="N106" s="21">
        <v>0</v>
      </c>
      <c r="O106" s="21">
        <v>0</v>
      </c>
    </row>
    <row r="107" spans="1:15" x14ac:dyDescent="0.2">
      <c r="A107" s="96"/>
      <c r="B107" s="101"/>
      <c r="C107" s="97"/>
      <c r="D107" s="111"/>
      <c r="E107" s="97"/>
      <c r="F107" s="97"/>
      <c r="G107" s="97"/>
      <c r="H107" s="97"/>
      <c r="I107" s="97"/>
      <c r="J107" s="97"/>
      <c r="K107" s="12" t="s">
        <v>0</v>
      </c>
      <c r="L107" s="17">
        <f>SUM(L95:L106)</f>
        <v>0</v>
      </c>
      <c r="M107" s="17">
        <f t="shared" ref="M107" si="19">SUM(M95:M106)</f>
        <v>0</v>
      </c>
      <c r="N107" s="17">
        <f t="shared" ref="N107" si="20">SUM(N95:N106)</f>
        <v>0</v>
      </c>
      <c r="O107" s="17">
        <f t="shared" ref="O107" si="21">SUM(O95:O106)</f>
        <v>0</v>
      </c>
    </row>
    <row r="108" spans="1:15" ht="12.75" customHeight="1" x14ac:dyDescent="0.2">
      <c r="A108" s="96"/>
      <c r="B108" s="101" t="s">
        <v>29</v>
      </c>
      <c r="C108" s="97" t="s">
        <v>176</v>
      </c>
      <c r="D108" s="111" t="s">
        <v>107</v>
      </c>
      <c r="E108" s="97" t="s">
        <v>230</v>
      </c>
      <c r="F108" s="97" t="s">
        <v>83</v>
      </c>
      <c r="G108" s="97" t="s">
        <v>95</v>
      </c>
      <c r="H108" s="97"/>
      <c r="I108" s="97"/>
      <c r="J108" s="97"/>
      <c r="K108" s="11" t="s">
        <v>7</v>
      </c>
      <c r="L108" s="21">
        <v>0</v>
      </c>
      <c r="M108" s="21">
        <v>0</v>
      </c>
      <c r="N108" s="21">
        <v>0</v>
      </c>
      <c r="O108" s="21">
        <v>0</v>
      </c>
    </row>
    <row r="109" spans="1:15" x14ac:dyDescent="0.2">
      <c r="A109" s="96"/>
      <c r="B109" s="101"/>
      <c r="C109" s="97"/>
      <c r="D109" s="111"/>
      <c r="E109" s="97"/>
      <c r="F109" s="97"/>
      <c r="G109" s="97"/>
      <c r="H109" s="97"/>
      <c r="I109" s="97"/>
      <c r="J109" s="97"/>
      <c r="K109" s="11" t="s">
        <v>8</v>
      </c>
      <c r="L109" s="21">
        <v>0</v>
      </c>
      <c r="M109" s="21">
        <v>0</v>
      </c>
      <c r="N109" s="21">
        <v>0</v>
      </c>
      <c r="O109" s="21">
        <v>0</v>
      </c>
    </row>
    <row r="110" spans="1:15" x14ac:dyDescent="0.2">
      <c r="A110" s="96"/>
      <c r="B110" s="101"/>
      <c r="C110" s="97"/>
      <c r="D110" s="111"/>
      <c r="E110" s="97"/>
      <c r="F110" s="97"/>
      <c r="G110" s="97"/>
      <c r="H110" s="97"/>
      <c r="I110" s="97"/>
      <c r="J110" s="97"/>
      <c r="K110" s="11" t="s">
        <v>9</v>
      </c>
      <c r="L110" s="21">
        <v>0</v>
      </c>
      <c r="M110" s="21">
        <v>0</v>
      </c>
      <c r="N110" s="21">
        <v>0</v>
      </c>
      <c r="O110" s="21">
        <v>0</v>
      </c>
    </row>
    <row r="111" spans="1:15" x14ac:dyDescent="0.2">
      <c r="A111" s="96"/>
      <c r="B111" s="101"/>
      <c r="C111" s="97"/>
      <c r="D111" s="111"/>
      <c r="E111" s="97"/>
      <c r="F111" s="97"/>
      <c r="G111" s="97"/>
      <c r="H111" s="97"/>
      <c r="I111" s="97"/>
      <c r="J111" s="97"/>
      <c r="K111" s="11" t="s">
        <v>10</v>
      </c>
      <c r="L111" s="21">
        <v>0</v>
      </c>
      <c r="M111" s="21">
        <v>0</v>
      </c>
      <c r="N111" s="21">
        <v>0</v>
      </c>
      <c r="O111" s="21">
        <v>0</v>
      </c>
    </row>
    <row r="112" spans="1:15" x14ac:dyDescent="0.2">
      <c r="A112" s="96"/>
      <c r="B112" s="101"/>
      <c r="C112" s="97"/>
      <c r="D112" s="111"/>
      <c r="E112" s="97"/>
      <c r="F112" s="97"/>
      <c r="G112" s="97"/>
      <c r="H112" s="97"/>
      <c r="I112" s="97"/>
      <c r="J112" s="97"/>
      <c r="K112" s="11" t="s">
        <v>11</v>
      </c>
      <c r="L112" s="21">
        <v>0</v>
      </c>
      <c r="M112" s="21">
        <v>0</v>
      </c>
      <c r="N112" s="21">
        <v>0</v>
      </c>
      <c r="O112" s="21">
        <v>0</v>
      </c>
    </row>
    <row r="113" spans="1:15" x14ac:dyDescent="0.2">
      <c r="A113" s="96"/>
      <c r="B113" s="101"/>
      <c r="C113" s="97"/>
      <c r="D113" s="111"/>
      <c r="E113" s="97"/>
      <c r="F113" s="97"/>
      <c r="G113" s="97"/>
      <c r="H113" s="97"/>
      <c r="I113" s="97"/>
      <c r="J113" s="97"/>
      <c r="K113" s="11" t="s">
        <v>12</v>
      </c>
      <c r="L113" s="21">
        <v>0</v>
      </c>
      <c r="M113" s="21">
        <v>0</v>
      </c>
      <c r="N113" s="21">
        <v>0</v>
      </c>
      <c r="O113" s="21">
        <v>0</v>
      </c>
    </row>
    <row r="114" spans="1:15" x14ac:dyDescent="0.2">
      <c r="A114" s="96"/>
      <c r="B114" s="101"/>
      <c r="C114" s="97"/>
      <c r="D114" s="111"/>
      <c r="E114" s="97"/>
      <c r="F114" s="97"/>
      <c r="G114" s="97"/>
      <c r="H114" s="97"/>
      <c r="I114" s="97"/>
      <c r="J114" s="97"/>
      <c r="K114" s="11" t="s">
        <v>13</v>
      </c>
      <c r="L114" s="21">
        <v>0</v>
      </c>
      <c r="M114" s="21">
        <v>0.45</v>
      </c>
      <c r="N114" s="21">
        <v>0.6</v>
      </c>
      <c r="O114" s="21">
        <v>0</v>
      </c>
    </row>
    <row r="115" spans="1:15" x14ac:dyDescent="0.2">
      <c r="A115" s="96"/>
      <c r="B115" s="101"/>
      <c r="C115" s="97"/>
      <c r="D115" s="111"/>
      <c r="E115" s="97"/>
      <c r="F115" s="97"/>
      <c r="G115" s="97"/>
      <c r="H115" s="97"/>
      <c r="I115" s="97"/>
      <c r="J115" s="97"/>
      <c r="K115" s="11" t="s">
        <v>14</v>
      </c>
      <c r="L115" s="21">
        <v>0</v>
      </c>
      <c r="M115" s="21">
        <v>0</v>
      </c>
      <c r="N115" s="21">
        <v>0</v>
      </c>
      <c r="O115" s="21">
        <v>0</v>
      </c>
    </row>
    <row r="116" spans="1:15" x14ac:dyDescent="0.2">
      <c r="A116" s="96"/>
      <c r="B116" s="101"/>
      <c r="C116" s="97"/>
      <c r="D116" s="111"/>
      <c r="E116" s="97"/>
      <c r="F116" s="97"/>
      <c r="G116" s="97"/>
      <c r="H116" s="97"/>
      <c r="I116" s="97"/>
      <c r="J116" s="97"/>
      <c r="K116" s="11" t="s">
        <v>15</v>
      </c>
      <c r="L116" s="21">
        <v>0</v>
      </c>
      <c r="M116" s="21">
        <v>0</v>
      </c>
      <c r="N116" s="21">
        <v>0</v>
      </c>
      <c r="O116" s="21">
        <v>0</v>
      </c>
    </row>
    <row r="117" spans="1:15" x14ac:dyDescent="0.2">
      <c r="A117" s="96"/>
      <c r="B117" s="101"/>
      <c r="C117" s="97"/>
      <c r="D117" s="111"/>
      <c r="E117" s="97"/>
      <c r="F117" s="97"/>
      <c r="G117" s="97"/>
      <c r="H117" s="97"/>
      <c r="I117" s="97"/>
      <c r="J117" s="97"/>
      <c r="K117" s="11" t="s">
        <v>16</v>
      </c>
      <c r="L117" s="21">
        <v>0</v>
      </c>
      <c r="M117" s="21">
        <v>0</v>
      </c>
      <c r="N117" s="21">
        <v>0</v>
      </c>
      <c r="O117" s="21">
        <v>0</v>
      </c>
    </row>
    <row r="118" spans="1:15" x14ac:dyDescent="0.2">
      <c r="A118" s="96"/>
      <c r="B118" s="101"/>
      <c r="C118" s="97"/>
      <c r="D118" s="111"/>
      <c r="E118" s="97"/>
      <c r="F118" s="97"/>
      <c r="G118" s="97"/>
      <c r="H118" s="97"/>
      <c r="I118" s="97"/>
      <c r="J118" s="97"/>
      <c r="K118" s="11" t="s">
        <v>17</v>
      </c>
      <c r="L118" s="21">
        <v>0</v>
      </c>
      <c r="M118" s="21">
        <v>0</v>
      </c>
      <c r="N118" s="21">
        <v>0</v>
      </c>
      <c r="O118" s="21">
        <v>0</v>
      </c>
    </row>
    <row r="119" spans="1:15" x14ac:dyDescent="0.2">
      <c r="A119" s="96"/>
      <c r="B119" s="101"/>
      <c r="C119" s="97"/>
      <c r="D119" s="111"/>
      <c r="E119" s="97"/>
      <c r="F119" s="97"/>
      <c r="G119" s="97"/>
      <c r="H119" s="97"/>
      <c r="I119" s="97"/>
      <c r="J119" s="97"/>
      <c r="K119" s="11" t="s">
        <v>18</v>
      </c>
      <c r="L119" s="21">
        <v>0</v>
      </c>
      <c r="M119" s="21">
        <v>0</v>
      </c>
      <c r="N119" s="21">
        <v>0</v>
      </c>
      <c r="O119" s="21">
        <v>0</v>
      </c>
    </row>
    <row r="120" spans="1:15" x14ac:dyDescent="0.2">
      <c r="A120" s="96"/>
      <c r="B120" s="101"/>
      <c r="C120" s="97"/>
      <c r="D120" s="111"/>
      <c r="E120" s="97"/>
      <c r="F120" s="97"/>
      <c r="G120" s="97"/>
      <c r="H120" s="97"/>
      <c r="I120" s="97"/>
      <c r="J120" s="97"/>
      <c r="K120" s="11" t="s">
        <v>0</v>
      </c>
      <c r="L120" s="17">
        <f>SUM(L108:L119)</f>
        <v>0</v>
      </c>
      <c r="M120" s="17">
        <f t="shared" ref="M120" si="22">SUM(M108:M119)</f>
        <v>0.45</v>
      </c>
      <c r="N120" s="17">
        <f t="shared" ref="N120" si="23">SUM(N108:N119)</f>
        <v>0.6</v>
      </c>
      <c r="O120" s="17">
        <f t="shared" ref="O120" si="24">SUM(O108:O119)</f>
        <v>0</v>
      </c>
    </row>
    <row r="121" spans="1:15" x14ac:dyDescent="0.2">
      <c r="A121" s="96"/>
      <c r="B121" s="101" t="s">
        <v>29</v>
      </c>
      <c r="C121" s="97" t="s">
        <v>177</v>
      </c>
      <c r="D121" s="111" t="s">
        <v>140</v>
      </c>
      <c r="E121" s="97" t="s">
        <v>143</v>
      </c>
      <c r="F121" s="97" t="s">
        <v>82</v>
      </c>
      <c r="G121" s="97" t="s">
        <v>95</v>
      </c>
      <c r="H121" s="97"/>
      <c r="I121" s="97" t="s">
        <v>228</v>
      </c>
      <c r="J121" s="97"/>
      <c r="K121" s="11" t="s">
        <v>7</v>
      </c>
      <c r="L121" s="22">
        <v>0</v>
      </c>
      <c r="M121" s="22">
        <v>0</v>
      </c>
      <c r="N121" s="22">
        <v>0</v>
      </c>
      <c r="O121" s="22">
        <v>0</v>
      </c>
    </row>
    <row r="122" spans="1:15" x14ac:dyDescent="0.2">
      <c r="A122" s="96"/>
      <c r="B122" s="101"/>
      <c r="C122" s="97"/>
      <c r="D122" s="111"/>
      <c r="E122" s="97"/>
      <c r="F122" s="97"/>
      <c r="G122" s="97"/>
      <c r="H122" s="97"/>
      <c r="I122" s="97"/>
      <c r="J122" s="97"/>
      <c r="K122" s="11" t="s">
        <v>8</v>
      </c>
      <c r="L122" s="22">
        <v>0</v>
      </c>
      <c r="M122" s="22">
        <v>0</v>
      </c>
      <c r="N122" s="22">
        <v>0</v>
      </c>
      <c r="O122" s="22">
        <v>0</v>
      </c>
    </row>
    <row r="123" spans="1:15" x14ac:dyDescent="0.2">
      <c r="A123" s="96"/>
      <c r="B123" s="101"/>
      <c r="C123" s="97"/>
      <c r="D123" s="111"/>
      <c r="E123" s="97"/>
      <c r="F123" s="97"/>
      <c r="G123" s="97"/>
      <c r="H123" s="97"/>
      <c r="I123" s="97"/>
      <c r="J123" s="97"/>
      <c r="K123" s="11" t="s">
        <v>9</v>
      </c>
      <c r="L123" s="22">
        <v>0</v>
      </c>
      <c r="M123" s="22">
        <v>0</v>
      </c>
      <c r="N123" s="22">
        <v>0</v>
      </c>
      <c r="O123" s="22">
        <v>0</v>
      </c>
    </row>
    <row r="124" spans="1:15" x14ac:dyDescent="0.2">
      <c r="A124" s="96"/>
      <c r="B124" s="101"/>
      <c r="C124" s="97"/>
      <c r="D124" s="111"/>
      <c r="E124" s="97"/>
      <c r="F124" s="97"/>
      <c r="G124" s="97"/>
      <c r="H124" s="97"/>
      <c r="I124" s="97"/>
      <c r="J124" s="97"/>
      <c r="K124" s="11" t="s">
        <v>10</v>
      </c>
      <c r="L124" s="22">
        <v>0</v>
      </c>
      <c r="M124" s="22">
        <v>0</v>
      </c>
      <c r="N124" s="22">
        <v>0</v>
      </c>
      <c r="O124" s="22">
        <v>0</v>
      </c>
    </row>
    <row r="125" spans="1:15" x14ac:dyDescent="0.2">
      <c r="A125" s="96"/>
      <c r="B125" s="101"/>
      <c r="C125" s="97"/>
      <c r="D125" s="111"/>
      <c r="E125" s="97"/>
      <c r="F125" s="97"/>
      <c r="G125" s="97"/>
      <c r="H125" s="97"/>
      <c r="I125" s="97"/>
      <c r="J125" s="97"/>
      <c r="K125" s="11" t="s">
        <v>11</v>
      </c>
      <c r="L125" s="22">
        <v>0</v>
      </c>
      <c r="M125" s="22">
        <v>0</v>
      </c>
      <c r="N125" s="22">
        <v>0</v>
      </c>
      <c r="O125" s="22">
        <v>0</v>
      </c>
    </row>
    <row r="126" spans="1:15" x14ac:dyDescent="0.2">
      <c r="A126" s="96"/>
      <c r="B126" s="101"/>
      <c r="C126" s="97"/>
      <c r="D126" s="111"/>
      <c r="E126" s="97"/>
      <c r="F126" s="97"/>
      <c r="G126" s="97"/>
      <c r="H126" s="97"/>
      <c r="I126" s="97"/>
      <c r="J126" s="97"/>
      <c r="K126" s="11" t="s">
        <v>12</v>
      </c>
      <c r="L126" s="22">
        <v>0</v>
      </c>
      <c r="M126" s="22">
        <v>0</v>
      </c>
      <c r="N126" s="22">
        <v>0</v>
      </c>
      <c r="O126" s="22">
        <v>0</v>
      </c>
    </row>
    <row r="127" spans="1:15" x14ac:dyDescent="0.2">
      <c r="A127" s="96"/>
      <c r="B127" s="101"/>
      <c r="C127" s="97"/>
      <c r="D127" s="111"/>
      <c r="E127" s="97"/>
      <c r="F127" s="97"/>
      <c r="G127" s="97"/>
      <c r="H127" s="97"/>
      <c r="I127" s="97"/>
      <c r="J127" s="97"/>
      <c r="K127" s="11" t="s">
        <v>13</v>
      </c>
      <c r="L127" s="22">
        <v>0</v>
      </c>
      <c r="M127" s="22">
        <v>0</v>
      </c>
      <c r="N127" s="22">
        <v>0</v>
      </c>
      <c r="O127" s="22">
        <v>0</v>
      </c>
    </row>
    <row r="128" spans="1:15" x14ac:dyDescent="0.2">
      <c r="A128" s="96"/>
      <c r="B128" s="101"/>
      <c r="C128" s="97"/>
      <c r="D128" s="111"/>
      <c r="E128" s="97"/>
      <c r="F128" s="97"/>
      <c r="G128" s="97"/>
      <c r="H128" s="97"/>
      <c r="I128" s="97"/>
      <c r="J128" s="97"/>
      <c r="K128" s="11" t="s">
        <v>14</v>
      </c>
      <c r="L128" s="22">
        <v>0</v>
      </c>
      <c r="M128" s="22">
        <v>0</v>
      </c>
      <c r="N128" s="22">
        <v>0</v>
      </c>
      <c r="O128" s="22">
        <v>0</v>
      </c>
    </row>
    <row r="129" spans="1:15" x14ac:dyDescent="0.2">
      <c r="A129" s="96"/>
      <c r="B129" s="101"/>
      <c r="C129" s="97"/>
      <c r="D129" s="111"/>
      <c r="E129" s="97"/>
      <c r="F129" s="97"/>
      <c r="G129" s="97"/>
      <c r="H129" s="97"/>
      <c r="I129" s="97"/>
      <c r="J129" s="97"/>
      <c r="K129" s="11" t="s">
        <v>15</v>
      </c>
      <c r="L129" s="22">
        <v>0</v>
      </c>
      <c r="M129" s="22">
        <v>0</v>
      </c>
      <c r="N129" s="22">
        <v>0</v>
      </c>
      <c r="O129" s="22">
        <v>0</v>
      </c>
    </row>
    <row r="130" spans="1:15" x14ac:dyDescent="0.2">
      <c r="A130" s="96"/>
      <c r="B130" s="101"/>
      <c r="C130" s="97"/>
      <c r="D130" s="111"/>
      <c r="E130" s="97"/>
      <c r="F130" s="97"/>
      <c r="G130" s="97"/>
      <c r="H130" s="97"/>
      <c r="I130" s="97"/>
      <c r="J130" s="97"/>
      <c r="K130" s="11" t="s">
        <v>16</v>
      </c>
      <c r="L130" s="22">
        <v>0</v>
      </c>
      <c r="M130" s="22">
        <v>0</v>
      </c>
      <c r="N130" s="22">
        <v>0</v>
      </c>
      <c r="O130" s="22">
        <v>0</v>
      </c>
    </row>
    <row r="131" spans="1:15" x14ac:dyDescent="0.2">
      <c r="A131" s="96"/>
      <c r="B131" s="101"/>
      <c r="C131" s="97"/>
      <c r="D131" s="111"/>
      <c r="E131" s="97"/>
      <c r="F131" s="97"/>
      <c r="G131" s="97"/>
      <c r="H131" s="97"/>
      <c r="I131" s="97"/>
      <c r="J131" s="97"/>
      <c r="K131" s="11" t="s">
        <v>17</v>
      </c>
      <c r="L131" s="22">
        <v>0</v>
      </c>
      <c r="M131" s="22">
        <v>0</v>
      </c>
      <c r="N131" s="22">
        <v>0</v>
      </c>
      <c r="O131" s="22">
        <v>0</v>
      </c>
    </row>
    <row r="132" spans="1:15" x14ac:dyDescent="0.2">
      <c r="A132" s="96"/>
      <c r="B132" s="101"/>
      <c r="C132" s="97"/>
      <c r="D132" s="111"/>
      <c r="E132" s="97"/>
      <c r="F132" s="97"/>
      <c r="G132" s="97"/>
      <c r="H132" s="97"/>
      <c r="I132" s="97"/>
      <c r="J132" s="97"/>
      <c r="K132" s="11" t="s">
        <v>18</v>
      </c>
      <c r="L132" s="22">
        <v>0</v>
      </c>
      <c r="M132" s="22">
        <v>0</v>
      </c>
      <c r="N132" s="22">
        <v>0</v>
      </c>
      <c r="O132" s="22">
        <v>0</v>
      </c>
    </row>
    <row r="133" spans="1:15" x14ac:dyDescent="0.2">
      <c r="A133" s="96"/>
      <c r="B133" s="101"/>
      <c r="C133" s="97"/>
      <c r="D133" s="111"/>
      <c r="E133" s="97"/>
      <c r="F133" s="97"/>
      <c r="G133" s="97"/>
      <c r="H133" s="97"/>
      <c r="I133" s="97"/>
      <c r="J133" s="97"/>
      <c r="K133" s="11" t="s">
        <v>0</v>
      </c>
      <c r="L133" s="18">
        <f>SUM(L121:L132)</f>
        <v>0</v>
      </c>
      <c r="M133" s="18">
        <f t="shared" ref="M133" si="25">SUM(M121:M132)</f>
        <v>0</v>
      </c>
      <c r="N133" s="18">
        <f t="shared" ref="N133" si="26">SUM(N121:N132)</f>
        <v>0</v>
      </c>
      <c r="O133" s="18">
        <f t="shared" ref="O133" si="27">SUM(O121:O132)</f>
        <v>0</v>
      </c>
    </row>
    <row r="134" spans="1:15" x14ac:dyDescent="0.2">
      <c r="A134" s="96"/>
      <c r="B134" s="101" t="s">
        <v>29</v>
      </c>
      <c r="C134" s="97" t="s">
        <v>178</v>
      </c>
      <c r="D134" s="111" t="s">
        <v>141</v>
      </c>
      <c r="E134" s="97" t="s">
        <v>142</v>
      </c>
      <c r="F134" s="97" t="s">
        <v>82</v>
      </c>
      <c r="G134" s="97" t="s">
        <v>95</v>
      </c>
      <c r="H134" s="97"/>
      <c r="I134" s="97"/>
      <c r="J134" s="97"/>
      <c r="K134" s="11" t="s">
        <v>7</v>
      </c>
      <c r="L134" s="22">
        <v>0</v>
      </c>
      <c r="M134" s="22">
        <v>0</v>
      </c>
      <c r="N134" s="22">
        <v>1</v>
      </c>
      <c r="O134" s="22">
        <v>0</v>
      </c>
    </row>
    <row r="135" spans="1:15" x14ac:dyDescent="0.2">
      <c r="A135" s="96"/>
      <c r="B135" s="101"/>
      <c r="C135" s="97"/>
      <c r="D135" s="111"/>
      <c r="E135" s="97"/>
      <c r="F135" s="97"/>
      <c r="G135" s="97"/>
      <c r="H135" s="97"/>
      <c r="I135" s="97"/>
      <c r="J135" s="97"/>
      <c r="K135" s="11" t="s">
        <v>8</v>
      </c>
      <c r="L135" s="22">
        <v>0</v>
      </c>
      <c r="M135" s="22">
        <v>1</v>
      </c>
      <c r="N135" s="22">
        <v>1</v>
      </c>
      <c r="O135" s="22">
        <v>0</v>
      </c>
    </row>
    <row r="136" spans="1:15" x14ac:dyDescent="0.2">
      <c r="A136" s="96"/>
      <c r="B136" s="101"/>
      <c r="C136" s="97"/>
      <c r="D136" s="111"/>
      <c r="E136" s="97"/>
      <c r="F136" s="97"/>
      <c r="G136" s="97"/>
      <c r="H136" s="97"/>
      <c r="I136" s="97"/>
      <c r="J136" s="97"/>
      <c r="K136" s="11" t="s">
        <v>9</v>
      </c>
      <c r="L136" s="22">
        <v>0</v>
      </c>
      <c r="M136" s="22">
        <v>0</v>
      </c>
      <c r="N136" s="22">
        <v>0</v>
      </c>
      <c r="O136" s="22">
        <v>0</v>
      </c>
    </row>
    <row r="137" spans="1:15" x14ac:dyDescent="0.2">
      <c r="A137" s="96"/>
      <c r="B137" s="101"/>
      <c r="C137" s="97"/>
      <c r="D137" s="111"/>
      <c r="E137" s="97"/>
      <c r="F137" s="97"/>
      <c r="G137" s="97"/>
      <c r="H137" s="97"/>
      <c r="I137" s="97"/>
      <c r="J137" s="97"/>
      <c r="K137" s="11" t="s">
        <v>10</v>
      </c>
      <c r="L137" s="22">
        <v>0</v>
      </c>
      <c r="M137" s="22">
        <v>0</v>
      </c>
      <c r="N137" s="22">
        <v>1</v>
      </c>
      <c r="O137" s="22">
        <v>0</v>
      </c>
    </row>
    <row r="138" spans="1:15" x14ac:dyDescent="0.2">
      <c r="A138" s="96"/>
      <c r="B138" s="101"/>
      <c r="C138" s="97"/>
      <c r="D138" s="111"/>
      <c r="E138" s="97"/>
      <c r="F138" s="97"/>
      <c r="G138" s="97"/>
      <c r="H138" s="97"/>
      <c r="I138" s="97"/>
      <c r="J138" s="97"/>
      <c r="K138" s="11" t="s">
        <v>11</v>
      </c>
      <c r="L138" s="22">
        <v>1</v>
      </c>
      <c r="M138" s="22">
        <v>2</v>
      </c>
      <c r="N138" s="22">
        <v>3</v>
      </c>
      <c r="O138" s="22">
        <v>0</v>
      </c>
    </row>
    <row r="139" spans="1:15" x14ac:dyDescent="0.2">
      <c r="A139" s="96"/>
      <c r="B139" s="101"/>
      <c r="C139" s="97"/>
      <c r="D139" s="111"/>
      <c r="E139" s="97"/>
      <c r="F139" s="97"/>
      <c r="G139" s="97"/>
      <c r="H139" s="97"/>
      <c r="I139" s="97"/>
      <c r="J139" s="97"/>
      <c r="K139" s="11" t="s">
        <v>12</v>
      </c>
      <c r="L139" s="22">
        <v>0</v>
      </c>
      <c r="M139" s="22">
        <v>0</v>
      </c>
      <c r="N139" s="22">
        <v>0</v>
      </c>
      <c r="O139" s="22">
        <v>0</v>
      </c>
    </row>
    <row r="140" spans="1:15" x14ac:dyDescent="0.2">
      <c r="A140" s="96"/>
      <c r="B140" s="101"/>
      <c r="C140" s="97"/>
      <c r="D140" s="111"/>
      <c r="E140" s="97"/>
      <c r="F140" s="97"/>
      <c r="G140" s="97"/>
      <c r="H140" s="97"/>
      <c r="I140" s="97"/>
      <c r="J140" s="97"/>
      <c r="K140" s="11" t="s">
        <v>13</v>
      </c>
      <c r="L140" s="22">
        <v>0</v>
      </c>
      <c r="M140" s="22">
        <v>0</v>
      </c>
      <c r="N140" s="22">
        <v>4</v>
      </c>
      <c r="O140" s="22">
        <v>0</v>
      </c>
    </row>
    <row r="141" spans="1:15" x14ac:dyDescent="0.2">
      <c r="A141" s="96"/>
      <c r="B141" s="101"/>
      <c r="C141" s="97"/>
      <c r="D141" s="111"/>
      <c r="E141" s="97"/>
      <c r="F141" s="97"/>
      <c r="G141" s="97"/>
      <c r="H141" s="97"/>
      <c r="I141" s="97"/>
      <c r="J141" s="97"/>
      <c r="K141" s="11" t="s">
        <v>14</v>
      </c>
      <c r="L141" s="22">
        <v>0</v>
      </c>
      <c r="M141" s="22">
        <v>0</v>
      </c>
      <c r="N141" s="22">
        <v>0</v>
      </c>
      <c r="O141" s="22">
        <v>0</v>
      </c>
    </row>
    <row r="142" spans="1:15" x14ac:dyDescent="0.2">
      <c r="A142" s="96"/>
      <c r="B142" s="101"/>
      <c r="C142" s="97"/>
      <c r="D142" s="111"/>
      <c r="E142" s="97"/>
      <c r="F142" s="97"/>
      <c r="G142" s="97"/>
      <c r="H142" s="97"/>
      <c r="I142" s="97"/>
      <c r="J142" s="97"/>
      <c r="K142" s="11" t="s">
        <v>15</v>
      </c>
      <c r="L142" s="22">
        <v>0</v>
      </c>
      <c r="M142" s="22">
        <v>1</v>
      </c>
      <c r="N142" s="22">
        <v>1</v>
      </c>
      <c r="O142" s="22">
        <v>0</v>
      </c>
    </row>
    <row r="143" spans="1:15" x14ac:dyDescent="0.2">
      <c r="A143" s="96"/>
      <c r="B143" s="101"/>
      <c r="C143" s="97"/>
      <c r="D143" s="111"/>
      <c r="E143" s="97"/>
      <c r="F143" s="97"/>
      <c r="G143" s="97"/>
      <c r="H143" s="97"/>
      <c r="I143" s="97"/>
      <c r="J143" s="97"/>
      <c r="K143" s="11" t="s">
        <v>16</v>
      </c>
      <c r="L143" s="22">
        <v>0</v>
      </c>
      <c r="M143" s="22">
        <v>0</v>
      </c>
      <c r="N143" s="22">
        <v>0</v>
      </c>
      <c r="O143" s="22">
        <v>0</v>
      </c>
    </row>
    <row r="144" spans="1:15" x14ac:dyDescent="0.2">
      <c r="A144" s="96"/>
      <c r="B144" s="101"/>
      <c r="C144" s="97"/>
      <c r="D144" s="111"/>
      <c r="E144" s="97"/>
      <c r="F144" s="97"/>
      <c r="G144" s="97"/>
      <c r="H144" s="97"/>
      <c r="I144" s="97"/>
      <c r="J144" s="97"/>
      <c r="K144" s="11" t="s">
        <v>17</v>
      </c>
      <c r="L144" s="22">
        <v>0</v>
      </c>
      <c r="M144" s="22">
        <v>0</v>
      </c>
      <c r="N144" s="22">
        <v>0</v>
      </c>
      <c r="O144" s="22">
        <v>0</v>
      </c>
    </row>
    <row r="145" spans="1:15" x14ac:dyDescent="0.2">
      <c r="A145" s="96"/>
      <c r="B145" s="101"/>
      <c r="C145" s="97"/>
      <c r="D145" s="111"/>
      <c r="E145" s="97"/>
      <c r="F145" s="97"/>
      <c r="G145" s="97"/>
      <c r="H145" s="97"/>
      <c r="I145" s="97"/>
      <c r="J145" s="97"/>
      <c r="K145" s="11" t="s">
        <v>18</v>
      </c>
      <c r="L145" s="22">
        <v>0</v>
      </c>
      <c r="M145" s="22">
        <v>1</v>
      </c>
      <c r="N145" s="22">
        <v>3</v>
      </c>
      <c r="O145" s="22">
        <v>0</v>
      </c>
    </row>
    <row r="146" spans="1:15" x14ac:dyDescent="0.2">
      <c r="A146" s="96"/>
      <c r="B146" s="101"/>
      <c r="C146" s="97"/>
      <c r="D146" s="111"/>
      <c r="E146" s="97"/>
      <c r="F146" s="97"/>
      <c r="G146" s="97"/>
      <c r="H146" s="97"/>
      <c r="I146" s="97"/>
      <c r="J146" s="97"/>
      <c r="K146" s="11" t="s">
        <v>0</v>
      </c>
      <c r="L146" s="18">
        <f>SUM(L134:L145)</f>
        <v>1</v>
      </c>
      <c r="M146" s="18">
        <f>SUM(M134:M145)</f>
        <v>5</v>
      </c>
      <c r="N146" s="18">
        <f>SUM(N134:N145)</f>
        <v>14</v>
      </c>
      <c r="O146" s="18">
        <f t="shared" ref="O146" si="28">SUM(O134:O145)</f>
        <v>0</v>
      </c>
    </row>
    <row r="147" spans="1:15" ht="12.75" customHeight="1" x14ac:dyDescent="0.2">
      <c r="A147" s="96"/>
      <c r="B147" s="113" t="s">
        <v>31</v>
      </c>
      <c r="C147" s="97" t="s">
        <v>179</v>
      </c>
      <c r="D147" s="111" t="s">
        <v>32</v>
      </c>
      <c r="E147" s="97" t="s">
        <v>128</v>
      </c>
      <c r="F147" s="105" t="s">
        <v>101</v>
      </c>
      <c r="G147" s="97" t="s">
        <v>95</v>
      </c>
      <c r="H147" s="97"/>
      <c r="I147" s="97"/>
      <c r="J147" s="97"/>
      <c r="K147" s="11" t="s">
        <v>7</v>
      </c>
      <c r="L147" s="23">
        <v>0</v>
      </c>
      <c r="M147" s="23">
        <v>0</v>
      </c>
      <c r="N147" s="23">
        <v>0</v>
      </c>
      <c r="O147" s="23">
        <v>0</v>
      </c>
    </row>
    <row r="148" spans="1:15" x14ac:dyDescent="0.2">
      <c r="A148" s="96"/>
      <c r="B148" s="114"/>
      <c r="C148" s="97"/>
      <c r="D148" s="111"/>
      <c r="E148" s="97"/>
      <c r="F148" s="106"/>
      <c r="G148" s="97"/>
      <c r="H148" s="97"/>
      <c r="I148" s="97"/>
      <c r="J148" s="97"/>
      <c r="K148" s="11" t="s">
        <v>8</v>
      </c>
      <c r="L148" s="23">
        <v>0</v>
      </c>
      <c r="M148" s="23">
        <v>0</v>
      </c>
      <c r="N148" s="23">
        <v>0</v>
      </c>
      <c r="O148" s="23">
        <v>0</v>
      </c>
    </row>
    <row r="149" spans="1:15" x14ac:dyDescent="0.2">
      <c r="A149" s="96"/>
      <c r="B149" s="114"/>
      <c r="C149" s="97"/>
      <c r="D149" s="111"/>
      <c r="E149" s="97"/>
      <c r="F149" s="106"/>
      <c r="G149" s="97"/>
      <c r="H149" s="97"/>
      <c r="I149" s="97"/>
      <c r="J149" s="97"/>
      <c r="K149" s="11" t="s">
        <v>9</v>
      </c>
      <c r="L149" s="23">
        <v>0</v>
      </c>
      <c r="M149" s="23">
        <v>0</v>
      </c>
      <c r="N149" s="23">
        <v>4.5</v>
      </c>
      <c r="O149" s="23">
        <v>0</v>
      </c>
    </row>
    <row r="150" spans="1:15" x14ac:dyDescent="0.2">
      <c r="A150" s="96"/>
      <c r="B150" s="114"/>
      <c r="C150" s="97"/>
      <c r="D150" s="111"/>
      <c r="E150" s="97"/>
      <c r="F150" s="106"/>
      <c r="G150" s="97"/>
      <c r="H150" s="97"/>
      <c r="I150" s="97"/>
      <c r="J150" s="97"/>
      <c r="K150" s="11" t="s">
        <v>10</v>
      </c>
      <c r="L150" s="23">
        <v>0</v>
      </c>
      <c r="M150" s="23">
        <v>0</v>
      </c>
      <c r="N150" s="23">
        <v>0</v>
      </c>
      <c r="O150" s="23">
        <v>0</v>
      </c>
    </row>
    <row r="151" spans="1:15" x14ac:dyDescent="0.2">
      <c r="A151" s="96"/>
      <c r="B151" s="114"/>
      <c r="C151" s="97"/>
      <c r="D151" s="111"/>
      <c r="E151" s="97"/>
      <c r="F151" s="106"/>
      <c r="G151" s="97"/>
      <c r="H151" s="97"/>
      <c r="I151" s="97"/>
      <c r="J151" s="97"/>
      <c r="K151" s="11" t="s">
        <v>11</v>
      </c>
      <c r="L151" s="23">
        <v>0</v>
      </c>
      <c r="M151" s="23">
        <v>0</v>
      </c>
      <c r="N151" s="23">
        <v>0</v>
      </c>
      <c r="O151" s="23">
        <v>0</v>
      </c>
    </row>
    <row r="152" spans="1:15" x14ac:dyDescent="0.2">
      <c r="A152" s="96"/>
      <c r="B152" s="114"/>
      <c r="C152" s="97"/>
      <c r="D152" s="111"/>
      <c r="E152" s="97"/>
      <c r="F152" s="106"/>
      <c r="G152" s="97"/>
      <c r="H152" s="97"/>
      <c r="I152" s="97"/>
      <c r="J152" s="97"/>
      <c r="K152" s="11" t="s">
        <v>12</v>
      </c>
      <c r="L152" s="23">
        <v>0</v>
      </c>
      <c r="M152" s="23">
        <v>0</v>
      </c>
      <c r="N152" s="23">
        <v>4.5</v>
      </c>
      <c r="O152" s="23">
        <v>0</v>
      </c>
    </row>
    <row r="153" spans="1:15" x14ac:dyDescent="0.2">
      <c r="A153" s="96"/>
      <c r="B153" s="114"/>
      <c r="C153" s="97"/>
      <c r="D153" s="111"/>
      <c r="E153" s="97"/>
      <c r="F153" s="106"/>
      <c r="G153" s="97"/>
      <c r="H153" s="97"/>
      <c r="I153" s="97"/>
      <c r="J153" s="97"/>
      <c r="K153" s="11" t="s">
        <v>13</v>
      </c>
      <c r="L153" s="23">
        <v>0</v>
      </c>
      <c r="M153" s="23">
        <v>0</v>
      </c>
      <c r="N153" s="23">
        <v>0</v>
      </c>
      <c r="O153" s="23">
        <v>0</v>
      </c>
    </row>
    <row r="154" spans="1:15" x14ac:dyDescent="0.2">
      <c r="A154" s="96"/>
      <c r="B154" s="114"/>
      <c r="C154" s="97"/>
      <c r="D154" s="111"/>
      <c r="E154" s="97"/>
      <c r="F154" s="106"/>
      <c r="G154" s="97"/>
      <c r="H154" s="97"/>
      <c r="I154" s="97"/>
      <c r="J154" s="97"/>
      <c r="K154" s="11" t="s">
        <v>14</v>
      </c>
      <c r="L154" s="23">
        <v>0</v>
      </c>
      <c r="M154" s="23">
        <v>0</v>
      </c>
      <c r="N154" s="23">
        <v>0</v>
      </c>
      <c r="O154" s="23">
        <v>0</v>
      </c>
    </row>
    <row r="155" spans="1:15" x14ac:dyDescent="0.2">
      <c r="A155" s="96"/>
      <c r="B155" s="114"/>
      <c r="C155" s="97"/>
      <c r="D155" s="111"/>
      <c r="E155" s="97"/>
      <c r="F155" s="106"/>
      <c r="G155" s="97"/>
      <c r="H155" s="97"/>
      <c r="I155" s="97"/>
      <c r="J155" s="97"/>
      <c r="K155" s="11" t="s">
        <v>15</v>
      </c>
      <c r="L155" s="23">
        <v>0</v>
      </c>
      <c r="M155" s="23">
        <v>0</v>
      </c>
      <c r="N155" s="23">
        <v>4.5</v>
      </c>
      <c r="O155" s="23">
        <v>0</v>
      </c>
    </row>
    <row r="156" spans="1:15" x14ac:dyDescent="0.2">
      <c r="A156" s="96"/>
      <c r="B156" s="114"/>
      <c r="C156" s="97"/>
      <c r="D156" s="111"/>
      <c r="E156" s="97"/>
      <c r="F156" s="106"/>
      <c r="G156" s="97"/>
      <c r="H156" s="97"/>
      <c r="I156" s="97"/>
      <c r="J156" s="97"/>
      <c r="K156" s="11" t="s">
        <v>16</v>
      </c>
      <c r="L156" s="23">
        <v>0</v>
      </c>
      <c r="M156" s="23">
        <v>0</v>
      </c>
      <c r="N156" s="23">
        <v>0</v>
      </c>
      <c r="O156" s="23">
        <v>0</v>
      </c>
    </row>
    <row r="157" spans="1:15" x14ac:dyDescent="0.2">
      <c r="A157" s="96"/>
      <c r="B157" s="114"/>
      <c r="C157" s="97"/>
      <c r="D157" s="111"/>
      <c r="E157" s="97"/>
      <c r="F157" s="106"/>
      <c r="G157" s="97"/>
      <c r="H157" s="97"/>
      <c r="I157" s="97"/>
      <c r="J157" s="97"/>
      <c r="K157" s="11" t="s">
        <v>17</v>
      </c>
      <c r="L157" s="23">
        <v>0</v>
      </c>
      <c r="M157" s="23">
        <v>0</v>
      </c>
      <c r="N157" s="23">
        <v>0</v>
      </c>
      <c r="O157" s="23">
        <v>0</v>
      </c>
    </row>
    <row r="158" spans="1:15" x14ac:dyDescent="0.2">
      <c r="A158" s="96"/>
      <c r="B158" s="114"/>
      <c r="C158" s="97"/>
      <c r="D158" s="111"/>
      <c r="E158" s="97"/>
      <c r="F158" s="106"/>
      <c r="G158" s="97"/>
      <c r="H158" s="97"/>
      <c r="I158" s="97"/>
      <c r="J158" s="97"/>
      <c r="K158" s="11" t="s">
        <v>18</v>
      </c>
      <c r="L158" s="23">
        <v>4.5</v>
      </c>
      <c r="M158" s="23">
        <v>4.12</v>
      </c>
      <c r="N158" s="23">
        <v>9</v>
      </c>
      <c r="O158" s="23">
        <v>0</v>
      </c>
    </row>
    <row r="159" spans="1:15" x14ac:dyDescent="0.2">
      <c r="A159" s="96"/>
      <c r="B159" s="115"/>
      <c r="C159" s="97"/>
      <c r="D159" s="111"/>
      <c r="E159" s="97"/>
      <c r="F159" s="107"/>
      <c r="G159" s="97"/>
      <c r="H159" s="97"/>
      <c r="I159" s="97"/>
      <c r="J159" s="97"/>
      <c r="K159" s="11" t="s">
        <v>0</v>
      </c>
      <c r="L159" s="20">
        <f>SUM(L147:L158)</f>
        <v>4.5</v>
      </c>
      <c r="M159" s="20">
        <f t="shared" ref="M159" si="29">SUM(M147:M158)</f>
        <v>4.12</v>
      </c>
      <c r="N159" s="20">
        <f t="shared" ref="N159" si="30">SUM(N147:N158)</f>
        <v>22.5</v>
      </c>
      <c r="O159" s="20">
        <f t="shared" ref="O159" si="31">SUM(O147:O158)</f>
        <v>0</v>
      </c>
    </row>
    <row r="160" spans="1:15" ht="12.75" customHeight="1" x14ac:dyDescent="0.2">
      <c r="A160" s="96"/>
      <c r="B160" s="113" t="s">
        <v>31</v>
      </c>
      <c r="C160" s="97" t="s">
        <v>180</v>
      </c>
      <c r="D160" s="111" t="s">
        <v>137</v>
      </c>
      <c r="E160" s="97" t="s">
        <v>110</v>
      </c>
      <c r="F160" s="105" t="s">
        <v>101</v>
      </c>
      <c r="G160" s="97" t="s">
        <v>96</v>
      </c>
      <c r="H160" s="97"/>
      <c r="I160" s="97"/>
      <c r="J160" s="97"/>
      <c r="K160" s="11" t="s">
        <v>7</v>
      </c>
      <c r="L160" s="23">
        <v>0</v>
      </c>
      <c r="M160" s="23">
        <v>0</v>
      </c>
      <c r="N160" s="23">
        <v>0</v>
      </c>
      <c r="O160" s="23">
        <v>0</v>
      </c>
    </row>
    <row r="161" spans="1:15" x14ac:dyDescent="0.2">
      <c r="A161" s="96"/>
      <c r="B161" s="114"/>
      <c r="C161" s="97"/>
      <c r="D161" s="111"/>
      <c r="E161" s="97"/>
      <c r="F161" s="106"/>
      <c r="G161" s="97"/>
      <c r="H161" s="97"/>
      <c r="I161" s="97"/>
      <c r="J161" s="97"/>
      <c r="K161" s="11" t="s">
        <v>8</v>
      </c>
      <c r="L161" s="23">
        <v>0</v>
      </c>
      <c r="M161" s="23">
        <v>0</v>
      </c>
      <c r="N161" s="23">
        <v>0</v>
      </c>
      <c r="O161" s="23">
        <v>0</v>
      </c>
    </row>
    <row r="162" spans="1:15" x14ac:dyDescent="0.2">
      <c r="A162" s="96"/>
      <c r="B162" s="114"/>
      <c r="C162" s="97"/>
      <c r="D162" s="111"/>
      <c r="E162" s="97"/>
      <c r="F162" s="106"/>
      <c r="G162" s="97"/>
      <c r="H162" s="97"/>
      <c r="I162" s="97"/>
      <c r="J162" s="97"/>
      <c r="K162" s="11" t="s">
        <v>9</v>
      </c>
      <c r="L162" s="23">
        <v>0</v>
      </c>
      <c r="M162" s="23">
        <v>0</v>
      </c>
      <c r="N162" s="23">
        <v>0</v>
      </c>
      <c r="O162" s="23">
        <v>0</v>
      </c>
    </row>
    <row r="163" spans="1:15" x14ac:dyDescent="0.2">
      <c r="A163" s="96"/>
      <c r="B163" s="114"/>
      <c r="C163" s="97"/>
      <c r="D163" s="111"/>
      <c r="E163" s="97"/>
      <c r="F163" s="106"/>
      <c r="G163" s="97"/>
      <c r="H163" s="97"/>
      <c r="I163" s="97"/>
      <c r="J163" s="97"/>
      <c r="K163" s="11" t="s">
        <v>10</v>
      </c>
      <c r="L163" s="23">
        <v>0</v>
      </c>
      <c r="M163" s="23">
        <v>0</v>
      </c>
      <c r="N163" s="23">
        <v>0</v>
      </c>
      <c r="O163" s="23">
        <v>0</v>
      </c>
    </row>
    <row r="164" spans="1:15" x14ac:dyDescent="0.2">
      <c r="A164" s="96"/>
      <c r="B164" s="114"/>
      <c r="C164" s="97"/>
      <c r="D164" s="111"/>
      <c r="E164" s="97"/>
      <c r="F164" s="106"/>
      <c r="G164" s="97"/>
      <c r="H164" s="97"/>
      <c r="I164" s="97"/>
      <c r="J164" s="97"/>
      <c r="K164" s="11" t="s">
        <v>11</v>
      </c>
      <c r="L164" s="23">
        <v>0</v>
      </c>
      <c r="M164" s="23">
        <v>0</v>
      </c>
      <c r="N164" s="23">
        <v>0</v>
      </c>
      <c r="O164" s="23">
        <v>0</v>
      </c>
    </row>
    <row r="165" spans="1:15" x14ac:dyDescent="0.2">
      <c r="A165" s="96"/>
      <c r="B165" s="114"/>
      <c r="C165" s="97"/>
      <c r="D165" s="111"/>
      <c r="E165" s="97"/>
      <c r="F165" s="106"/>
      <c r="G165" s="97"/>
      <c r="H165" s="97"/>
      <c r="I165" s="97"/>
      <c r="J165" s="97"/>
      <c r="K165" s="11" t="s">
        <v>12</v>
      </c>
      <c r="L165" s="23">
        <v>0</v>
      </c>
      <c r="M165" s="23">
        <v>0</v>
      </c>
      <c r="N165" s="23">
        <v>0</v>
      </c>
      <c r="O165" s="23">
        <v>0</v>
      </c>
    </row>
    <row r="166" spans="1:15" x14ac:dyDescent="0.2">
      <c r="A166" s="96"/>
      <c r="B166" s="114"/>
      <c r="C166" s="97"/>
      <c r="D166" s="111"/>
      <c r="E166" s="97"/>
      <c r="F166" s="106"/>
      <c r="G166" s="97"/>
      <c r="H166" s="97"/>
      <c r="I166" s="97"/>
      <c r="J166" s="97"/>
      <c r="K166" s="11" t="s">
        <v>13</v>
      </c>
      <c r="L166" s="23">
        <v>0</v>
      </c>
      <c r="M166" s="23">
        <v>0</v>
      </c>
      <c r="N166" s="23">
        <v>0</v>
      </c>
      <c r="O166" s="23">
        <v>0</v>
      </c>
    </row>
    <row r="167" spans="1:15" x14ac:dyDescent="0.2">
      <c r="A167" s="96"/>
      <c r="B167" s="114"/>
      <c r="C167" s="97"/>
      <c r="D167" s="111"/>
      <c r="E167" s="97"/>
      <c r="F167" s="106"/>
      <c r="G167" s="97"/>
      <c r="H167" s="97"/>
      <c r="I167" s="97"/>
      <c r="J167" s="97"/>
      <c r="K167" s="11" t="s">
        <v>14</v>
      </c>
      <c r="L167" s="23">
        <v>0</v>
      </c>
      <c r="M167" s="23">
        <v>3.3</v>
      </c>
      <c r="N167" s="23">
        <v>0</v>
      </c>
      <c r="O167" s="23">
        <v>0</v>
      </c>
    </row>
    <row r="168" spans="1:15" x14ac:dyDescent="0.2">
      <c r="A168" s="96"/>
      <c r="B168" s="114"/>
      <c r="C168" s="97"/>
      <c r="D168" s="111"/>
      <c r="E168" s="97"/>
      <c r="F168" s="106"/>
      <c r="G168" s="97"/>
      <c r="H168" s="97"/>
      <c r="I168" s="97"/>
      <c r="J168" s="97"/>
      <c r="K168" s="11" t="s">
        <v>15</v>
      </c>
      <c r="L168" s="23">
        <v>0</v>
      </c>
      <c r="M168" s="23">
        <v>0</v>
      </c>
      <c r="N168" s="23">
        <v>0</v>
      </c>
      <c r="O168" s="23">
        <v>0</v>
      </c>
    </row>
    <row r="169" spans="1:15" x14ac:dyDescent="0.2">
      <c r="A169" s="96"/>
      <c r="B169" s="114"/>
      <c r="C169" s="97"/>
      <c r="D169" s="111"/>
      <c r="E169" s="97"/>
      <c r="F169" s="106"/>
      <c r="G169" s="97"/>
      <c r="H169" s="97"/>
      <c r="I169" s="97"/>
      <c r="J169" s="97"/>
      <c r="K169" s="11" t="s">
        <v>16</v>
      </c>
      <c r="L169" s="23">
        <v>0</v>
      </c>
      <c r="M169" s="23">
        <v>0</v>
      </c>
      <c r="N169" s="23">
        <v>0</v>
      </c>
      <c r="O169" s="23">
        <v>0</v>
      </c>
    </row>
    <row r="170" spans="1:15" x14ac:dyDescent="0.2">
      <c r="A170" s="96"/>
      <c r="B170" s="114"/>
      <c r="C170" s="97"/>
      <c r="D170" s="111"/>
      <c r="E170" s="97"/>
      <c r="F170" s="106"/>
      <c r="G170" s="97"/>
      <c r="H170" s="97"/>
      <c r="I170" s="97"/>
      <c r="J170" s="97"/>
      <c r="K170" s="11" t="s">
        <v>17</v>
      </c>
      <c r="L170" s="23">
        <v>0</v>
      </c>
      <c r="M170" s="23">
        <v>0</v>
      </c>
      <c r="N170" s="23">
        <v>0</v>
      </c>
      <c r="O170" s="23">
        <v>0</v>
      </c>
    </row>
    <row r="171" spans="1:15" x14ac:dyDescent="0.2">
      <c r="A171" s="96"/>
      <c r="B171" s="114"/>
      <c r="C171" s="97"/>
      <c r="D171" s="111"/>
      <c r="E171" s="97"/>
      <c r="F171" s="106"/>
      <c r="G171" s="97"/>
      <c r="H171" s="97"/>
      <c r="I171" s="97"/>
      <c r="J171" s="97"/>
      <c r="K171" s="11" t="s">
        <v>18</v>
      </c>
      <c r="L171" s="23">
        <v>0</v>
      </c>
      <c r="M171" s="23">
        <v>0</v>
      </c>
      <c r="N171" s="23">
        <v>0</v>
      </c>
      <c r="O171" s="23">
        <v>0</v>
      </c>
    </row>
    <row r="172" spans="1:15" x14ac:dyDescent="0.2">
      <c r="A172" s="96"/>
      <c r="B172" s="115"/>
      <c r="C172" s="97"/>
      <c r="D172" s="111"/>
      <c r="E172" s="97"/>
      <c r="F172" s="107"/>
      <c r="G172" s="97"/>
      <c r="H172" s="97"/>
      <c r="I172" s="97"/>
      <c r="J172" s="97"/>
      <c r="K172" s="11" t="s">
        <v>0</v>
      </c>
      <c r="L172" s="20">
        <f>SUM(L160:L171)</f>
        <v>0</v>
      </c>
      <c r="M172" s="20">
        <f t="shared" ref="M172" si="32">SUM(M160:M171)</f>
        <v>3.3</v>
      </c>
      <c r="N172" s="20">
        <f t="shared" ref="N172" si="33">SUM(N160:N171)</f>
        <v>0</v>
      </c>
      <c r="O172" s="20">
        <f t="shared" ref="O172" si="34">SUM(O160:O171)</f>
        <v>0</v>
      </c>
    </row>
    <row r="173" spans="1:15" ht="12.75" customHeight="1" x14ac:dyDescent="0.2">
      <c r="A173" s="96"/>
      <c r="B173" s="113" t="s">
        <v>31</v>
      </c>
      <c r="C173" s="105" t="s">
        <v>144</v>
      </c>
      <c r="D173" s="108" t="s">
        <v>144</v>
      </c>
      <c r="E173" s="105" t="s">
        <v>231</v>
      </c>
      <c r="F173" s="105" t="s">
        <v>82</v>
      </c>
      <c r="G173" s="105" t="s">
        <v>97</v>
      </c>
      <c r="H173" s="105"/>
      <c r="I173" s="105"/>
      <c r="J173" s="105"/>
      <c r="K173" s="12" t="s">
        <v>7</v>
      </c>
      <c r="L173" s="24">
        <v>0</v>
      </c>
      <c r="M173" s="24">
        <v>0</v>
      </c>
      <c r="N173" s="24">
        <v>1</v>
      </c>
      <c r="O173" s="24">
        <v>0</v>
      </c>
    </row>
    <row r="174" spans="1:15" x14ac:dyDescent="0.2">
      <c r="A174" s="96"/>
      <c r="B174" s="114"/>
      <c r="C174" s="106"/>
      <c r="D174" s="109"/>
      <c r="E174" s="106"/>
      <c r="F174" s="106"/>
      <c r="G174" s="106"/>
      <c r="H174" s="106"/>
      <c r="I174" s="106"/>
      <c r="J174" s="106"/>
      <c r="K174" s="12" t="s">
        <v>8</v>
      </c>
      <c r="L174" s="24">
        <v>0</v>
      </c>
      <c r="M174" s="24">
        <v>0</v>
      </c>
      <c r="N174" s="24">
        <v>1</v>
      </c>
      <c r="O174" s="24">
        <v>0</v>
      </c>
    </row>
    <row r="175" spans="1:15" x14ac:dyDescent="0.2">
      <c r="A175" s="96"/>
      <c r="B175" s="114"/>
      <c r="C175" s="106"/>
      <c r="D175" s="109"/>
      <c r="E175" s="106"/>
      <c r="F175" s="106"/>
      <c r="G175" s="106"/>
      <c r="H175" s="106"/>
      <c r="I175" s="106"/>
      <c r="J175" s="106"/>
      <c r="K175" s="12" t="s">
        <v>9</v>
      </c>
      <c r="L175" s="24">
        <v>0</v>
      </c>
      <c r="M175" s="24">
        <v>0</v>
      </c>
      <c r="N175" s="24">
        <v>1</v>
      </c>
      <c r="O175" s="24">
        <v>0</v>
      </c>
    </row>
    <row r="176" spans="1:15" x14ac:dyDescent="0.2">
      <c r="A176" s="96"/>
      <c r="B176" s="114"/>
      <c r="C176" s="106"/>
      <c r="D176" s="109"/>
      <c r="E176" s="106"/>
      <c r="F176" s="106"/>
      <c r="G176" s="106"/>
      <c r="H176" s="106"/>
      <c r="I176" s="106"/>
      <c r="J176" s="106"/>
      <c r="K176" s="12" t="s">
        <v>10</v>
      </c>
      <c r="L176" s="24">
        <v>0</v>
      </c>
      <c r="M176" s="24">
        <v>0</v>
      </c>
      <c r="N176" s="24">
        <v>1</v>
      </c>
      <c r="O176" s="24">
        <v>0</v>
      </c>
    </row>
    <row r="177" spans="1:15" x14ac:dyDescent="0.2">
      <c r="A177" s="96"/>
      <c r="B177" s="114"/>
      <c r="C177" s="106"/>
      <c r="D177" s="109"/>
      <c r="E177" s="106"/>
      <c r="F177" s="106"/>
      <c r="G177" s="106"/>
      <c r="H177" s="106"/>
      <c r="I177" s="106"/>
      <c r="J177" s="106"/>
      <c r="K177" s="12" t="s">
        <v>11</v>
      </c>
      <c r="L177" s="24">
        <v>0</v>
      </c>
      <c r="M177" s="24">
        <v>0</v>
      </c>
      <c r="N177" s="24">
        <v>1</v>
      </c>
      <c r="O177" s="24">
        <v>0</v>
      </c>
    </row>
    <row r="178" spans="1:15" x14ac:dyDescent="0.2">
      <c r="A178" s="96"/>
      <c r="B178" s="114"/>
      <c r="C178" s="106"/>
      <c r="D178" s="109"/>
      <c r="E178" s="106"/>
      <c r="F178" s="106"/>
      <c r="G178" s="106"/>
      <c r="H178" s="106"/>
      <c r="I178" s="106"/>
      <c r="J178" s="106"/>
      <c r="K178" s="12" t="s">
        <v>12</v>
      </c>
      <c r="L178" s="24">
        <v>0</v>
      </c>
      <c r="M178" s="24">
        <v>0</v>
      </c>
      <c r="N178" s="24">
        <v>1</v>
      </c>
      <c r="O178" s="24">
        <v>0</v>
      </c>
    </row>
    <row r="179" spans="1:15" x14ac:dyDescent="0.2">
      <c r="A179" s="96"/>
      <c r="B179" s="114"/>
      <c r="C179" s="106"/>
      <c r="D179" s="109"/>
      <c r="E179" s="106"/>
      <c r="F179" s="106"/>
      <c r="G179" s="106"/>
      <c r="H179" s="106"/>
      <c r="I179" s="106"/>
      <c r="J179" s="106"/>
      <c r="K179" s="12" t="s">
        <v>13</v>
      </c>
      <c r="L179" s="24">
        <v>0</v>
      </c>
      <c r="M179" s="24">
        <v>6</v>
      </c>
      <c r="N179" s="24">
        <v>7</v>
      </c>
      <c r="O179" s="24">
        <v>0</v>
      </c>
    </row>
    <row r="180" spans="1:15" x14ac:dyDescent="0.2">
      <c r="A180" s="96"/>
      <c r="B180" s="114"/>
      <c r="C180" s="106"/>
      <c r="D180" s="109"/>
      <c r="E180" s="106"/>
      <c r="F180" s="106"/>
      <c r="G180" s="106"/>
      <c r="H180" s="106"/>
      <c r="I180" s="106"/>
      <c r="J180" s="106"/>
      <c r="K180" s="12" t="s">
        <v>14</v>
      </c>
      <c r="L180" s="24">
        <v>0</v>
      </c>
      <c r="M180" s="24">
        <v>0</v>
      </c>
      <c r="N180" s="24">
        <v>0</v>
      </c>
      <c r="O180" s="24">
        <v>0</v>
      </c>
    </row>
    <row r="181" spans="1:15" x14ac:dyDescent="0.2">
      <c r="A181" s="96"/>
      <c r="B181" s="114"/>
      <c r="C181" s="106"/>
      <c r="D181" s="109"/>
      <c r="E181" s="106"/>
      <c r="F181" s="106"/>
      <c r="G181" s="106"/>
      <c r="H181" s="106"/>
      <c r="I181" s="106"/>
      <c r="J181" s="106"/>
      <c r="K181" s="12" t="s">
        <v>15</v>
      </c>
      <c r="L181" s="24">
        <v>0</v>
      </c>
      <c r="M181" s="24">
        <v>0</v>
      </c>
      <c r="N181" s="24">
        <v>1</v>
      </c>
      <c r="O181" s="24">
        <v>0</v>
      </c>
    </row>
    <row r="182" spans="1:15" x14ac:dyDescent="0.2">
      <c r="A182" s="96"/>
      <c r="B182" s="114"/>
      <c r="C182" s="106"/>
      <c r="D182" s="109"/>
      <c r="E182" s="106"/>
      <c r="F182" s="106"/>
      <c r="G182" s="106"/>
      <c r="H182" s="106"/>
      <c r="I182" s="106"/>
      <c r="J182" s="106"/>
      <c r="K182" s="12" t="s">
        <v>16</v>
      </c>
      <c r="L182" s="24">
        <v>0</v>
      </c>
      <c r="M182" s="24">
        <v>0</v>
      </c>
      <c r="N182" s="24">
        <v>1</v>
      </c>
      <c r="O182" s="24">
        <v>0</v>
      </c>
    </row>
    <row r="183" spans="1:15" x14ac:dyDescent="0.2">
      <c r="A183" s="96"/>
      <c r="B183" s="114"/>
      <c r="C183" s="106"/>
      <c r="D183" s="109"/>
      <c r="E183" s="106"/>
      <c r="F183" s="106"/>
      <c r="G183" s="106"/>
      <c r="H183" s="106"/>
      <c r="I183" s="106"/>
      <c r="J183" s="106"/>
      <c r="K183" s="12" t="s">
        <v>17</v>
      </c>
      <c r="L183" s="24">
        <v>0</v>
      </c>
      <c r="M183" s="24">
        <v>0</v>
      </c>
      <c r="N183" s="24">
        <v>1</v>
      </c>
      <c r="O183" s="24">
        <v>0</v>
      </c>
    </row>
    <row r="184" spans="1:15" x14ac:dyDescent="0.2">
      <c r="A184" s="96"/>
      <c r="B184" s="114"/>
      <c r="C184" s="106"/>
      <c r="D184" s="109"/>
      <c r="E184" s="106"/>
      <c r="F184" s="106"/>
      <c r="G184" s="106"/>
      <c r="H184" s="106"/>
      <c r="I184" s="106"/>
      <c r="J184" s="106"/>
      <c r="K184" s="12" t="s">
        <v>18</v>
      </c>
      <c r="L184" s="24">
        <v>0</v>
      </c>
      <c r="M184" s="24">
        <v>0</v>
      </c>
      <c r="N184" s="24">
        <v>1</v>
      </c>
      <c r="O184" s="24">
        <v>0</v>
      </c>
    </row>
    <row r="185" spans="1:15" x14ac:dyDescent="0.2">
      <c r="A185" s="96"/>
      <c r="B185" s="115"/>
      <c r="C185" s="107"/>
      <c r="D185" s="110"/>
      <c r="E185" s="107"/>
      <c r="F185" s="107"/>
      <c r="G185" s="107"/>
      <c r="H185" s="107"/>
      <c r="I185" s="107"/>
      <c r="J185" s="107"/>
      <c r="K185" s="12" t="s">
        <v>0</v>
      </c>
      <c r="L185" s="19">
        <f>SUM(L173:L184)</f>
        <v>0</v>
      </c>
      <c r="M185" s="19">
        <f t="shared" ref="M185" si="35">SUM(M173:M184)</f>
        <v>6</v>
      </c>
      <c r="N185" s="19">
        <f t="shared" ref="N185" si="36">SUM(N173:N184)</f>
        <v>17</v>
      </c>
      <c r="O185" s="19">
        <f t="shared" ref="O185" si="37">SUM(O173:O184)</f>
        <v>0</v>
      </c>
    </row>
    <row r="186" spans="1:15" ht="12.75" customHeight="1" x14ac:dyDescent="0.2">
      <c r="A186" s="96"/>
      <c r="B186" s="113" t="s">
        <v>31</v>
      </c>
      <c r="C186" s="97" t="s">
        <v>181</v>
      </c>
      <c r="D186" s="111" t="s">
        <v>98</v>
      </c>
      <c r="E186" s="97" t="s">
        <v>104</v>
      </c>
      <c r="F186" s="97" t="s">
        <v>105</v>
      </c>
      <c r="G186" s="97" t="s">
        <v>95</v>
      </c>
      <c r="H186" s="97"/>
      <c r="I186" s="97"/>
      <c r="J186" s="97"/>
      <c r="K186" s="11" t="s">
        <v>7</v>
      </c>
      <c r="L186" s="24">
        <v>0</v>
      </c>
      <c r="M186" s="24">
        <v>0</v>
      </c>
      <c r="N186" s="24">
        <v>0</v>
      </c>
      <c r="O186" s="24">
        <v>0</v>
      </c>
    </row>
    <row r="187" spans="1:15" x14ac:dyDescent="0.2">
      <c r="A187" s="96"/>
      <c r="B187" s="114"/>
      <c r="C187" s="97"/>
      <c r="D187" s="111"/>
      <c r="E187" s="97"/>
      <c r="F187" s="97"/>
      <c r="G187" s="97"/>
      <c r="H187" s="97"/>
      <c r="I187" s="97"/>
      <c r="J187" s="97"/>
      <c r="K187" s="11" t="s">
        <v>8</v>
      </c>
      <c r="L187" s="24">
        <v>0</v>
      </c>
      <c r="M187" s="24">
        <v>0</v>
      </c>
      <c r="N187" s="24">
        <v>0</v>
      </c>
      <c r="O187" s="24">
        <v>0</v>
      </c>
    </row>
    <row r="188" spans="1:15" x14ac:dyDescent="0.2">
      <c r="A188" s="96"/>
      <c r="B188" s="114"/>
      <c r="C188" s="97"/>
      <c r="D188" s="111"/>
      <c r="E188" s="97"/>
      <c r="F188" s="97"/>
      <c r="G188" s="97"/>
      <c r="H188" s="97"/>
      <c r="I188" s="97"/>
      <c r="J188" s="97"/>
      <c r="K188" s="11" t="s">
        <v>9</v>
      </c>
      <c r="L188" s="24">
        <v>0</v>
      </c>
      <c r="M188" s="24">
        <v>0</v>
      </c>
      <c r="N188" s="24">
        <v>0</v>
      </c>
      <c r="O188" s="24">
        <v>0</v>
      </c>
    </row>
    <row r="189" spans="1:15" x14ac:dyDescent="0.2">
      <c r="A189" s="96"/>
      <c r="B189" s="114"/>
      <c r="C189" s="97"/>
      <c r="D189" s="111"/>
      <c r="E189" s="97"/>
      <c r="F189" s="97"/>
      <c r="G189" s="97"/>
      <c r="H189" s="97"/>
      <c r="I189" s="97"/>
      <c r="J189" s="97"/>
      <c r="K189" s="11" t="s">
        <v>10</v>
      </c>
      <c r="L189" s="24">
        <v>0</v>
      </c>
      <c r="M189" s="24">
        <v>0</v>
      </c>
      <c r="N189" s="24">
        <v>0</v>
      </c>
      <c r="O189" s="24">
        <v>0</v>
      </c>
    </row>
    <row r="190" spans="1:15" x14ac:dyDescent="0.2">
      <c r="A190" s="96"/>
      <c r="B190" s="114"/>
      <c r="C190" s="97"/>
      <c r="D190" s="111"/>
      <c r="E190" s="97"/>
      <c r="F190" s="97"/>
      <c r="G190" s="97"/>
      <c r="H190" s="97"/>
      <c r="I190" s="97"/>
      <c r="J190" s="97"/>
      <c r="K190" s="11" t="s">
        <v>11</v>
      </c>
      <c r="L190" s="24">
        <v>0</v>
      </c>
      <c r="M190" s="24">
        <v>0</v>
      </c>
      <c r="N190" s="24">
        <v>0</v>
      </c>
      <c r="O190" s="24">
        <v>0</v>
      </c>
    </row>
    <row r="191" spans="1:15" x14ac:dyDescent="0.2">
      <c r="A191" s="96"/>
      <c r="B191" s="114"/>
      <c r="C191" s="97"/>
      <c r="D191" s="111"/>
      <c r="E191" s="97"/>
      <c r="F191" s="97"/>
      <c r="G191" s="97"/>
      <c r="H191" s="97"/>
      <c r="I191" s="97"/>
      <c r="J191" s="97"/>
      <c r="K191" s="11" t="s">
        <v>12</v>
      </c>
      <c r="L191" s="24">
        <v>0</v>
      </c>
      <c r="M191" s="24">
        <v>0</v>
      </c>
      <c r="N191" s="24">
        <v>0</v>
      </c>
      <c r="O191" s="24">
        <v>0</v>
      </c>
    </row>
    <row r="192" spans="1:15" x14ac:dyDescent="0.2">
      <c r="A192" s="96"/>
      <c r="B192" s="114"/>
      <c r="C192" s="97"/>
      <c r="D192" s="111"/>
      <c r="E192" s="97"/>
      <c r="F192" s="97"/>
      <c r="G192" s="97"/>
      <c r="H192" s="97"/>
      <c r="I192" s="97"/>
      <c r="J192" s="97"/>
      <c r="K192" s="11" t="s">
        <v>13</v>
      </c>
      <c r="L192" s="24">
        <v>0</v>
      </c>
      <c r="M192" s="24">
        <v>0</v>
      </c>
      <c r="N192" s="24">
        <v>0</v>
      </c>
      <c r="O192" s="24">
        <v>0</v>
      </c>
    </row>
    <row r="193" spans="1:15" x14ac:dyDescent="0.2">
      <c r="A193" s="96"/>
      <c r="B193" s="114"/>
      <c r="C193" s="97"/>
      <c r="D193" s="111"/>
      <c r="E193" s="97"/>
      <c r="F193" s="97"/>
      <c r="G193" s="97"/>
      <c r="H193" s="97"/>
      <c r="I193" s="97"/>
      <c r="J193" s="97"/>
      <c r="K193" s="11" t="s">
        <v>14</v>
      </c>
      <c r="L193" s="24">
        <v>0</v>
      </c>
      <c r="M193" s="24">
        <v>0</v>
      </c>
      <c r="N193" s="24">
        <v>0</v>
      </c>
      <c r="O193" s="24">
        <v>0</v>
      </c>
    </row>
    <row r="194" spans="1:15" x14ac:dyDescent="0.2">
      <c r="A194" s="96"/>
      <c r="B194" s="114"/>
      <c r="C194" s="97"/>
      <c r="D194" s="111"/>
      <c r="E194" s="97"/>
      <c r="F194" s="97"/>
      <c r="G194" s="97"/>
      <c r="H194" s="97"/>
      <c r="I194" s="97"/>
      <c r="J194" s="97"/>
      <c r="K194" s="11" t="s">
        <v>15</v>
      </c>
      <c r="L194" s="24">
        <v>0</v>
      </c>
      <c r="M194" s="24">
        <v>0</v>
      </c>
      <c r="N194" s="24">
        <v>0</v>
      </c>
      <c r="O194" s="24">
        <v>0</v>
      </c>
    </row>
    <row r="195" spans="1:15" x14ac:dyDescent="0.2">
      <c r="A195" s="96"/>
      <c r="B195" s="114"/>
      <c r="C195" s="97"/>
      <c r="D195" s="111"/>
      <c r="E195" s="97"/>
      <c r="F195" s="97"/>
      <c r="G195" s="97"/>
      <c r="H195" s="97"/>
      <c r="I195" s="97"/>
      <c r="J195" s="97"/>
      <c r="K195" s="11" t="s">
        <v>16</v>
      </c>
      <c r="L195" s="24">
        <v>0</v>
      </c>
      <c r="M195" s="24">
        <v>0</v>
      </c>
      <c r="N195" s="24">
        <v>0</v>
      </c>
      <c r="O195" s="24">
        <v>0</v>
      </c>
    </row>
    <row r="196" spans="1:15" x14ac:dyDescent="0.2">
      <c r="A196" s="96"/>
      <c r="B196" s="114"/>
      <c r="C196" s="97"/>
      <c r="D196" s="111"/>
      <c r="E196" s="97"/>
      <c r="F196" s="97"/>
      <c r="G196" s="97"/>
      <c r="H196" s="97"/>
      <c r="I196" s="97"/>
      <c r="J196" s="97"/>
      <c r="K196" s="11" t="s">
        <v>17</v>
      </c>
      <c r="L196" s="24">
        <v>0</v>
      </c>
      <c r="M196" s="24">
        <v>0</v>
      </c>
      <c r="N196" s="24">
        <v>0</v>
      </c>
      <c r="O196" s="24">
        <v>0</v>
      </c>
    </row>
    <row r="197" spans="1:15" x14ac:dyDescent="0.2">
      <c r="A197" s="96"/>
      <c r="B197" s="114"/>
      <c r="C197" s="97"/>
      <c r="D197" s="111"/>
      <c r="E197" s="97"/>
      <c r="F197" s="97"/>
      <c r="G197" s="97"/>
      <c r="H197" s="97"/>
      <c r="I197" s="97"/>
      <c r="J197" s="97"/>
      <c r="K197" s="11" t="s">
        <v>18</v>
      </c>
      <c r="L197" s="24">
        <v>0</v>
      </c>
      <c r="M197" s="24">
        <v>0</v>
      </c>
      <c r="N197" s="24">
        <v>0</v>
      </c>
      <c r="O197" s="24">
        <v>0</v>
      </c>
    </row>
    <row r="198" spans="1:15" x14ac:dyDescent="0.2">
      <c r="A198" s="96"/>
      <c r="B198" s="115"/>
      <c r="C198" s="97"/>
      <c r="D198" s="111"/>
      <c r="E198" s="97"/>
      <c r="F198" s="97"/>
      <c r="G198" s="97"/>
      <c r="H198" s="97"/>
      <c r="I198" s="97"/>
      <c r="J198" s="97"/>
      <c r="K198" s="11" t="s">
        <v>0</v>
      </c>
      <c r="L198" s="19">
        <f>SUM(L186:L197)</f>
        <v>0</v>
      </c>
      <c r="M198" s="19">
        <f t="shared" ref="M198" si="38">SUM(M186:M197)</f>
        <v>0</v>
      </c>
      <c r="N198" s="19">
        <f t="shared" ref="N198" si="39">SUM(N186:N197)</f>
        <v>0</v>
      </c>
      <c r="O198" s="19">
        <f t="shared" ref="O198" si="40">SUM(O186:O197)</f>
        <v>0</v>
      </c>
    </row>
    <row r="199" spans="1:15" ht="12.75" customHeight="1" x14ac:dyDescent="0.2">
      <c r="A199" s="96"/>
      <c r="B199" s="113" t="s">
        <v>31</v>
      </c>
      <c r="C199" s="97" t="s">
        <v>182</v>
      </c>
      <c r="D199" s="111" t="s">
        <v>33</v>
      </c>
      <c r="E199" s="97" t="s">
        <v>108</v>
      </c>
      <c r="F199" s="97" t="s">
        <v>82</v>
      </c>
      <c r="G199" s="97" t="s">
        <v>97</v>
      </c>
      <c r="H199" s="97"/>
      <c r="I199" s="97"/>
      <c r="J199" s="97"/>
      <c r="K199" s="11" t="s">
        <v>7</v>
      </c>
      <c r="L199" s="24">
        <v>0</v>
      </c>
      <c r="M199" s="24">
        <v>0</v>
      </c>
      <c r="N199" s="24">
        <v>0</v>
      </c>
      <c r="O199" s="24">
        <v>0</v>
      </c>
    </row>
    <row r="200" spans="1:15" x14ac:dyDescent="0.2">
      <c r="A200" s="96"/>
      <c r="B200" s="114"/>
      <c r="C200" s="97"/>
      <c r="D200" s="111"/>
      <c r="E200" s="97"/>
      <c r="F200" s="97"/>
      <c r="G200" s="97"/>
      <c r="H200" s="97"/>
      <c r="I200" s="97"/>
      <c r="J200" s="97"/>
      <c r="K200" s="11" t="s">
        <v>8</v>
      </c>
      <c r="L200" s="24">
        <v>0</v>
      </c>
      <c r="M200" s="24">
        <v>0</v>
      </c>
      <c r="N200" s="24">
        <v>0</v>
      </c>
      <c r="O200" s="24">
        <v>0</v>
      </c>
    </row>
    <row r="201" spans="1:15" x14ac:dyDescent="0.2">
      <c r="A201" s="96"/>
      <c r="B201" s="114"/>
      <c r="C201" s="97"/>
      <c r="D201" s="111"/>
      <c r="E201" s="97"/>
      <c r="F201" s="97"/>
      <c r="G201" s="97"/>
      <c r="H201" s="97"/>
      <c r="I201" s="97"/>
      <c r="J201" s="97"/>
      <c r="K201" s="11" t="s">
        <v>9</v>
      </c>
      <c r="L201" s="24">
        <v>0</v>
      </c>
      <c r="M201" s="24">
        <v>0</v>
      </c>
      <c r="N201" s="24">
        <v>0</v>
      </c>
      <c r="O201" s="24">
        <v>0</v>
      </c>
    </row>
    <row r="202" spans="1:15" x14ac:dyDescent="0.2">
      <c r="A202" s="96"/>
      <c r="B202" s="114"/>
      <c r="C202" s="97"/>
      <c r="D202" s="111"/>
      <c r="E202" s="97"/>
      <c r="F202" s="97"/>
      <c r="G202" s="97"/>
      <c r="H202" s="97"/>
      <c r="I202" s="97"/>
      <c r="J202" s="97"/>
      <c r="K202" s="11" t="s">
        <v>10</v>
      </c>
      <c r="L202" s="24">
        <v>0</v>
      </c>
      <c r="M202" s="24">
        <v>0</v>
      </c>
      <c r="N202" s="24">
        <v>0</v>
      </c>
      <c r="O202" s="24">
        <v>0</v>
      </c>
    </row>
    <row r="203" spans="1:15" x14ac:dyDescent="0.2">
      <c r="A203" s="96"/>
      <c r="B203" s="114"/>
      <c r="C203" s="97"/>
      <c r="D203" s="111"/>
      <c r="E203" s="97"/>
      <c r="F203" s="97"/>
      <c r="G203" s="97"/>
      <c r="H203" s="97"/>
      <c r="I203" s="97"/>
      <c r="J203" s="97"/>
      <c r="K203" s="11" t="s">
        <v>11</v>
      </c>
      <c r="L203" s="24">
        <v>0</v>
      </c>
      <c r="M203" s="24">
        <v>0</v>
      </c>
      <c r="N203" s="24">
        <v>0</v>
      </c>
      <c r="O203" s="24">
        <v>0</v>
      </c>
    </row>
    <row r="204" spans="1:15" x14ac:dyDescent="0.2">
      <c r="A204" s="96"/>
      <c r="B204" s="114"/>
      <c r="C204" s="97"/>
      <c r="D204" s="111"/>
      <c r="E204" s="97"/>
      <c r="F204" s="97"/>
      <c r="G204" s="97"/>
      <c r="H204" s="97"/>
      <c r="I204" s="97"/>
      <c r="J204" s="97"/>
      <c r="K204" s="11" t="s">
        <v>12</v>
      </c>
      <c r="L204" s="24">
        <v>0</v>
      </c>
      <c r="M204" s="24">
        <v>0</v>
      </c>
      <c r="N204" s="24">
        <v>0</v>
      </c>
      <c r="O204" s="24">
        <v>0</v>
      </c>
    </row>
    <row r="205" spans="1:15" x14ac:dyDescent="0.2">
      <c r="A205" s="96"/>
      <c r="B205" s="114"/>
      <c r="C205" s="97"/>
      <c r="D205" s="111"/>
      <c r="E205" s="97"/>
      <c r="F205" s="97"/>
      <c r="G205" s="97"/>
      <c r="H205" s="97"/>
      <c r="I205" s="97"/>
      <c r="J205" s="97"/>
      <c r="K205" s="11" t="s">
        <v>13</v>
      </c>
      <c r="L205" s="24">
        <v>0</v>
      </c>
      <c r="M205" s="24">
        <v>0</v>
      </c>
      <c r="N205" s="24">
        <v>0</v>
      </c>
      <c r="O205" s="24">
        <v>0</v>
      </c>
    </row>
    <row r="206" spans="1:15" x14ac:dyDescent="0.2">
      <c r="A206" s="96"/>
      <c r="B206" s="114"/>
      <c r="C206" s="97"/>
      <c r="D206" s="111"/>
      <c r="E206" s="97"/>
      <c r="F206" s="97"/>
      <c r="G206" s="97"/>
      <c r="H206" s="97"/>
      <c r="I206" s="97"/>
      <c r="J206" s="97"/>
      <c r="K206" s="11" t="s">
        <v>14</v>
      </c>
      <c r="L206" s="24">
        <v>0</v>
      </c>
      <c r="M206" s="24">
        <v>0</v>
      </c>
      <c r="N206" s="24">
        <v>0</v>
      </c>
      <c r="O206" s="24">
        <v>0</v>
      </c>
    </row>
    <row r="207" spans="1:15" x14ac:dyDescent="0.2">
      <c r="A207" s="96"/>
      <c r="B207" s="114"/>
      <c r="C207" s="97"/>
      <c r="D207" s="111"/>
      <c r="E207" s="97"/>
      <c r="F207" s="97"/>
      <c r="G207" s="97"/>
      <c r="H207" s="97"/>
      <c r="I207" s="97"/>
      <c r="J207" s="97"/>
      <c r="K207" s="11" t="s">
        <v>15</v>
      </c>
      <c r="L207" s="24">
        <v>0</v>
      </c>
      <c r="M207" s="24">
        <v>0</v>
      </c>
      <c r="N207" s="24">
        <v>0</v>
      </c>
      <c r="O207" s="24">
        <v>0</v>
      </c>
    </row>
    <row r="208" spans="1:15" x14ac:dyDescent="0.2">
      <c r="A208" s="96"/>
      <c r="B208" s="114"/>
      <c r="C208" s="97"/>
      <c r="D208" s="111"/>
      <c r="E208" s="97"/>
      <c r="F208" s="97"/>
      <c r="G208" s="97"/>
      <c r="H208" s="97"/>
      <c r="I208" s="97"/>
      <c r="J208" s="97"/>
      <c r="K208" s="11" t="s">
        <v>16</v>
      </c>
      <c r="L208" s="24">
        <v>0</v>
      </c>
      <c r="M208" s="24">
        <v>0</v>
      </c>
      <c r="N208" s="24">
        <v>0</v>
      </c>
      <c r="O208" s="24">
        <v>0</v>
      </c>
    </row>
    <row r="209" spans="1:15" x14ac:dyDescent="0.2">
      <c r="A209" s="96"/>
      <c r="B209" s="114"/>
      <c r="C209" s="97"/>
      <c r="D209" s="111"/>
      <c r="E209" s="97"/>
      <c r="F209" s="97"/>
      <c r="G209" s="97"/>
      <c r="H209" s="97"/>
      <c r="I209" s="97"/>
      <c r="J209" s="97"/>
      <c r="K209" s="11" t="s">
        <v>17</v>
      </c>
      <c r="L209" s="24">
        <v>0</v>
      </c>
      <c r="M209" s="24">
        <v>0</v>
      </c>
      <c r="N209" s="24">
        <v>0</v>
      </c>
      <c r="O209" s="24">
        <v>0</v>
      </c>
    </row>
    <row r="210" spans="1:15" x14ac:dyDescent="0.2">
      <c r="A210" s="96"/>
      <c r="B210" s="114"/>
      <c r="C210" s="97"/>
      <c r="D210" s="111"/>
      <c r="E210" s="97"/>
      <c r="F210" s="97"/>
      <c r="G210" s="97"/>
      <c r="H210" s="97"/>
      <c r="I210" s="97"/>
      <c r="J210" s="97"/>
      <c r="K210" s="11" t="s">
        <v>18</v>
      </c>
      <c r="L210" s="24">
        <v>0</v>
      </c>
      <c r="M210" s="24">
        <v>0</v>
      </c>
      <c r="N210" s="24">
        <v>0</v>
      </c>
      <c r="O210" s="24">
        <v>0</v>
      </c>
    </row>
    <row r="211" spans="1:15" x14ac:dyDescent="0.2">
      <c r="A211" s="96"/>
      <c r="B211" s="115"/>
      <c r="C211" s="97"/>
      <c r="D211" s="111"/>
      <c r="E211" s="97"/>
      <c r="F211" s="97"/>
      <c r="G211" s="97"/>
      <c r="H211" s="97"/>
      <c r="I211" s="97"/>
      <c r="J211" s="97"/>
      <c r="K211" s="11" t="s">
        <v>0</v>
      </c>
      <c r="L211" s="19">
        <f>SUM(L199:L210)</f>
        <v>0</v>
      </c>
      <c r="M211" s="19">
        <f t="shared" ref="M211" si="41">SUM(M199:M210)</f>
        <v>0</v>
      </c>
      <c r="N211" s="19">
        <f t="shared" ref="N211" si="42">SUM(N199:N210)</f>
        <v>0</v>
      </c>
      <c r="O211" s="19">
        <f t="shared" ref="O211" si="43">SUM(O199:O210)</f>
        <v>0</v>
      </c>
    </row>
    <row r="212" spans="1:15" ht="12.75" customHeight="1" x14ac:dyDescent="0.2">
      <c r="A212" s="96"/>
      <c r="B212" s="113" t="s">
        <v>31</v>
      </c>
      <c r="C212" s="97" t="s">
        <v>183</v>
      </c>
      <c r="D212" s="111" t="s">
        <v>99</v>
      </c>
      <c r="E212" s="97" t="s">
        <v>129</v>
      </c>
      <c r="F212" s="97" t="s">
        <v>87</v>
      </c>
      <c r="G212" s="97" t="s">
        <v>95</v>
      </c>
      <c r="H212" s="97"/>
      <c r="I212" s="97"/>
      <c r="J212" s="97"/>
      <c r="K212" s="11" t="s">
        <v>7</v>
      </c>
      <c r="L212" s="24">
        <v>0</v>
      </c>
      <c r="M212" s="24">
        <v>0</v>
      </c>
      <c r="N212" s="24">
        <v>0</v>
      </c>
      <c r="O212" s="24">
        <v>0</v>
      </c>
    </row>
    <row r="213" spans="1:15" x14ac:dyDescent="0.2">
      <c r="A213" s="96"/>
      <c r="B213" s="114"/>
      <c r="C213" s="97"/>
      <c r="D213" s="111"/>
      <c r="E213" s="97"/>
      <c r="F213" s="97"/>
      <c r="G213" s="97"/>
      <c r="H213" s="97"/>
      <c r="I213" s="97"/>
      <c r="J213" s="97"/>
      <c r="K213" s="11" t="s">
        <v>8</v>
      </c>
      <c r="L213" s="24">
        <v>0</v>
      </c>
      <c r="M213" s="24">
        <v>0</v>
      </c>
      <c r="N213" s="24">
        <v>0</v>
      </c>
      <c r="O213" s="24">
        <v>0</v>
      </c>
    </row>
    <row r="214" spans="1:15" x14ac:dyDescent="0.2">
      <c r="A214" s="96"/>
      <c r="B214" s="114"/>
      <c r="C214" s="97"/>
      <c r="D214" s="111"/>
      <c r="E214" s="97"/>
      <c r="F214" s="97"/>
      <c r="G214" s="97"/>
      <c r="H214" s="97"/>
      <c r="I214" s="97"/>
      <c r="J214" s="97"/>
      <c r="K214" s="11" t="s">
        <v>9</v>
      </c>
      <c r="L214" s="24">
        <v>0</v>
      </c>
      <c r="M214" s="24">
        <v>0</v>
      </c>
      <c r="N214" s="24">
        <v>0</v>
      </c>
      <c r="O214" s="24">
        <v>0</v>
      </c>
    </row>
    <row r="215" spans="1:15" x14ac:dyDescent="0.2">
      <c r="A215" s="96"/>
      <c r="B215" s="114"/>
      <c r="C215" s="97"/>
      <c r="D215" s="111"/>
      <c r="E215" s="97"/>
      <c r="F215" s="97"/>
      <c r="G215" s="97"/>
      <c r="H215" s="97"/>
      <c r="I215" s="97"/>
      <c r="J215" s="97"/>
      <c r="K215" s="11" t="s">
        <v>10</v>
      </c>
      <c r="L215" s="24">
        <v>0</v>
      </c>
      <c r="M215" s="24">
        <v>0</v>
      </c>
      <c r="N215" s="24">
        <v>0</v>
      </c>
      <c r="O215" s="24">
        <v>0</v>
      </c>
    </row>
    <row r="216" spans="1:15" x14ac:dyDescent="0.2">
      <c r="A216" s="96"/>
      <c r="B216" s="114"/>
      <c r="C216" s="97"/>
      <c r="D216" s="111"/>
      <c r="E216" s="97"/>
      <c r="F216" s="97"/>
      <c r="G216" s="97"/>
      <c r="H216" s="97"/>
      <c r="I216" s="97"/>
      <c r="J216" s="97"/>
      <c r="K216" s="11" t="s">
        <v>11</v>
      </c>
      <c r="L216" s="24">
        <v>0</v>
      </c>
      <c r="M216" s="24">
        <v>0</v>
      </c>
      <c r="N216" s="24">
        <v>0</v>
      </c>
      <c r="O216" s="24">
        <v>0</v>
      </c>
    </row>
    <row r="217" spans="1:15" x14ac:dyDescent="0.2">
      <c r="A217" s="96"/>
      <c r="B217" s="114"/>
      <c r="C217" s="97"/>
      <c r="D217" s="111"/>
      <c r="E217" s="97"/>
      <c r="F217" s="97"/>
      <c r="G217" s="97"/>
      <c r="H217" s="97"/>
      <c r="I217" s="97"/>
      <c r="J217" s="97"/>
      <c r="K217" s="11" t="s">
        <v>12</v>
      </c>
      <c r="L217" s="24">
        <v>0</v>
      </c>
      <c r="M217" s="24">
        <v>0</v>
      </c>
      <c r="N217" s="24">
        <v>0</v>
      </c>
      <c r="O217" s="24">
        <v>0</v>
      </c>
    </row>
    <row r="218" spans="1:15" x14ac:dyDescent="0.2">
      <c r="A218" s="96"/>
      <c r="B218" s="114"/>
      <c r="C218" s="97"/>
      <c r="D218" s="111"/>
      <c r="E218" s="97"/>
      <c r="F218" s="97"/>
      <c r="G218" s="97"/>
      <c r="H218" s="97"/>
      <c r="I218" s="97"/>
      <c r="J218" s="97"/>
      <c r="K218" s="11" t="s">
        <v>13</v>
      </c>
      <c r="L218" s="24">
        <v>0</v>
      </c>
      <c r="M218" s="24">
        <v>0</v>
      </c>
      <c r="N218" s="24">
        <v>0</v>
      </c>
      <c r="O218" s="24">
        <v>0</v>
      </c>
    </row>
    <row r="219" spans="1:15" x14ac:dyDescent="0.2">
      <c r="A219" s="96"/>
      <c r="B219" s="114"/>
      <c r="C219" s="97"/>
      <c r="D219" s="111"/>
      <c r="E219" s="97"/>
      <c r="F219" s="97"/>
      <c r="G219" s="97"/>
      <c r="H219" s="97"/>
      <c r="I219" s="97"/>
      <c r="J219" s="97"/>
      <c r="K219" s="11" t="s">
        <v>14</v>
      </c>
      <c r="L219" s="24">
        <v>0</v>
      </c>
      <c r="M219" s="24">
        <v>10</v>
      </c>
      <c r="N219" s="24">
        <v>0</v>
      </c>
      <c r="O219" s="24">
        <v>0</v>
      </c>
    </row>
    <row r="220" spans="1:15" x14ac:dyDescent="0.2">
      <c r="A220" s="96"/>
      <c r="B220" s="114"/>
      <c r="C220" s="97"/>
      <c r="D220" s="111"/>
      <c r="E220" s="97"/>
      <c r="F220" s="97"/>
      <c r="G220" s="97"/>
      <c r="H220" s="97"/>
      <c r="I220" s="97"/>
      <c r="J220" s="97"/>
      <c r="K220" s="11" t="s">
        <v>15</v>
      </c>
      <c r="L220" s="24">
        <v>0</v>
      </c>
      <c r="M220" s="24">
        <v>0</v>
      </c>
      <c r="N220" s="24">
        <v>0</v>
      </c>
      <c r="O220" s="24">
        <v>0</v>
      </c>
    </row>
    <row r="221" spans="1:15" x14ac:dyDescent="0.2">
      <c r="A221" s="96"/>
      <c r="B221" s="114"/>
      <c r="C221" s="97"/>
      <c r="D221" s="111"/>
      <c r="E221" s="97"/>
      <c r="F221" s="97"/>
      <c r="G221" s="97"/>
      <c r="H221" s="97"/>
      <c r="I221" s="97"/>
      <c r="J221" s="97"/>
      <c r="K221" s="11" t="s">
        <v>16</v>
      </c>
      <c r="L221" s="24">
        <v>0</v>
      </c>
      <c r="M221" s="24">
        <v>0</v>
      </c>
      <c r="N221" s="24">
        <v>0</v>
      </c>
      <c r="O221" s="24">
        <v>0</v>
      </c>
    </row>
    <row r="222" spans="1:15" x14ac:dyDescent="0.2">
      <c r="A222" s="96"/>
      <c r="B222" s="114"/>
      <c r="C222" s="97"/>
      <c r="D222" s="111"/>
      <c r="E222" s="97"/>
      <c r="F222" s="97"/>
      <c r="G222" s="97"/>
      <c r="H222" s="97"/>
      <c r="I222" s="97"/>
      <c r="J222" s="97"/>
      <c r="K222" s="11" t="s">
        <v>17</v>
      </c>
      <c r="L222" s="24">
        <v>0</v>
      </c>
      <c r="M222" s="24">
        <v>0</v>
      </c>
      <c r="N222" s="24">
        <v>0</v>
      </c>
      <c r="O222" s="24">
        <v>0</v>
      </c>
    </row>
    <row r="223" spans="1:15" x14ac:dyDescent="0.2">
      <c r="A223" s="96"/>
      <c r="B223" s="114"/>
      <c r="C223" s="97"/>
      <c r="D223" s="111"/>
      <c r="E223" s="97"/>
      <c r="F223" s="97"/>
      <c r="G223" s="97"/>
      <c r="H223" s="97"/>
      <c r="I223" s="97"/>
      <c r="J223" s="97"/>
      <c r="K223" s="11" t="s">
        <v>18</v>
      </c>
      <c r="L223" s="24">
        <v>0</v>
      </c>
      <c r="M223" s="24">
        <v>0</v>
      </c>
      <c r="N223" s="24">
        <v>0</v>
      </c>
      <c r="O223" s="24">
        <v>0</v>
      </c>
    </row>
    <row r="224" spans="1:15" x14ac:dyDescent="0.2">
      <c r="A224" s="96"/>
      <c r="B224" s="115"/>
      <c r="C224" s="97"/>
      <c r="D224" s="111"/>
      <c r="E224" s="97"/>
      <c r="F224" s="97"/>
      <c r="G224" s="97"/>
      <c r="H224" s="97"/>
      <c r="I224" s="97"/>
      <c r="J224" s="97"/>
      <c r="K224" s="11" t="s">
        <v>0</v>
      </c>
      <c r="L224" s="19">
        <f>SUM(L212:L223)</f>
        <v>0</v>
      </c>
      <c r="M224" s="19">
        <f t="shared" ref="M224" si="44">SUM(M212:M223)</f>
        <v>10</v>
      </c>
      <c r="N224" s="19">
        <f t="shared" ref="N224" si="45">SUM(N212:N223)</f>
        <v>0</v>
      </c>
      <c r="O224" s="19">
        <f t="shared" ref="O224" si="46">SUM(O212:O223)</f>
        <v>0</v>
      </c>
    </row>
    <row r="225" spans="1:15" ht="12.75" customHeight="1" x14ac:dyDescent="0.2">
      <c r="A225" s="96"/>
      <c r="B225" s="113" t="s">
        <v>34</v>
      </c>
      <c r="C225" s="97" t="s">
        <v>184</v>
      </c>
      <c r="D225" s="111" t="s">
        <v>168</v>
      </c>
      <c r="E225" s="97" t="s">
        <v>109</v>
      </c>
      <c r="F225" s="105" t="s">
        <v>87</v>
      </c>
      <c r="G225" s="97" t="s">
        <v>94</v>
      </c>
      <c r="H225" s="97"/>
      <c r="I225" s="97"/>
      <c r="J225" s="97"/>
      <c r="K225" s="11" t="s">
        <v>7</v>
      </c>
      <c r="L225" s="24">
        <v>0</v>
      </c>
      <c r="M225" s="24">
        <v>0</v>
      </c>
      <c r="N225" s="24">
        <v>9</v>
      </c>
      <c r="O225" s="24">
        <v>0</v>
      </c>
    </row>
    <row r="226" spans="1:15" x14ac:dyDescent="0.2">
      <c r="A226" s="96"/>
      <c r="B226" s="114"/>
      <c r="C226" s="97"/>
      <c r="D226" s="111"/>
      <c r="E226" s="97"/>
      <c r="F226" s="106"/>
      <c r="G226" s="97"/>
      <c r="H226" s="97"/>
      <c r="I226" s="97"/>
      <c r="J226" s="97"/>
      <c r="K226" s="11" t="s">
        <v>8</v>
      </c>
      <c r="L226" s="24">
        <v>0</v>
      </c>
      <c r="M226" s="24">
        <v>0</v>
      </c>
      <c r="N226" s="24">
        <v>14</v>
      </c>
      <c r="O226" s="24">
        <v>0</v>
      </c>
    </row>
    <row r="227" spans="1:15" x14ac:dyDescent="0.2">
      <c r="A227" s="96"/>
      <c r="B227" s="114"/>
      <c r="C227" s="97"/>
      <c r="D227" s="111"/>
      <c r="E227" s="97"/>
      <c r="F227" s="106"/>
      <c r="G227" s="97"/>
      <c r="H227" s="97"/>
      <c r="I227" s="97"/>
      <c r="J227" s="97"/>
      <c r="K227" s="11" t="s">
        <v>9</v>
      </c>
      <c r="L227" s="24">
        <v>0</v>
      </c>
      <c r="M227" s="24">
        <v>0</v>
      </c>
      <c r="N227" s="24">
        <v>21</v>
      </c>
      <c r="O227" s="24">
        <v>0</v>
      </c>
    </row>
    <row r="228" spans="1:15" x14ac:dyDescent="0.2">
      <c r="A228" s="96"/>
      <c r="B228" s="114"/>
      <c r="C228" s="97"/>
      <c r="D228" s="111"/>
      <c r="E228" s="97"/>
      <c r="F228" s="106"/>
      <c r="G228" s="97"/>
      <c r="H228" s="97"/>
      <c r="I228" s="97"/>
      <c r="J228" s="97"/>
      <c r="K228" s="11" t="s">
        <v>10</v>
      </c>
      <c r="L228" s="24">
        <v>0</v>
      </c>
      <c r="M228" s="24">
        <v>0</v>
      </c>
      <c r="N228" s="24">
        <v>25</v>
      </c>
      <c r="O228" s="24">
        <v>0</v>
      </c>
    </row>
    <row r="229" spans="1:15" x14ac:dyDescent="0.2">
      <c r="A229" s="96"/>
      <c r="B229" s="114"/>
      <c r="C229" s="97"/>
      <c r="D229" s="111"/>
      <c r="E229" s="97"/>
      <c r="F229" s="106"/>
      <c r="G229" s="97"/>
      <c r="H229" s="97"/>
      <c r="I229" s="97"/>
      <c r="J229" s="97"/>
      <c r="K229" s="11" t="s">
        <v>11</v>
      </c>
      <c r="L229" s="24">
        <v>0</v>
      </c>
      <c r="M229" s="24">
        <v>0</v>
      </c>
      <c r="N229" s="24">
        <v>25</v>
      </c>
      <c r="O229" s="24">
        <v>0</v>
      </c>
    </row>
    <row r="230" spans="1:15" x14ac:dyDescent="0.2">
      <c r="A230" s="96"/>
      <c r="B230" s="114"/>
      <c r="C230" s="97"/>
      <c r="D230" s="111"/>
      <c r="E230" s="97"/>
      <c r="F230" s="106"/>
      <c r="G230" s="97"/>
      <c r="H230" s="97"/>
      <c r="I230" s="97"/>
      <c r="J230" s="97"/>
      <c r="K230" s="11" t="s">
        <v>12</v>
      </c>
      <c r="L230" s="24">
        <v>0</v>
      </c>
      <c r="M230" s="24">
        <v>0</v>
      </c>
      <c r="N230" s="24">
        <v>29</v>
      </c>
      <c r="O230" s="24">
        <v>0</v>
      </c>
    </row>
    <row r="231" spans="1:15" x14ac:dyDescent="0.2">
      <c r="A231" s="96"/>
      <c r="B231" s="114"/>
      <c r="C231" s="97"/>
      <c r="D231" s="111"/>
      <c r="E231" s="97"/>
      <c r="F231" s="106"/>
      <c r="G231" s="97"/>
      <c r="H231" s="97"/>
      <c r="I231" s="97"/>
      <c r="J231" s="97"/>
      <c r="K231" s="11" t="s">
        <v>13</v>
      </c>
      <c r="L231" s="24">
        <v>0</v>
      </c>
      <c r="M231" s="24">
        <v>0</v>
      </c>
      <c r="N231" s="24">
        <v>8</v>
      </c>
      <c r="O231" s="24">
        <v>0</v>
      </c>
    </row>
    <row r="232" spans="1:15" x14ac:dyDescent="0.2">
      <c r="A232" s="96"/>
      <c r="B232" s="114"/>
      <c r="C232" s="97"/>
      <c r="D232" s="111"/>
      <c r="E232" s="97"/>
      <c r="F232" s="106"/>
      <c r="G232" s="97"/>
      <c r="H232" s="97"/>
      <c r="I232" s="97"/>
      <c r="J232" s="97"/>
      <c r="K232" s="11" t="s">
        <v>14</v>
      </c>
      <c r="L232" s="24">
        <v>0</v>
      </c>
      <c r="M232" s="24">
        <v>0</v>
      </c>
      <c r="N232" s="24">
        <v>8</v>
      </c>
      <c r="O232" s="24">
        <v>0</v>
      </c>
    </row>
    <row r="233" spans="1:15" x14ac:dyDescent="0.2">
      <c r="A233" s="96"/>
      <c r="B233" s="114"/>
      <c r="C233" s="97"/>
      <c r="D233" s="111"/>
      <c r="E233" s="97"/>
      <c r="F233" s="106"/>
      <c r="G233" s="97"/>
      <c r="H233" s="97"/>
      <c r="I233" s="97"/>
      <c r="J233" s="97"/>
      <c r="K233" s="11" t="s">
        <v>15</v>
      </c>
      <c r="L233" s="24">
        <v>0</v>
      </c>
      <c r="M233" s="24">
        <v>200</v>
      </c>
      <c r="N233" s="24">
        <v>29</v>
      </c>
      <c r="O233" s="24">
        <v>0</v>
      </c>
    </row>
    <row r="234" spans="1:15" x14ac:dyDescent="0.2">
      <c r="A234" s="96"/>
      <c r="B234" s="114"/>
      <c r="C234" s="97"/>
      <c r="D234" s="111"/>
      <c r="E234" s="97"/>
      <c r="F234" s="106"/>
      <c r="G234" s="97"/>
      <c r="H234" s="97"/>
      <c r="I234" s="97"/>
      <c r="J234" s="97"/>
      <c r="K234" s="11" t="s">
        <v>16</v>
      </c>
      <c r="L234" s="24">
        <v>0</v>
      </c>
      <c r="M234" s="24">
        <v>0</v>
      </c>
      <c r="N234" s="24">
        <v>28</v>
      </c>
      <c r="O234" s="24">
        <v>0</v>
      </c>
    </row>
    <row r="235" spans="1:15" x14ac:dyDescent="0.2">
      <c r="A235" s="96"/>
      <c r="B235" s="114"/>
      <c r="C235" s="97"/>
      <c r="D235" s="111"/>
      <c r="E235" s="97"/>
      <c r="F235" s="106"/>
      <c r="G235" s="97"/>
      <c r="H235" s="97"/>
      <c r="I235" s="97"/>
      <c r="J235" s="97"/>
      <c r="K235" s="11" t="s">
        <v>17</v>
      </c>
      <c r="L235" s="24">
        <v>0</v>
      </c>
      <c r="M235" s="24">
        <v>0</v>
      </c>
      <c r="N235" s="24">
        <v>25</v>
      </c>
      <c r="O235" s="24">
        <v>0</v>
      </c>
    </row>
    <row r="236" spans="1:15" x14ac:dyDescent="0.2">
      <c r="A236" s="96"/>
      <c r="B236" s="114"/>
      <c r="C236" s="97"/>
      <c r="D236" s="111"/>
      <c r="E236" s="97"/>
      <c r="F236" s="106"/>
      <c r="G236" s="97"/>
      <c r="H236" s="97"/>
      <c r="I236" s="97"/>
      <c r="J236" s="97"/>
      <c r="K236" s="11" t="s">
        <v>18</v>
      </c>
      <c r="L236" s="24">
        <v>0</v>
      </c>
      <c r="M236" s="24">
        <v>0</v>
      </c>
      <c r="N236" s="24">
        <v>12</v>
      </c>
      <c r="O236" s="24">
        <v>0</v>
      </c>
    </row>
    <row r="237" spans="1:15" x14ac:dyDescent="0.2">
      <c r="A237" s="96"/>
      <c r="B237" s="115"/>
      <c r="C237" s="97"/>
      <c r="D237" s="111"/>
      <c r="E237" s="97"/>
      <c r="F237" s="107"/>
      <c r="G237" s="97"/>
      <c r="H237" s="97"/>
      <c r="I237" s="97"/>
      <c r="J237" s="97"/>
      <c r="K237" s="11" t="s">
        <v>0</v>
      </c>
      <c r="L237" s="19">
        <f>SUM(L225:L236)</f>
        <v>0</v>
      </c>
      <c r="M237" s="19">
        <f t="shared" ref="M237" si="47">SUM(M225:M236)</f>
        <v>200</v>
      </c>
      <c r="N237" s="19">
        <f t="shared" ref="N237" si="48">SUM(N225:N236)</f>
        <v>233</v>
      </c>
      <c r="O237" s="19">
        <f t="shared" ref="O237" si="49">SUM(O225:O236)</f>
        <v>0</v>
      </c>
    </row>
    <row r="238" spans="1:15" ht="12.75" customHeight="1" x14ac:dyDescent="0.2">
      <c r="A238" s="96"/>
      <c r="B238" s="113" t="s">
        <v>34</v>
      </c>
      <c r="C238" s="97" t="s">
        <v>185</v>
      </c>
      <c r="D238" s="111" t="s">
        <v>169</v>
      </c>
      <c r="E238" s="97" t="s">
        <v>109</v>
      </c>
      <c r="F238" s="105" t="s">
        <v>87</v>
      </c>
      <c r="G238" s="97" t="s">
        <v>94</v>
      </c>
      <c r="H238" s="97"/>
      <c r="I238" s="97"/>
      <c r="J238" s="97"/>
      <c r="K238" s="11" t="s">
        <v>7</v>
      </c>
      <c r="L238" s="24">
        <v>0</v>
      </c>
      <c r="M238" s="24">
        <v>0</v>
      </c>
      <c r="N238" s="24">
        <v>0</v>
      </c>
      <c r="O238" s="24">
        <v>0</v>
      </c>
    </row>
    <row r="239" spans="1:15" x14ac:dyDescent="0.2">
      <c r="A239" s="96"/>
      <c r="B239" s="114"/>
      <c r="C239" s="97"/>
      <c r="D239" s="111"/>
      <c r="E239" s="97"/>
      <c r="F239" s="106"/>
      <c r="G239" s="97"/>
      <c r="H239" s="97"/>
      <c r="I239" s="97"/>
      <c r="J239" s="97"/>
      <c r="K239" s="11" t="s">
        <v>8</v>
      </c>
      <c r="L239" s="24">
        <v>0</v>
      </c>
      <c r="M239" s="24">
        <v>0</v>
      </c>
      <c r="N239" s="24">
        <v>1</v>
      </c>
      <c r="O239" s="24">
        <v>0</v>
      </c>
    </row>
    <row r="240" spans="1:15" x14ac:dyDescent="0.2">
      <c r="A240" s="96"/>
      <c r="B240" s="114"/>
      <c r="C240" s="97"/>
      <c r="D240" s="111"/>
      <c r="E240" s="97"/>
      <c r="F240" s="106"/>
      <c r="G240" s="97"/>
      <c r="H240" s="97"/>
      <c r="I240" s="97"/>
      <c r="J240" s="97"/>
      <c r="K240" s="11" t="s">
        <v>9</v>
      </c>
      <c r="L240" s="24">
        <v>0</v>
      </c>
      <c r="M240" s="24">
        <v>0</v>
      </c>
      <c r="N240" s="24">
        <v>2</v>
      </c>
      <c r="O240" s="24">
        <v>0</v>
      </c>
    </row>
    <row r="241" spans="1:15" x14ac:dyDescent="0.2">
      <c r="A241" s="96"/>
      <c r="B241" s="114"/>
      <c r="C241" s="97"/>
      <c r="D241" s="111"/>
      <c r="E241" s="97"/>
      <c r="F241" s="106"/>
      <c r="G241" s="97"/>
      <c r="H241" s="97"/>
      <c r="I241" s="97"/>
      <c r="J241" s="97"/>
      <c r="K241" s="11" t="s">
        <v>10</v>
      </c>
      <c r="L241" s="24">
        <v>0</v>
      </c>
      <c r="M241" s="24">
        <v>0</v>
      </c>
      <c r="N241" s="24">
        <v>2</v>
      </c>
      <c r="O241" s="24">
        <v>0</v>
      </c>
    </row>
    <row r="242" spans="1:15" x14ac:dyDescent="0.2">
      <c r="A242" s="96"/>
      <c r="B242" s="114"/>
      <c r="C242" s="97"/>
      <c r="D242" s="111"/>
      <c r="E242" s="97"/>
      <c r="F242" s="106"/>
      <c r="G242" s="97"/>
      <c r="H242" s="97"/>
      <c r="I242" s="97"/>
      <c r="J242" s="97"/>
      <c r="K242" s="11" t="s">
        <v>11</v>
      </c>
      <c r="L242" s="24">
        <v>0</v>
      </c>
      <c r="M242" s="24">
        <v>0</v>
      </c>
      <c r="N242" s="24">
        <v>5</v>
      </c>
      <c r="O242" s="24">
        <v>0</v>
      </c>
    </row>
    <row r="243" spans="1:15" x14ac:dyDescent="0.2">
      <c r="A243" s="96"/>
      <c r="B243" s="114"/>
      <c r="C243" s="97"/>
      <c r="D243" s="111"/>
      <c r="E243" s="97"/>
      <c r="F243" s="106"/>
      <c r="G243" s="97"/>
      <c r="H243" s="97"/>
      <c r="I243" s="97"/>
      <c r="J243" s="97"/>
      <c r="K243" s="11" t="s">
        <v>12</v>
      </c>
      <c r="L243" s="24">
        <v>0</v>
      </c>
      <c r="M243" s="24">
        <v>0</v>
      </c>
      <c r="N243" s="24">
        <v>6</v>
      </c>
      <c r="O243" s="24">
        <v>0</v>
      </c>
    </row>
    <row r="244" spans="1:15" x14ac:dyDescent="0.2">
      <c r="A244" s="96"/>
      <c r="B244" s="114"/>
      <c r="C244" s="97"/>
      <c r="D244" s="111"/>
      <c r="E244" s="97"/>
      <c r="F244" s="106"/>
      <c r="G244" s="97"/>
      <c r="H244" s="97"/>
      <c r="I244" s="97"/>
      <c r="J244" s="97"/>
      <c r="K244" s="11" t="s">
        <v>13</v>
      </c>
      <c r="L244" s="24">
        <v>0</v>
      </c>
      <c r="M244" s="24">
        <v>0</v>
      </c>
      <c r="N244" s="24">
        <v>2</v>
      </c>
      <c r="O244" s="24">
        <v>0</v>
      </c>
    </row>
    <row r="245" spans="1:15" x14ac:dyDescent="0.2">
      <c r="A245" s="96"/>
      <c r="B245" s="114"/>
      <c r="C245" s="97"/>
      <c r="D245" s="111"/>
      <c r="E245" s="97"/>
      <c r="F245" s="106"/>
      <c r="G245" s="97"/>
      <c r="H245" s="97"/>
      <c r="I245" s="97"/>
      <c r="J245" s="97"/>
      <c r="K245" s="11" t="s">
        <v>14</v>
      </c>
      <c r="L245" s="24">
        <v>0</v>
      </c>
      <c r="M245" s="24">
        <v>0</v>
      </c>
      <c r="N245" s="24">
        <v>0</v>
      </c>
      <c r="O245" s="24">
        <v>0</v>
      </c>
    </row>
    <row r="246" spans="1:15" x14ac:dyDescent="0.2">
      <c r="A246" s="96"/>
      <c r="B246" s="114"/>
      <c r="C246" s="97"/>
      <c r="D246" s="111"/>
      <c r="E246" s="97"/>
      <c r="F246" s="106"/>
      <c r="G246" s="97"/>
      <c r="H246" s="97"/>
      <c r="I246" s="97"/>
      <c r="J246" s="97"/>
      <c r="K246" s="11" t="s">
        <v>15</v>
      </c>
      <c r="L246" s="24">
        <v>0</v>
      </c>
      <c r="M246" s="24">
        <v>20</v>
      </c>
      <c r="N246" s="24">
        <v>5</v>
      </c>
      <c r="O246" s="24">
        <v>0</v>
      </c>
    </row>
    <row r="247" spans="1:15" x14ac:dyDescent="0.2">
      <c r="A247" s="96"/>
      <c r="B247" s="114"/>
      <c r="C247" s="97"/>
      <c r="D247" s="111"/>
      <c r="E247" s="97"/>
      <c r="F247" s="106"/>
      <c r="G247" s="97"/>
      <c r="H247" s="97"/>
      <c r="I247" s="97"/>
      <c r="J247" s="97"/>
      <c r="K247" s="11" t="s">
        <v>16</v>
      </c>
      <c r="L247" s="24">
        <v>0</v>
      </c>
      <c r="M247" s="24">
        <v>0</v>
      </c>
      <c r="N247" s="24">
        <v>4</v>
      </c>
      <c r="O247" s="24">
        <v>0</v>
      </c>
    </row>
    <row r="248" spans="1:15" x14ac:dyDescent="0.2">
      <c r="A248" s="96"/>
      <c r="B248" s="114"/>
      <c r="C248" s="97"/>
      <c r="D248" s="111"/>
      <c r="E248" s="97"/>
      <c r="F248" s="106"/>
      <c r="G248" s="97"/>
      <c r="H248" s="97"/>
      <c r="I248" s="97"/>
      <c r="J248" s="97"/>
      <c r="K248" s="11" t="s">
        <v>17</v>
      </c>
      <c r="L248" s="24">
        <v>0</v>
      </c>
      <c r="M248" s="24">
        <v>0</v>
      </c>
      <c r="N248" s="24">
        <v>4</v>
      </c>
      <c r="O248" s="24">
        <v>0</v>
      </c>
    </row>
    <row r="249" spans="1:15" x14ac:dyDescent="0.2">
      <c r="A249" s="96"/>
      <c r="B249" s="114"/>
      <c r="C249" s="97"/>
      <c r="D249" s="111"/>
      <c r="E249" s="97"/>
      <c r="F249" s="106"/>
      <c r="G249" s="97"/>
      <c r="H249" s="97"/>
      <c r="I249" s="97"/>
      <c r="J249" s="97"/>
      <c r="K249" s="11" t="s">
        <v>18</v>
      </c>
      <c r="L249" s="24">
        <v>0</v>
      </c>
      <c r="M249" s="24">
        <v>0</v>
      </c>
      <c r="N249" s="24">
        <v>0</v>
      </c>
      <c r="O249" s="24">
        <v>0</v>
      </c>
    </row>
    <row r="250" spans="1:15" x14ac:dyDescent="0.2">
      <c r="A250" s="96"/>
      <c r="B250" s="115"/>
      <c r="C250" s="97"/>
      <c r="D250" s="111"/>
      <c r="E250" s="97"/>
      <c r="F250" s="107"/>
      <c r="G250" s="97"/>
      <c r="H250" s="97"/>
      <c r="I250" s="97"/>
      <c r="J250" s="97"/>
      <c r="K250" s="11" t="s">
        <v>0</v>
      </c>
      <c r="L250" s="19">
        <f>SUM(L238:L249)</f>
        <v>0</v>
      </c>
      <c r="M250" s="19">
        <f t="shared" ref="M250" si="50">SUM(M238:M249)</f>
        <v>20</v>
      </c>
      <c r="N250" s="19">
        <f t="shared" ref="N250" si="51">SUM(N238:N249)</f>
        <v>31</v>
      </c>
      <c r="O250" s="19">
        <f t="shared" ref="O250" si="52">SUM(O238:O249)</f>
        <v>0</v>
      </c>
    </row>
    <row r="251" spans="1:15" ht="12.75" customHeight="1" x14ac:dyDescent="0.2">
      <c r="A251" s="96"/>
      <c r="B251" s="113" t="s">
        <v>34</v>
      </c>
      <c r="C251" s="97" t="s">
        <v>186</v>
      </c>
      <c r="D251" s="111" t="s">
        <v>170</v>
      </c>
      <c r="E251" s="97" t="s">
        <v>109</v>
      </c>
      <c r="F251" s="105" t="s">
        <v>87</v>
      </c>
      <c r="G251" s="97" t="s">
        <v>94</v>
      </c>
      <c r="H251" s="97"/>
      <c r="I251" s="97"/>
      <c r="J251" s="97"/>
      <c r="K251" s="11" t="s">
        <v>7</v>
      </c>
      <c r="L251" s="24">
        <v>0</v>
      </c>
      <c r="M251" s="24">
        <v>0</v>
      </c>
      <c r="N251" s="24">
        <v>0</v>
      </c>
      <c r="O251" s="24">
        <v>0</v>
      </c>
    </row>
    <row r="252" spans="1:15" x14ac:dyDescent="0.2">
      <c r="A252" s="96"/>
      <c r="B252" s="114"/>
      <c r="C252" s="97"/>
      <c r="D252" s="111"/>
      <c r="E252" s="97"/>
      <c r="F252" s="106"/>
      <c r="G252" s="97"/>
      <c r="H252" s="97"/>
      <c r="I252" s="97"/>
      <c r="J252" s="97"/>
      <c r="K252" s="11" t="s">
        <v>8</v>
      </c>
      <c r="L252" s="24">
        <v>0</v>
      </c>
      <c r="M252" s="24">
        <v>0</v>
      </c>
      <c r="N252" s="24">
        <v>0</v>
      </c>
      <c r="O252" s="24">
        <v>0</v>
      </c>
    </row>
    <row r="253" spans="1:15" x14ac:dyDescent="0.2">
      <c r="A253" s="96"/>
      <c r="B253" s="114"/>
      <c r="C253" s="97"/>
      <c r="D253" s="111"/>
      <c r="E253" s="97"/>
      <c r="F253" s="106"/>
      <c r="G253" s="97"/>
      <c r="H253" s="97"/>
      <c r="I253" s="97"/>
      <c r="J253" s="97"/>
      <c r="K253" s="11" t="s">
        <v>9</v>
      </c>
      <c r="L253" s="24">
        <v>0</v>
      </c>
      <c r="M253" s="24">
        <v>0</v>
      </c>
      <c r="N253" s="24">
        <v>1</v>
      </c>
      <c r="O253" s="24">
        <v>0</v>
      </c>
    </row>
    <row r="254" spans="1:15" x14ac:dyDescent="0.2">
      <c r="A254" s="96"/>
      <c r="B254" s="114"/>
      <c r="C254" s="97"/>
      <c r="D254" s="111"/>
      <c r="E254" s="97"/>
      <c r="F254" s="106"/>
      <c r="G254" s="97"/>
      <c r="H254" s="97"/>
      <c r="I254" s="97"/>
      <c r="J254" s="97"/>
      <c r="K254" s="11" t="s">
        <v>10</v>
      </c>
      <c r="L254" s="24">
        <v>0</v>
      </c>
      <c r="M254" s="24">
        <v>0</v>
      </c>
      <c r="N254" s="24">
        <v>0</v>
      </c>
      <c r="O254" s="24">
        <v>0</v>
      </c>
    </row>
    <row r="255" spans="1:15" x14ac:dyDescent="0.2">
      <c r="A255" s="96"/>
      <c r="B255" s="114"/>
      <c r="C255" s="97"/>
      <c r="D255" s="111"/>
      <c r="E255" s="97"/>
      <c r="F255" s="106"/>
      <c r="G255" s="97"/>
      <c r="H255" s="97"/>
      <c r="I255" s="97"/>
      <c r="J255" s="97"/>
      <c r="K255" s="11" t="s">
        <v>11</v>
      </c>
      <c r="L255" s="24">
        <v>0</v>
      </c>
      <c r="M255" s="24">
        <v>0</v>
      </c>
      <c r="N255" s="24">
        <v>3</v>
      </c>
      <c r="O255" s="24">
        <v>0</v>
      </c>
    </row>
    <row r="256" spans="1:15" x14ac:dyDescent="0.2">
      <c r="A256" s="96"/>
      <c r="B256" s="114"/>
      <c r="C256" s="97"/>
      <c r="D256" s="111"/>
      <c r="E256" s="97"/>
      <c r="F256" s="106"/>
      <c r="G256" s="97"/>
      <c r="H256" s="97"/>
      <c r="I256" s="97"/>
      <c r="J256" s="97"/>
      <c r="K256" s="11" t="s">
        <v>12</v>
      </c>
      <c r="L256" s="24">
        <v>0</v>
      </c>
      <c r="M256" s="24">
        <v>0</v>
      </c>
      <c r="N256" s="24">
        <v>4</v>
      </c>
      <c r="O256" s="24">
        <v>0</v>
      </c>
    </row>
    <row r="257" spans="1:15" x14ac:dyDescent="0.2">
      <c r="A257" s="96"/>
      <c r="B257" s="114"/>
      <c r="C257" s="97"/>
      <c r="D257" s="111"/>
      <c r="E257" s="97"/>
      <c r="F257" s="106"/>
      <c r="G257" s="97"/>
      <c r="H257" s="97"/>
      <c r="I257" s="97"/>
      <c r="J257" s="97"/>
      <c r="K257" s="11" t="s">
        <v>13</v>
      </c>
      <c r="L257" s="24">
        <v>0</v>
      </c>
      <c r="M257" s="24">
        <v>0</v>
      </c>
      <c r="N257" s="24">
        <v>1</v>
      </c>
      <c r="O257" s="24">
        <v>0</v>
      </c>
    </row>
    <row r="258" spans="1:15" x14ac:dyDescent="0.2">
      <c r="A258" s="96"/>
      <c r="B258" s="114"/>
      <c r="C258" s="97"/>
      <c r="D258" s="111"/>
      <c r="E258" s="97"/>
      <c r="F258" s="106"/>
      <c r="G258" s="97"/>
      <c r="H258" s="97"/>
      <c r="I258" s="97"/>
      <c r="J258" s="97"/>
      <c r="K258" s="11" t="s">
        <v>14</v>
      </c>
      <c r="L258" s="24">
        <v>0</v>
      </c>
      <c r="M258" s="24">
        <v>0</v>
      </c>
      <c r="N258" s="24">
        <v>1</v>
      </c>
      <c r="O258" s="24">
        <v>0</v>
      </c>
    </row>
    <row r="259" spans="1:15" x14ac:dyDescent="0.2">
      <c r="A259" s="96"/>
      <c r="B259" s="114"/>
      <c r="C259" s="97"/>
      <c r="D259" s="111"/>
      <c r="E259" s="97"/>
      <c r="F259" s="106"/>
      <c r="G259" s="97"/>
      <c r="H259" s="97"/>
      <c r="I259" s="97"/>
      <c r="J259" s="97"/>
      <c r="K259" s="11" t="s">
        <v>15</v>
      </c>
      <c r="L259" s="24">
        <v>0</v>
      </c>
      <c r="M259" s="24">
        <v>0</v>
      </c>
      <c r="N259" s="24">
        <v>4</v>
      </c>
      <c r="O259" s="24">
        <v>0</v>
      </c>
    </row>
    <row r="260" spans="1:15" x14ac:dyDescent="0.2">
      <c r="A260" s="96"/>
      <c r="B260" s="114"/>
      <c r="C260" s="97"/>
      <c r="D260" s="111"/>
      <c r="E260" s="97"/>
      <c r="F260" s="106"/>
      <c r="G260" s="97"/>
      <c r="H260" s="97"/>
      <c r="I260" s="97"/>
      <c r="J260" s="97"/>
      <c r="K260" s="11" t="s">
        <v>16</v>
      </c>
      <c r="L260" s="24">
        <v>0</v>
      </c>
      <c r="M260" s="24">
        <v>0</v>
      </c>
      <c r="N260" s="24">
        <v>6</v>
      </c>
      <c r="O260" s="24">
        <v>0</v>
      </c>
    </row>
    <row r="261" spans="1:15" x14ac:dyDescent="0.2">
      <c r="A261" s="96"/>
      <c r="B261" s="114"/>
      <c r="C261" s="97"/>
      <c r="D261" s="111"/>
      <c r="E261" s="97"/>
      <c r="F261" s="106"/>
      <c r="G261" s="97"/>
      <c r="H261" s="97"/>
      <c r="I261" s="97"/>
      <c r="J261" s="97"/>
      <c r="K261" s="11" t="s">
        <v>17</v>
      </c>
      <c r="L261" s="24">
        <v>0</v>
      </c>
      <c r="M261" s="24">
        <v>20</v>
      </c>
      <c r="N261" s="24">
        <v>5</v>
      </c>
      <c r="O261" s="24">
        <v>0</v>
      </c>
    </row>
    <row r="262" spans="1:15" x14ac:dyDescent="0.2">
      <c r="A262" s="96"/>
      <c r="B262" s="114"/>
      <c r="C262" s="97"/>
      <c r="D262" s="111"/>
      <c r="E262" s="97"/>
      <c r="F262" s="106"/>
      <c r="G262" s="97"/>
      <c r="H262" s="97"/>
      <c r="I262" s="97"/>
      <c r="J262" s="97"/>
      <c r="K262" s="11" t="s">
        <v>18</v>
      </c>
      <c r="L262" s="24">
        <v>0</v>
      </c>
      <c r="M262" s="24">
        <v>0</v>
      </c>
      <c r="N262" s="24">
        <v>3</v>
      </c>
      <c r="O262" s="24">
        <v>0</v>
      </c>
    </row>
    <row r="263" spans="1:15" x14ac:dyDescent="0.2">
      <c r="A263" s="96"/>
      <c r="B263" s="115"/>
      <c r="C263" s="97"/>
      <c r="D263" s="111"/>
      <c r="E263" s="97"/>
      <c r="F263" s="107"/>
      <c r="G263" s="97"/>
      <c r="H263" s="97"/>
      <c r="I263" s="97"/>
      <c r="J263" s="97"/>
      <c r="K263" s="11" t="s">
        <v>0</v>
      </c>
      <c r="L263" s="19">
        <f>SUM(L251:L262)</f>
        <v>0</v>
      </c>
      <c r="M263" s="19">
        <f t="shared" ref="M263" si="53">SUM(M251:M262)</f>
        <v>20</v>
      </c>
      <c r="N263" s="19">
        <f t="shared" ref="N263" si="54">SUM(N251:N262)</f>
        <v>28</v>
      </c>
      <c r="O263" s="19">
        <f t="shared" ref="O263" si="55">SUM(O251:O262)</f>
        <v>0</v>
      </c>
    </row>
    <row r="264" spans="1:15" x14ac:dyDescent="0.2">
      <c r="A264" s="96"/>
      <c r="B264" s="113" t="s">
        <v>35</v>
      </c>
      <c r="C264" s="97" t="s">
        <v>187</v>
      </c>
      <c r="D264" s="111" t="s">
        <v>149</v>
      </c>
      <c r="E264" s="97" t="s">
        <v>102</v>
      </c>
      <c r="F264" s="97" t="s">
        <v>82</v>
      </c>
      <c r="G264" s="97" t="s">
        <v>94</v>
      </c>
      <c r="H264" s="97"/>
      <c r="I264" s="97"/>
      <c r="J264" s="97"/>
      <c r="K264" s="11" t="s">
        <v>7</v>
      </c>
      <c r="L264" s="24">
        <v>0</v>
      </c>
      <c r="M264" s="24">
        <v>0</v>
      </c>
      <c r="N264" s="24">
        <v>0</v>
      </c>
      <c r="O264" s="24">
        <v>0</v>
      </c>
    </row>
    <row r="265" spans="1:15" x14ac:dyDescent="0.2">
      <c r="A265" s="96"/>
      <c r="B265" s="114"/>
      <c r="C265" s="97"/>
      <c r="D265" s="111"/>
      <c r="E265" s="97"/>
      <c r="F265" s="97"/>
      <c r="G265" s="97"/>
      <c r="H265" s="97"/>
      <c r="I265" s="97"/>
      <c r="J265" s="97"/>
      <c r="K265" s="11" t="s">
        <v>8</v>
      </c>
      <c r="L265" s="24">
        <v>0</v>
      </c>
      <c r="M265" s="24">
        <v>0</v>
      </c>
      <c r="N265" s="24">
        <v>0</v>
      </c>
      <c r="O265" s="24">
        <v>0</v>
      </c>
    </row>
    <row r="266" spans="1:15" x14ac:dyDescent="0.2">
      <c r="A266" s="96"/>
      <c r="B266" s="114"/>
      <c r="C266" s="97"/>
      <c r="D266" s="111"/>
      <c r="E266" s="97"/>
      <c r="F266" s="97"/>
      <c r="G266" s="97"/>
      <c r="H266" s="97"/>
      <c r="I266" s="97"/>
      <c r="J266" s="97"/>
      <c r="K266" s="11" t="s">
        <v>9</v>
      </c>
      <c r="L266" s="24">
        <v>0</v>
      </c>
      <c r="M266" s="24">
        <v>0</v>
      </c>
      <c r="N266" s="24">
        <v>0</v>
      </c>
      <c r="O266" s="24">
        <v>0</v>
      </c>
    </row>
    <row r="267" spans="1:15" x14ac:dyDescent="0.2">
      <c r="A267" s="96"/>
      <c r="B267" s="114"/>
      <c r="C267" s="97"/>
      <c r="D267" s="111"/>
      <c r="E267" s="97"/>
      <c r="F267" s="97"/>
      <c r="G267" s="97"/>
      <c r="H267" s="97"/>
      <c r="I267" s="97"/>
      <c r="J267" s="97"/>
      <c r="K267" s="11" t="s">
        <v>10</v>
      </c>
      <c r="L267" s="24">
        <v>0</v>
      </c>
      <c r="M267" s="24">
        <v>0</v>
      </c>
      <c r="N267" s="24">
        <v>0</v>
      </c>
      <c r="O267" s="24">
        <v>0</v>
      </c>
    </row>
    <row r="268" spans="1:15" x14ac:dyDescent="0.2">
      <c r="A268" s="96"/>
      <c r="B268" s="114"/>
      <c r="C268" s="97"/>
      <c r="D268" s="111"/>
      <c r="E268" s="97"/>
      <c r="F268" s="97"/>
      <c r="G268" s="97"/>
      <c r="H268" s="97"/>
      <c r="I268" s="97"/>
      <c r="J268" s="97"/>
      <c r="K268" s="11" t="s">
        <v>11</v>
      </c>
      <c r="L268" s="24">
        <v>0</v>
      </c>
      <c r="M268" s="24">
        <v>0</v>
      </c>
      <c r="N268" s="24">
        <v>0</v>
      </c>
      <c r="O268" s="24">
        <v>0</v>
      </c>
    </row>
    <row r="269" spans="1:15" x14ac:dyDescent="0.2">
      <c r="A269" s="96"/>
      <c r="B269" s="114"/>
      <c r="C269" s="97"/>
      <c r="D269" s="111"/>
      <c r="E269" s="97"/>
      <c r="F269" s="97"/>
      <c r="G269" s="97"/>
      <c r="H269" s="97"/>
      <c r="I269" s="97"/>
      <c r="J269" s="97"/>
      <c r="K269" s="11" t="s">
        <v>12</v>
      </c>
      <c r="L269" s="24">
        <v>0</v>
      </c>
      <c r="M269" s="24">
        <v>0</v>
      </c>
      <c r="N269" s="24">
        <v>0</v>
      </c>
      <c r="O269" s="24">
        <v>0</v>
      </c>
    </row>
    <row r="270" spans="1:15" x14ac:dyDescent="0.2">
      <c r="A270" s="96"/>
      <c r="B270" s="114"/>
      <c r="C270" s="97"/>
      <c r="D270" s="111"/>
      <c r="E270" s="97"/>
      <c r="F270" s="97"/>
      <c r="G270" s="97"/>
      <c r="H270" s="97"/>
      <c r="I270" s="97"/>
      <c r="J270" s="97"/>
      <c r="K270" s="11" t="s">
        <v>13</v>
      </c>
      <c r="L270" s="24">
        <v>0</v>
      </c>
      <c r="M270" s="24">
        <v>0</v>
      </c>
      <c r="N270" s="24">
        <v>0</v>
      </c>
      <c r="O270" s="24">
        <v>0</v>
      </c>
    </row>
    <row r="271" spans="1:15" x14ac:dyDescent="0.2">
      <c r="A271" s="96"/>
      <c r="B271" s="114"/>
      <c r="C271" s="97"/>
      <c r="D271" s="111"/>
      <c r="E271" s="97"/>
      <c r="F271" s="97"/>
      <c r="G271" s="97"/>
      <c r="H271" s="97"/>
      <c r="I271" s="97"/>
      <c r="J271" s="97"/>
      <c r="K271" s="11" t="s">
        <v>14</v>
      </c>
      <c r="L271" s="24">
        <v>0</v>
      </c>
      <c r="M271" s="24">
        <v>0</v>
      </c>
      <c r="N271" s="24">
        <v>0</v>
      </c>
      <c r="O271" s="24">
        <v>0</v>
      </c>
    </row>
    <row r="272" spans="1:15" x14ac:dyDescent="0.2">
      <c r="A272" s="96"/>
      <c r="B272" s="114"/>
      <c r="C272" s="97"/>
      <c r="D272" s="111"/>
      <c r="E272" s="97"/>
      <c r="F272" s="97"/>
      <c r="G272" s="97"/>
      <c r="H272" s="97"/>
      <c r="I272" s="97"/>
      <c r="J272" s="97"/>
      <c r="K272" s="11" t="s">
        <v>15</v>
      </c>
      <c r="L272" s="24">
        <v>0</v>
      </c>
      <c r="M272" s="24">
        <v>6</v>
      </c>
      <c r="N272" s="24">
        <v>10</v>
      </c>
      <c r="O272" s="24">
        <v>0</v>
      </c>
    </row>
    <row r="273" spans="1:15" x14ac:dyDescent="0.2">
      <c r="A273" s="96"/>
      <c r="B273" s="114"/>
      <c r="C273" s="97"/>
      <c r="D273" s="111"/>
      <c r="E273" s="97"/>
      <c r="F273" s="97"/>
      <c r="G273" s="97"/>
      <c r="H273" s="97"/>
      <c r="I273" s="97"/>
      <c r="J273" s="97"/>
      <c r="K273" s="11" t="s">
        <v>16</v>
      </c>
      <c r="L273" s="24">
        <v>0</v>
      </c>
      <c r="M273" s="24">
        <v>0</v>
      </c>
      <c r="N273" s="24">
        <v>0</v>
      </c>
      <c r="O273" s="24">
        <v>0</v>
      </c>
    </row>
    <row r="274" spans="1:15" x14ac:dyDescent="0.2">
      <c r="A274" s="96"/>
      <c r="B274" s="114"/>
      <c r="C274" s="97"/>
      <c r="D274" s="111"/>
      <c r="E274" s="97"/>
      <c r="F274" s="97"/>
      <c r="G274" s="97"/>
      <c r="H274" s="97"/>
      <c r="I274" s="97"/>
      <c r="J274" s="97"/>
      <c r="K274" s="11" t="s">
        <v>17</v>
      </c>
      <c r="L274" s="24">
        <v>0</v>
      </c>
      <c r="M274" s="24">
        <v>0</v>
      </c>
      <c r="N274" s="24">
        <v>0</v>
      </c>
      <c r="O274" s="24">
        <v>0</v>
      </c>
    </row>
    <row r="275" spans="1:15" x14ac:dyDescent="0.2">
      <c r="A275" s="96"/>
      <c r="B275" s="114"/>
      <c r="C275" s="97"/>
      <c r="D275" s="111"/>
      <c r="E275" s="97"/>
      <c r="F275" s="97"/>
      <c r="G275" s="97"/>
      <c r="H275" s="97"/>
      <c r="I275" s="97"/>
      <c r="J275" s="97"/>
      <c r="K275" s="11" t="s">
        <v>18</v>
      </c>
      <c r="L275" s="24">
        <v>0</v>
      </c>
      <c r="M275" s="24">
        <v>0</v>
      </c>
      <c r="N275" s="24">
        <v>0</v>
      </c>
      <c r="O275" s="24">
        <v>0</v>
      </c>
    </row>
    <row r="276" spans="1:15" x14ac:dyDescent="0.2">
      <c r="A276" s="96"/>
      <c r="B276" s="115"/>
      <c r="C276" s="97"/>
      <c r="D276" s="111"/>
      <c r="E276" s="97"/>
      <c r="F276" s="97"/>
      <c r="G276" s="97"/>
      <c r="H276" s="97"/>
      <c r="I276" s="97"/>
      <c r="J276" s="97"/>
      <c r="K276" s="11" t="s">
        <v>0</v>
      </c>
      <c r="L276" s="19">
        <f>SUM(L264:L275)</f>
        <v>0</v>
      </c>
      <c r="M276" s="19">
        <f t="shared" ref="M276" si="56">SUM(M264:M275)</f>
        <v>6</v>
      </c>
      <c r="N276" s="19">
        <f t="shared" ref="N276" si="57">SUM(N264:N275)</f>
        <v>10</v>
      </c>
      <c r="O276" s="19">
        <f t="shared" ref="O276" si="58">SUM(O264:O275)</f>
        <v>0</v>
      </c>
    </row>
    <row r="277" spans="1:15" x14ac:dyDescent="0.2">
      <c r="A277" s="96"/>
      <c r="B277" s="101" t="s">
        <v>35</v>
      </c>
      <c r="C277" s="97" t="s">
        <v>188</v>
      </c>
      <c r="D277" s="111" t="s">
        <v>145</v>
      </c>
      <c r="E277" s="97" t="s">
        <v>103</v>
      </c>
      <c r="F277" s="97" t="s">
        <v>87</v>
      </c>
      <c r="G277" s="97" t="s">
        <v>94</v>
      </c>
      <c r="H277" s="97"/>
      <c r="I277" s="97"/>
      <c r="J277" s="97"/>
      <c r="K277" s="11" t="s">
        <v>7</v>
      </c>
      <c r="L277" s="24">
        <v>0</v>
      </c>
      <c r="M277" s="24">
        <v>0</v>
      </c>
      <c r="N277" s="24">
        <v>1</v>
      </c>
      <c r="O277" s="24">
        <v>0</v>
      </c>
    </row>
    <row r="278" spans="1:15" x14ac:dyDescent="0.2">
      <c r="A278" s="96"/>
      <c r="B278" s="101"/>
      <c r="C278" s="97"/>
      <c r="D278" s="111"/>
      <c r="E278" s="97"/>
      <c r="F278" s="97"/>
      <c r="G278" s="97"/>
      <c r="H278" s="97"/>
      <c r="I278" s="97"/>
      <c r="J278" s="97"/>
      <c r="K278" s="11" t="s">
        <v>8</v>
      </c>
      <c r="L278" s="24">
        <v>0</v>
      </c>
      <c r="M278" s="24">
        <v>0</v>
      </c>
      <c r="N278" s="24">
        <v>5</v>
      </c>
      <c r="O278" s="24">
        <v>0</v>
      </c>
    </row>
    <row r="279" spans="1:15" x14ac:dyDescent="0.2">
      <c r="A279" s="96"/>
      <c r="B279" s="101"/>
      <c r="C279" s="97"/>
      <c r="D279" s="111"/>
      <c r="E279" s="97"/>
      <c r="F279" s="97"/>
      <c r="G279" s="97"/>
      <c r="H279" s="97"/>
      <c r="I279" s="97"/>
      <c r="J279" s="97"/>
      <c r="K279" s="11" t="s">
        <v>9</v>
      </c>
      <c r="L279" s="24">
        <v>0</v>
      </c>
      <c r="M279" s="24">
        <v>0</v>
      </c>
      <c r="N279" s="24">
        <v>7</v>
      </c>
      <c r="O279" s="24">
        <v>0</v>
      </c>
    </row>
    <row r="280" spans="1:15" x14ac:dyDescent="0.2">
      <c r="A280" s="96"/>
      <c r="B280" s="101"/>
      <c r="C280" s="97"/>
      <c r="D280" s="111"/>
      <c r="E280" s="97"/>
      <c r="F280" s="97"/>
      <c r="G280" s="97"/>
      <c r="H280" s="97"/>
      <c r="I280" s="97"/>
      <c r="J280" s="97"/>
      <c r="K280" s="11" t="s">
        <v>10</v>
      </c>
      <c r="L280" s="24">
        <v>0</v>
      </c>
      <c r="M280" s="24">
        <v>0</v>
      </c>
      <c r="N280" s="24">
        <v>7</v>
      </c>
      <c r="O280" s="24">
        <v>0</v>
      </c>
    </row>
    <row r="281" spans="1:15" x14ac:dyDescent="0.2">
      <c r="A281" s="96"/>
      <c r="B281" s="101"/>
      <c r="C281" s="97"/>
      <c r="D281" s="111"/>
      <c r="E281" s="97"/>
      <c r="F281" s="97"/>
      <c r="G281" s="97"/>
      <c r="H281" s="97"/>
      <c r="I281" s="97"/>
      <c r="J281" s="97"/>
      <c r="K281" s="11" t="s">
        <v>11</v>
      </c>
      <c r="L281" s="24">
        <v>0</v>
      </c>
      <c r="M281" s="24">
        <v>0</v>
      </c>
      <c r="N281" s="24">
        <v>11</v>
      </c>
      <c r="O281" s="24">
        <v>0</v>
      </c>
    </row>
    <row r="282" spans="1:15" x14ac:dyDescent="0.2">
      <c r="A282" s="96"/>
      <c r="B282" s="101"/>
      <c r="C282" s="97"/>
      <c r="D282" s="111"/>
      <c r="E282" s="97"/>
      <c r="F282" s="97"/>
      <c r="G282" s="97"/>
      <c r="H282" s="97"/>
      <c r="I282" s="97"/>
      <c r="J282" s="97"/>
      <c r="K282" s="11" t="s">
        <v>12</v>
      </c>
      <c r="L282" s="24">
        <v>0</v>
      </c>
      <c r="M282" s="24">
        <v>0</v>
      </c>
      <c r="N282" s="24">
        <v>8</v>
      </c>
      <c r="O282" s="24">
        <v>0</v>
      </c>
    </row>
    <row r="283" spans="1:15" x14ac:dyDescent="0.2">
      <c r="A283" s="96"/>
      <c r="B283" s="101"/>
      <c r="C283" s="97"/>
      <c r="D283" s="111"/>
      <c r="E283" s="97"/>
      <c r="F283" s="97"/>
      <c r="G283" s="97"/>
      <c r="H283" s="97"/>
      <c r="I283" s="97"/>
      <c r="J283" s="97"/>
      <c r="K283" s="11" t="s">
        <v>13</v>
      </c>
      <c r="L283" s="24">
        <v>0</v>
      </c>
      <c r="M283" s="24">
        <v>0</v>
      </c>
      <c r="N283" s="24">
        <v>2</v>
      </c>
      <c r="O283" s="24">
        <v>0</v>
      </c>
    </row>
    <row r="284" spans="1:15" x14ac:dyDescent="0.2">
      <c r="A284" s="96"/>
      <c r="B284" s="101"/>
      <c r="C284" s="97"/>
      <c r="D284" s="111"/>
      <c r="E284" s="97"/>
      <c r="F284" s="97"/>
      <c r="G284" s="97"/>
      <c r="H284" s="97"/>
      <c r="I284" s="97"/>
      <c r="J284" s="97"/>
      <c r="K284" s="11" t="s">
        <v>14</v>
      </c>
      <c r="L284" s="24">
        <v>0</v>
      </c>
      <c r="M284" s="24">
        <v>0</v>
      </c>
      <c r="N284" s="24">
        <v>2</v>
      </c>
      <c r="O284" s="24">
        <v>0</v>
      </c>
    </row>
    <row r="285" spans="1:15" x14ac:dyDescent="0.2">
      <c r="A285" s="96"/>
      <c r="B285" s="101"/>
      <c r="C285" s="97"/>
      <c r="D285" s="111"/>
      <c r="E285" s="97"/>
      <c r="F285" s="97"/>
      <c r="G285" s="97"/>
      <c r="H285" s="97"/>
      <c r="I285" s="97"/>
      <c r="J285" s="97"/>
      <c r="K285" s="11" t="s">
        <v>15</v>
      </c>
      <c r="L285" s="24">
        <v>0</v>
      </c>
      <c r="M285" s="24">
        <v>40</v>
      </c>
      <c r="N285" s="24">
        <v>11</v>
      </c>
      <c r="O285" s="24">
        <v>0</v>
      </c>
    </row>
    <row r="286" spans="1:15" x14ac:dyDescent="0.2">
      <c r="A286" s="96"/>
      <c r="B286" s="101"/>
      <c r="C286" s="97"/>
      <c r="D286" s="111"/>
      <c r="E286" s="97"/>
      <c r="F286" s="97"/>
      <c r="G286" s="97"/>
      <c r="H286" s="97"/>
      <c r="I286" s="97"/>
      <c r="J286" s="97"/>
      <c r="K286" s="11" t="s">
        <v>16</v>
      </c>
      <c r="L286" s="24">
        <v>0</v>
      </c>
      <c r="M286" s="24">
        <v>0</v>
      </c>
      <c r="N286" s="24">
        <v>11</v>
      </c>
      <c r="O286" s="24">
        <v>0</v>
      </c>
    </row>
    <row r="287" spans="1:15" x14ac:dyDescent="0.2">
      <c r="A287" s="96"/>
      <c r="B287" s="101"/>
      <c r="C287" s="97"/>
      <c r="D287" s="111"/>
      <c r="E287" s="97"/>
      <c r="F287" s="97"/>
      <c r="G287" s="97"/>
      <c r="H287" s="97"/>
      <c r="I287" s="97"/>
      <c r="J287" s="97"/>
      <c r="K287" s="11" t="s">
        <v>17</v>
      </c>
      <c r="L287" s="24">
        <v>0</v>
      </c>
      <c r="M287" s="24">
        <v>0</v>
      </c>
      <c r="N287" s="24">
        <v>11</v>
      </c>
      <c r="O287" s="24">
        <v>0</v>
      </c>
    </row>
    <row r="288" spans="1:15" x14ac:dyDescent="0.2">
      <c r="A288" s="96"/>
      <c r="B288" s="101"/>
      <c r="C288" s="97"/>
      <c r="D288" s="111"/>
      <c r="E288" s="97"/>
      <c r="F288" s="97"/>
      <c r="G288" s="97"/>
      <c r="H288" s="97"/>
      <c r="I288" s="97"/>
      <c r="J288" s="97"/>
      <c r="K288" s="11" t="s">
        <v>18</v>
      </c>
      <c r="L288" s="24">
        <v>0</v>
      </c>
      <c r="M288" s="24">
        <v>0</v>
      </c>
      <c r="N288" s="24">
        <v>7</v>
      </c>
      <c r="O288" s="24">
        <v>0</v>
      </c>
    </row>
    <row r="289" spans="1:15" x14ac:dyDescent="0.2">
      <c r="A289" s="96"/>
      <c r="B289" s="101"/>
      <c r="C289" s="97"/>
      <c r="D289" s="111"/>
      <c r="E289" s="97"/>
      <c r="F289" s="97"/>
      <c r="G289" s="97"/>
      <c r="H289" s="97"/>
      <c r="I289" s="97"/>
      <c r="J289" s="97"/>
      <c r="K289" s="11" t="s">
        <v>0</v>
      </c>
      <c r="L289" s="19">
        <f>SUM(L277:L288)</f>
        <v>0</v>
      </c>
      <c r="M289" s="19">
        <f t="shared" ref="M289:O289" si="59">SUM(M277:M288)</f>
        <v>40</v>
      </c>
      <c r="N289" s="19">
        <f t="shared" si="59"/>
        <v>83</v>
      </c>
      <c r="O289" s="19">
        <f t="shared" si="59"/>
        <v>0</v>
      </c>
    </row>
    <row r="290" spans="1:15" x14ac:dyDescent="0.2">
      <c r="A290" s="96"/>
      <c r="B290" s="101" t="s">
        <v>36</v>
      </c>
      <c r="C290" s="97" t="s">
        <v>189</v>
      </c>
      <c r="D290" s="111" t="s">
        <v>146</v>
      </c>
      <c r="E290" s="97"/>
      <c r="F290" s="97" t="s">
        <v>82</v>
      </c>
      <c r="G290" s="97" t="s">
        <v>94</v>
      </c>
      <c r="H290" s="97"/>
      <c r="I290" s="97"/>
      <c r="J290" s="97"/>
      <c r="K290" s="12" t="s">
        <v>7</v>
      </c>
      <c r="L290" s="24">
        <v>0</v>
      </c>
      <c r="M290" s="24">
        <v>0</v>
      </c>
      <c r="N290" s="24">
        <v>50</v>
      </c>
      <c r="O290" s="24">
        <v>0</v>
      </c>
    </row>
    <row r="291" spans="1:15" x14ac:dyDescent="0.2">
      <c r="A291" s="96"/>
      <c r="B291" s="101"/>
      <c r="C291" s="97"/>
      <c r="D291" s="111"/>
      <c r="E291" s="97"/>
      <c r="F291" s="97"/>
      <c r="G291" s="97"/>
      <c r="H291" s="97"/>
      <c r="I291" s="97"/>
      <c r="J291" s="97"/>
      <c r="K291" s="12" t="s">
        <v>8</v>
      </c>
      <c r="L291" s="24">
        <v>0</v>
      </c>
      <c r="M291" s="24">
        <v>0</v>
      </c>
      <c r="N291" s="24">
        <v>50</v>
      </c>
      <c r="O291" s="24">
        <v>0</v>
      </c>
    </row>
    <row r="292" spans="1:15" x14ac:dyDescent="0.2">
      <c r="A292" s="96"/>
      <c r="B292" s="101"/>
      <c r="C292" s="97"/>
      <c r="D292" s="111"/>
      <c r="E292" s="97"/>
      <c r="F292" s="97"/>
      <c r="G292" s="97"/>
      <c r="H292" s="97"/>
      <c r="I292" s="97"/>
      <c r="J292" s="97"/>
      <c r="K292" s="12" t="s">
        <v>9</v>
      </c>
      <c r="L292" s="24">
        <v>0</v>
      </c>
      <c r="M292" s="24">
        <v>0</v>
      </c>
      <c r="N292" s="24">
        <v>80</v>
      </c>
      <c r="O292" s="24">
        <v>0</v>
      </c>
    </row>
    <row r="293" spans="1:15" x14ac:dyDescent="0.2">
      <c r="A293" s="96"/>
      <c r="B293" s="101"/>
      <c r="C293" s="97"/>
      <c r="D293" s="111"/>
      <c r="E293" s="97"/>
      <c r="F293" s="97"/>
      <c r="G293" s="97"/>
      <c r="H293" s="97"/>
      <c r="I293" s="97"/>
      <c r="J293" s="97"/>
      <c r="K293" s="12" t="s">
        <v>10</v>
      </c>
      <c r="L293" s="24">
        <v>0</v>
      </c>
      <c r="M293" s="24">
        <v>0</v>
      </c>
      <c r="N293" s="24">
        <v>50</v>
      </c>
      <c r="O293" s="24">
        <v>0</v>
      </c>
    </row>
    <row r="294" spans="1:15" x14ac:dyDescent="0.2">
      <c r="A294" s="96"/>
      <c r="B294" s="101"/>
      <c r="C294" s="97"/>
      <c r="D294" s="111"/>
      <c r="E294" s="97"/>
      <c r="F294" s="97"/>
      <c r="G294" s="97"/>
      <c r="H294" s="97"/>
      <c r="I294" s="97"/>
      <c r="J294" s="97"/>
      <c r="K294" s="12" t="s">
        <v>11</v>
      </c>
      <c r="L294" s="24">
        <v>0</v>
      </c>
      <c r="M294" s="24">
        <v>0</v>
      </c>
      <c r="N294" s="24">
        <v>100</v>
      </c>
      <c r="O294" s="24">
        <v>0</v>
      </c>
    </row>
    <row r="295" spans="1:15" x14ac:dyDescent="0.2">
      <c r="A295" s="96"/>
      <c r="B295" s="101"/>
      <c r="C295" s="97"/>
      <c r="D295" s="111"/>
      <c r="E295" s="97"/>
      <c r="F295" s="97"/>
      <c r="G295" s="97"/>
      <c r="H295" s="97"/>
      <c r="I295" s="97"/>
      <c r="J295" s="97"/>
      <c r="K295" s="12" t="s">
        <v>12</v>
      </c>
      <c r="L295" s="24">
        <v>0</v>
      </c>
      <c r="M295" s="24">
        <v>0</v>
      </c>
      <c r="N295" s="24">
        <v>92</v>
      </c>
      <c r="O295" s="24">
        <v>0</v>
      </c>
    </row>
    <row r="296" spans="1:15" x14ac:dyDescent="0.2">
      <c r="A296" s="96"/>
      <c r="B296" s="101"/>
      <c r="C296" s="97"/>
      <c r="D296" s="111"/>
      <c r="E296" s="97"/>
      <c r="F296" s="97"/>
      <c r="G296" s="97"/>
      <c r="H296" s="97"/>
      <c r="I296" s="97"/>
      <c r="J296" s="97"/>
      <c r="K296" s="12" t="s">
        <v>13</v>
      </c>
      <c r="L296" s="24">
        <v>0</v>
      </c>
      <c r="M296" s="24">
        <v>0</v>
      </c>
      <c r="N296" s="24">
        <v>69</v>
      </c>
      <c r="O296" s="24">
        <v>0</v>
      </c>
    </row>
    <row r="297" spans="1:15" x14ac:dyDescent="0.2">
      <c r="A297" s="96"/>
      <c r="B297" s="101"/>
      <c r="C297" s="97"/>
      <c r="D297" s="111"/>
      <c r="E297" s="97"/>
      <c r="F297" s="97"/>
      <c r="G297" s="97"/>
      <c r="H297" s="97"/>
      <c r="I297" s="97"/>
      <c r="J297" s="97"/>
      <c r="K297" s="12" t="s">
        <v>14</v>
      </c>
      <c r="L297" s="24">
        <v>0</v>
      </c>
      <c r="M297" s="24">
        <v>0</v>
      </c>
      <c r="N297" s="24">
        <v>30</v>
      </c>
      <c r="O297" s="24">
        <v>0</v>
      </c>
    </row>
    <row r="298" spans="1:15" x14ac:dyDescent="0.2">
      <c r="A298" s="96"/>
      <c r="B298" s="101"/>
      <c r="C298" s="97"/>
      <c r="D298" s="111"/>
      <c r="E298" s="97"/>
      <c r="F298" s="97"/>
      <c r="G298" s="97"/>
      <c r="H298" s="97"/>
      <c r="I298" s="97"/>
      <c r="J298" s="97"/>
      <c r="K298" s="12" t="s">
        <v>15</v>
      </c>
      <c r="L298" s="24">
        <v>0</v>
      </c>
      <c r="M298" s="24">
        <v>0</v>
      </c>
      <c r="N298" s="24">
        <v>60</v>
      </c>
      <c r="O298" s="24">
        <v>0</v>
      </c>
    </row>
    <row r="299" spans="1:15" x14ac:dyDescent="0.2">
      <c r="A299" s="96"/>
      <c r="B299" s="101"/>
      <c r="C299" s="97"/>
      <c r="D299" s="111"/>
      <c r="E299" s="97"/>
      <c r="F299" s="97"/>
      <c r="G299" s="97"/>
      <c r="H299" s="97"/>
      <c r="I299" s="97"/>
      <c r="J299" s="97"/>
      <c r="K299" s="12" t="s">
        <v>16</v>
      </c>
      <c r="L299" s="24">
        <v>0</v>
      </c>
      <c r="M299" s="24">
        <v>0</v>
      </c>
      <c r="N299" s="24">
        <v>139</v>
      </c>
      <c r="O299" s="24">
        <v>0</v>
      </c>
    </row>
    <row r="300" spans="1:15" x14ac:dyDescent="0.2">
      <c r="A300" s="96"/>
      <c r="B300" s="101"/>
      <c r="C300" s="97"/>
      <c r="D300" s="111"/>
      <c r="E300" s="97"/>
      <c r="F300" s="97"/>
      <c r="G300" s="97"/>
      <c r="H300" s="97"/>
      <c r="I300" s="97"/>
      <c r="J300" s="97"/>
      <c r="K300" s="12" t="s">
        <v>17</v>
      </c>
      <c r="L300" s="24">
        <v>0</v>
      </c>
      <c r="M300" s="24">
        <v>0</v>
      </c>
      <c r="N300" s="24">
        <v>300</v>
      </c>
      <c r="O300" s="24">
        <v>0</v>
      </c>
    </row>
    <row r="301" spans="1:15" x14ac:dyDescent="0.2">
      <c r="A301" s="96"/>
      <c r="B301" s="101"/>
      <c r="C301" s="97"/>
      <c r="D301" s="111"/>
      <c r="E301" s="97"/>
      <c r="F301" s="97"/>
      <c r="G301" s="97"/>
      <c r="H301" s="97"/>
      <c r="I301" s="97"/>
      <c r="J301" s="97"/>
      <c r="K301" s="12" t="s">
        <v>18</v>
      </c>
      <c r="L301" s="24">
        <v>0</v>
      </c>
      <c r="M301" s="24">
        <v>0</v>
      </c>
      <c r="N301" s="24">
        <v>80</v>
      </c>
      <c r="O301" s="24">
        <v>0</v>
      </c>
    </row>
    <row r="302" spans="1:15" x14ac:dyDescent="0.2">
      <c r="A302" s="96"/>
      <c r="B302" s="101"/>
      <c r="C302" s="97"/>
      <c r="D302" s="111"/>
      <c r="E302" s="97"/>
      <c r="F302" s="97"/>
      <c r="G302" s="97"/>
      <c r="H302" s="97"/>
      <c r="I302" s="97"/>
      <c r="J302" s="97"/>
      <c r="K302" s="12" t="s">
        <v>0</v>
      </c>
      <c r="L302" s="19">
        <f>SUM(L290:L301)</f>
        <v>0</v>
      </c>
      <c r="M302" s="19">
        <f t="shared" ref="M302" si="60">SUM(M290:M301)</f>
        <v>0</v>
      </c>
      <c r="N302" s="19">
        <f t="shared" ref="N302" si="61">SUM(N290:N301)</f>
        <v>1100</v>
      </c>
      <c r="O302" s="19">
        <f t="shared" ref="O302" si="62">SUM(O290:O301)</f>
        <v>0</v>
      </c>
    </row>
    <row r="303" spans="1:15" x14ac:dyDescent="0.2">
      <c r="A303" s="96"/>
      <c r="B303" s="101" t="s">
        <v>36</v>
      </c>
      <c r="C303" s="97" t="s">
        <v>190</v>
      </c>
      <c r="D303" s="111" t="s">
        <v>37</v>
      </c>
      <c r="E303" s="97"/>
      <c r="F303" s="97" t="s">
        <v>84</v>
      </c>
      <c r="G303" s="97" t="s">
        <v>94</v>
      </c>
      <c r="H303" s="97"/>
      <c r="I303" s="97"/>
      <c r="J303" s="97"/>
      <c r="K303" s="12" t="s">
        <v>7</v>
      </c>
      <c r="L303" s="24">
        <v>0</v>
      </c>
      <c r="M303" s="24">
        <v>0</v>
      </c>
      <c r="N303" s="24">
        <v>0</v>
      </c>
      <c r="O303" s="24">
        <v>0</v>
      </c>
    </row>
    <row r="304" spans="1:15" x14ac:dyDescent="0.2">
      <c r="A304" s="96"/>
      <c r="B304" s="101"/>
      <c r="C304" s="97"/>
      <c r="D304" s="111"/>
      <c r="E304" s="97"/>
      <c r="F304" s="97"/>
      <c r="G304" s="97"/>
      <c r="H304" s="97"/>
      <c r="I304" s="97"/>
      <c r="J304" s="97"/>
      <c r="K304" s="12" t="s">
        <v>8</v>
      </c>
      <c r="L304" s="24">
        <v>0</v>
      </c>
      <c r="M304" s="24">
        <v>0</v>
      </c>
      <c r="N304" s="24">
        <v>0</v>
      </c>
      <c r="O304" s="24">
        <v>0</v>
      </c>
    </row>
    <row r="305" spans="1:15" x14ac:dyDescent="0.2">
      <c r="A305" s="96"/>
      <c r="B305" s="101"/>
      <c r="C305" s="97"/>
      <c r="D305" s="111"/>
      <c r="E305" s="97"/>
      <c r="F305" s="97"/>
      <c r="G305" s="97"/>
      <c r="H305" s="97"/>
      <c r="I305" s="97"/>
      <c r="J305" s="97"/>
      <c r="K305" s="12" t="s">
        <v>9</v>
      </c>
      <c r="L305" s="24">
        <v>0</v>
      </c>
      <c r="M305" s="24">
        <v>0</v>
      </c>
      <c r="N305" s="24">
        <v>0</v>
      </c>
      <c r="O305" s="24">
        <v>0</v>
      </c>
    </row>
    <row r="306" spans="1:15" x14ac:dyDescent="0.2">
      <c r="A306" s="96"/>
      <c r="B306" s="101"/>
      <c r="C306" s="97"/>
      <c r="D306" s="111"/>
      <c r="E306" s="97"/>
      <c r="F306" s="97"/>
      <c r="G306" s="97"/>
      <c r="H306" s="97"/>
      <c r="I306" s="97"/>
      <c r="J306" s="97"/>
      <c r="K306" s="12" t="s">
        <v>10</v>
      </c>
      <c r="L306" s="24">
        <v>0</v>
      </c>
      <c r="M306" s="24">
        <v>0</v>
      </c>
      <c r="N306" s="24">
        <v>0</v>
      </c>
      <c r="O306" s="24">
        <v>0</v>
      </c>
    </row>
    <row r="307" spans="1:15" x14ac:dyDescent="0.2">
      <c r="A307" s="96"/>
      <c r="B307" s="101"/>
      <c r="C307" s="97"/>
      <c r="D307" s="111"/>
      <c r="E307" s="97"/>
      <c r="F307" s="97"/>
      <c r="G307" s="97"/>
      <c r="H307" s="97"/>
      <c r="I307" s="97"/>
      <c r="J307" s="97"/>
      <c r="K307" s="12" t="s">
        <v>11</v>
      </c>
      <c r="L307" s="24">
        <v>0</v>
      </c>
      <c r="M307" s="24">
        <v>0</v>
      </c>
      <c r="N307" s="24">
        <v>0</v>
      </c>
      <c r="O307" s="24">
        <v>0</v>
      </c>
    </row>
    <row r="308" spans="1:15" x14ac:dyDescent="0.2">
      <c r="A308" s="96"/>
      <c r="B308" s="101"/>
      <c r="C308" s="97"/>
      <c r="D308" s="111"/>
      <c r="E308" s="97"/>
      <c r="F308" s="97"/>
      <c r="G308" s="97"/>
      <c r="H308" s="97"/>
      <c r="I308" s="97"/>
      <c r="J308" s="97"/>
      <c r="K308" s="12" t="s">
        <v>12</v>
      </c>
      <c r="L308" s="24">
        <v>0</v>
      </c>
      <c r="M308" s="24">
        <v>0</v>
      </c>
      <c r="N308" s="24">
        <v>0</v>
      </c>
      <c r="O308" s="24">
        <v>0</v>
      </c>
    </row>
    <row r="309" spans="1:15" x14ac:dyDescent="0.2">
      <c r="A309" s="96"/>
      <c r="B309" s="101"/>
      <c r="C309" s="97"/>
      <c r="D309" s="111"/>
      <c r="E309" s="97"/>
      <c r="F309" s="97"/>
      <c r="G309" s="97"/>
      <c r="H309" s="97"/>
      <c r="I309" s="97"/>
      <c r="J309" s="97"/>
      <c r="K309" s="12" t="s">
        <v>13</v>
      </c>
      <c r="L309" s="24">
        <v>0</v>
      </c>
      <c r="M309" s="24">
        <v>0</v>
      </c>
      <c r="N309" s="24">
        <v>0</v>
      </c>
      <c r="O309" s="24">
        <v>0</v>
      </c>
    </row>
    <row r="310" spans="1:15" x14ac:dyDescent="0.2">
      <c r="A310" s="96"/>
      <c r="B310" s="101"/>
      <c r="C310" s="97"/>
      <c r="D310" s="111"/>
      <c r="E310" s="97"/>
      <c r="F310" s="97"/>
      <c r="G310" s="97"/>
      <c r="H310" s="97"/>
      <c r="I310" s="97"/>
      <c r="J310" s="97"/>
      <c r="K310" s="12" t="s">
        <v>14</v>
      </c>
      <c r="L310" s="24">
        <v>0</v>
      </c>
      <c r="M310" s="24">
        <v>0</v>
      </c>
      <c r="N310" s="24">
        <v>0</v>
      </c>
      <c r="O310" s="24">
        <v>0</v>
      </c>
    </row>
    <row r="311" spans="1:15" x14ac:dyDescent="0.2">
      <c r="A311" s="96"/>
      <c r="B311" s="101"/>
      <c r="C311" s="97"/>
      <c r="D311" s="111"/>
      <c r="E311" s="97"/>
      <c r="F311" s="97"/>
      <c r="G311" s="97"/>
      <c r="H311" s="97"/>
      <c r="I311" s="97"/>
      <c r="J311" s="97"/>
      <c r="K311" s="12" t="s">
        <v>15</v>
      </c>
      <c r="L311" s="24">
        <v>0</v>
      </c>
      <c r="M311" s="24">
        <v>0</v>
      </c>
      <c r="N311" s="24">
        <v>400</v>
      </c>
      <c r="O311" s="24">
        <v>0</v>
      </c>
    </row>
    <row r="312" spans="1:15" x14ac:dyDescent="0.2">
      <c r="A312" s="96"/>
      <c r="B312" s="101"/>
      <c r="C312" s="97"/>
      <c r="D312" s="111"/>
      <c r="E312" s="97"/>
      <c r="F312" s="97"/>
      <c r="G312" s="97"/>
      <c r="H312" s="97"/>
      <c r="I312" s="97"/>
      <c r="J312" s="97"/>
      <c r="K312" s="12" t="s">
        <v>16</v>
      </c>
      <c r="L312" s="24">
        <v>0</v>
      </c>
      <c r="M312" s="24">
        <v>0</v>
      </c>
      <c r="N312" s="24">
        <v>400</v>
      </c>
      <c r="O312" s="24">
        <v>0</v>
      </c>
    </row>
    <row r="313" spans="1:15" x14ac:dyDescent="0.2">
      <c r="A313" s="96"/>
      <c r="B313" s="101"/>
      <c r="C313" s="97"/>
      <c r="D313" s="111"/>
      <c r="E313" s="97"/>
      <c r="F313" s="97"/>
      <c r="G313" s="97"/>
      <c r="H313" s="97"/>
      <c r="I313" s="97"/>
      <c r="J313" s="97"/>
      <c r="K313" s="12" t="s">
        <v>17</v>
      </c>
      <c r="L313" s="24">
        <v>0</v>
      </c>
      <c r="M313" s="24">
        <v>0</v>
      </c>
      <c r="N313" s="24">
        <v>700</v>
      </c>
      <c r="O313" s="24">
        <v>0</v>
      </c>
    </row>
    <row r="314" spans="1:15" x14ac:dyDescent="0.2">
      <c r="A314" s="96"/>
      <c r="B314" s="101"/>
      <c r="C314" s="97"/>
      <c r="D314" s="111"/>
      <c r="E314" s="97"/>
      <c r="F314" s="97"/>
      <c r="G314" s="97"/>
      <c r="H314" s="97"/>
      <c r="I314" s="97"/>
      <c r="J314" s="97"/>
      <c r="K314" s="12" t="s">
        <v>18</v>
      </c>
      <c r="L314" s="24">
        <v>0</v>
      </c>
      <c r="M314" s="24">
        <v>0</v>
      </c>
      <c r="N314" s="24">
        <v>0</v>
      </c>
      <c r="O314" s="24">
        <v>0</v>
      </c>
    </row>
    <row r="315" spans="1:15" x14ac:dyDescent="0.2">
      <c r="A315" s="96"/>
      <c r="B315" s="101"/>
      <c r="C315" s="97"/>
      <c r="D315" s="111"/>
      <c r="E315" s="97"/>
      <c r="F315" s="97"/>
      <c r="G315" s="97"/>
      <c r="H315" s="97"/>
      <c r="I315" s="97"/>
      <c r="J315" s="97"/>
      <c r="K315" s="12" t="s">
        <v>0</v>
      </c>
      <c r="L315" s="19">
        <f>SUM(L303:L314)</f>
        <v>0</v>
      </c>
      <c r="M315" s="19">
        <f t="shared" ref="M315" si="63">SUM(M303:M314)</f>
        <v>0</v>
      </c>
      <c r="N315" s="19">
        <f t="shared" ref="N315" si="64">SUM(N303:N314)</f>
        <v>1500</v>
      </c>
      <c r="O315" s="19">
        <f t="shared" ref="O315" si="65">SUM(O303:O314)</f>
        <v>0</v>
      </c>
    </row>
    <row r="316" spans="1:15" x14ac:dyDescent="0.2">
      <c r="A316" s="96"/>
      <c r="B316" s="101" t="s">
        <v>36</v>
      </c>
      <c r="C316" s="97" t="s">
        <v>191</v>
      </c>
      <c r="D316" s="111" t="s">
        <v>134</v>
      </c>
      <c r="E316" s="97"/>
      <c r="F316" s="97" t="s">
        <v>84</v>
      </c>
      <c r="G316" s="97" t="s">
        <v>94</v>
      </c>
      <c r="H316" s="97"/>
      <c r="I316" s="97"/>
      <c r="J316" s="97"/>
      <c r="K316" s="12" t="s">
        <v>7</v>
      </c>
      <c r="L316" s="24">
        <v>0</v>
      </c>
      <c r="M316" s="24">
        <v>0</v>
      </c>
      <c r="N316" s="24">
        <v>0</v>
      </c>
      <c r="O316" s="24">
        <v>0</v>
      </c>
    </row>
    <row r="317" spans="1:15" x14ac:dyDescent="0.2">
      <c r="A317" s="96"/>
      <c r="B317" s="101"/>
      <c r="C317" s="97"/>
      <c r="D317" s="111"/>
      <c r="E317" s="97"/>
      <c r="F317" s="97"/>
      <c r="G317" s="97"/>
      <c r="H317" s="97"/>
      <c r="I317" s="97"/>
      <c r="J317" s="97"/>
      <c r="K317" s="12" t="s">
        <v>8</v>
      </c>
      <c r="L317" s="24">
        <v>0</v>
      </c>
      <c r="M317" s="24">
        <v>0</v>
      </c>
      <c r="N317" s="24">
        <v>0</v>
      </c>
      <c r="O317" s="24">
        <v>0</v>
      </c>
    </row>
    <row r="318" spans="1:15" x14ac:dyDescent="0.2">
      <c r="A318" s="96"/>
      <c r="B318" s="101"/>
      <c r="C318" s="97"/>
      <c r="D318" s="111"/>
      <c r="E318" s="97"/>
      <c r="F318" s="97"/>
      <c r="G318" s="97"/>
      <c r="H318" s="97"/>
      <c r="I318" s="97"/>
      <c r="J318" s="97"/>
      <c r="K318" s="12" t="s">
        <v>9</v>
      </c>
      <c r="L318" s="24">
        <v>0</v>
      </c>
      <c r="M318" s="24">
        <v>0</v>
      </c>
      <c r="N318" s="24">
        <v>0</v>
      </c>
      <c r="O318" s="24">
        <v>0</v>
      </c>
    </row>
    <row r="319" spans="1:15" x14ac:dyDescent="0.2">
      <c r="A319" s="96"/>
      <c r="B319" s="101"/>
      <c r="C319" s="97"/>
      <c r="D319" s="111"/>
      <c r="E319" s="97"/>
      <c r="F319" s="97"/>
      <c r="G319" s="97"/>
      <c r="H319" s="97"/>
      <c r="I319" s="97"/>
      <c r="J319" s="97"/>
      <c r="K319" s="12" t="s">
        <v>10</v>
      </c>
      <c r="L319" s="24">
        <v>0</v>
      </c>
      <c r="M319" s="24">
        <v>0</v>
      </c>
      <c r="N319" s="24">
        <v>0</v>
      </c>
      <c r="O319" s="24">
        <v>0</v>
      </c>
    </row>
    <row r="320" spans="1:15" x14ac:dyDescent="0.2">
      <c r="A320" s="96"/>
      <c r="B320" s="101"/>
      <c r="C320" s="97"/>
      <c r="D320" s="111"/>
      <c r="E320" s="97"/>
      <c r="F320" s="97"/>
      <c r="G320" s="97"/>
      <c r="H320" s="97"/>
      <c r="I320" s="97"/>
      <c r="J320" s="97"/>
      <c r="K320" s="12" t="s">
        <v>11</v>
      </c>
      <c r="L320" s="24">
        <v>0</v>
      </c>
      <c r="M320" s="24">
        <v>0</v>
      </c>
      <c r="N320" s="24">
        <v>0</v>
      </c>
      <c r="O320" s="24">
        <v>0</v>
      </c>
    </row>
    <row r="321" spans="1:15" x14ac:dyDescent="0.2">
      <c r="A321" s="96"/>
      <c r="B321" s="101"/>
      <c r="C321" s="97"/>
      <c r="D321" s="111"/>
      <c r="E321" s="97"/>
      <c r="F321" s="97"/>
      <c r="G321" s="97"/>
      <c r="H321" s="97"/>
      <c r="I321" s="97"/>
      <c r="J321" s="97"/>
      <c r="K321" s="12" t="s">
        <v>12</v>
      </c>
      <c r="L321" s="24">
        <v>0</v>
      </c>
      <c r="M321" s="24">
        <v>0</v>
      </c>
      <c r="N321" s="24">
        <v>0</v>
      </c>
      <c r="O321" s="24">
        <v>0</v>
      </c>
    </row>
    <row r="322" spans="1:15" x14ac:dyDescent="0.2">
      <c r="A322" s="96"/>
      <c r="B322" s="101"/>
      <c r="C322" s="97"/>
      <c r="D322" s="111"/>
      <c r="E322" s="97"/>
      <c r="F322" s="97"/>
      <c r="G322" s="97"/>
      <c r="H322" s="97"/>
      <c r="I322" s="97"/>
      <c r="J322" s="97"/>
      <c r="K322" s="12" t="s">
        <v>13</v>
      </c>
      <c r="L322" s="24">
        <v>0</v>
      </c>
      <c r="M322" s="24">
        <v>0</v>
      </c>
      <c r="N322" s="24">
        <v>0</v>
      </c>
      <c r="O322" s="24">
        <v>0</v>
      </c>
    </row>
    <row r="323" spans="1:15" x14ac:dyDescent="0.2">
      <c r="A323" s="96"/>
      <c r="B323" s="101"/>
      <c r="C323" s="97"/>
      <c r="D323" s="111"/>
      <c r="E323" s="97"/>
      <c r="F323" s="97"/>
      <c r="G323" s="97"/>
      <c r="H323" s="97"/>
      <c r="I323" s="97"/>
      <c r="J323" s="97"/>
      <c r="K323" s="12" t="s">
        <v>14</v>
      </c>
      <c r="L323" s="24">
        <v>0</v>
      </c>
      <c r="M323" s="24">
        <v>0</v>
      </c>
      <c r="N323" s="24">
        <v>0</v>
      </c>
      <c r="O323" s="24">
        <v>0</v>
      </c>
    </row>
    <row r="324" spans="1:15" x14ac:dyDescent="0.2">
      <c r="A324" s="96"/>
      <c r="B324" s="101"/>
      <c r="C324" s="97"/>
      <c r="D324" s="111"/>
      <c r="E324" s="97"/>
      <c r="F324" s="97"/>
      <c r="G324" s="97"/>
      <c r="H324" s="97"/>
      <c r="I324" s="97"/>
      <c r="J324" s="97"/>
      <c r="K324" s="12" t="s">
        <v>15</v>
      </c>
      <c r="L324" s="24">
        <v>0</v>
      </c>
      <c r="M324" s="24">
        <v>0</v>
      </c>
      <c r="N324" s="24">
        <v>0</v>
      </c>
      <c r="O324" s="24">
        <v>0</v>
      </c>
    </row>
    <row r="325" spans="1:15" x14ac:dyDescent="0.2">
      <c r="A325" s="96"/>
      <c r="B325" s="101"/>
      <c r="C325" s="97"/>
      <c r="D325" s="111"/>
      <c r="E325" s="97"/>
      <c r="F325" s="97"/>
      <c r="G325" s="97"/>
      <c r="H325" s="97"/>
      <c r="I325" s="97"/>
      <c r="J325" s="97"/>
      <c r="K325" s="12" t="s">
        <v>16</v>
      </c>
      <c r="L325" s="24">
        <v>0</v>
      </c>
      <c r="M325" s="24">
        <v>0</v>
      </c>
      <c r="N325" s="24">
        <v>0</v>
      </c>
      <c r="O325" s="24">
        <v>0</v>
      </c>
    </row>
    <row r="326" spans="1:15" x14ac:dyDescent="0.2">
      <c r="A326" s="96"/>
      <c r="B326" s="101"/>
      <c r="C326" s="97"/>
      <c r="D326" s="111"/>
      <c r="E326" s="97"/>
      <c r="F326" s="97"/>
      <c r="G326" s="97"/>
      <c r="H326" s="97"/>
      <c r="I326" s="97"/>
      <c r="J326" s="97"/>
      <c r="K326" s="12" t="s">
        <v>17</v>
      </c>
      <c r="L326" s="24">
        <v>0</v>
      </c>
      <c r="M326" s="24">
        <v>0</v>
      </c>
      <c r="N326" s="24">
        <v>15</v>
      </c>
      <c r="O326" s="24">
        <v>0</v>
      </c>
    </row>
    <row r="327" spans="1:15" x14ac:dyDescent="0.2">
      <c r="A327" s="96"/>
      <c r="B327" s="101"/>
      <c r="C327" s="97"/>
      <c r="D327" s="111"/>
      <c r="E327" s="97"/>
      <c r="F327" s="97"/>
      <c r="G327" s="97"/>
      <c r="H327" s="97"/>
      <c r="I327" s="97"/>
      <c r="J327" s="97"/>
      <c r="K327" s="12" t="s">
        <v>18</v>
      </c>
      <c r="L327" s="24">
        <v>0</v>
      </c>
      <c r="M327" s="24">
        <v>0</v>
      </c>
      <c r="N327" s="24">
        <v>0</v>
      </c>
      <c r="O327" s="24">
        <v>0</v>
      </c>
    </row>
    <row r="328" spans="1:15" x14ac:dyDescent="0.2">
      <c r="A328" s="96"/>
      <c r="B328" s="101"/>
      <c r="C328" s="97"/>
      <c r="D328" s="111"/>
      <c r="E328" s="97"/>
      <c r="F328" s="97"/>
      <c r="G328" s="97"/>
      <c r="H328" s="97"/>
      <c r="I328" s="97"/>
      <c r="J328" s="97"/>
      <c r="K328" s="12" t="s">
        <v>0</v>
      </c>
      <c r="L328" s="19">
        <f>SUM(L316:L327)</f>
        <v>0</v>
      </c>
      <c r="M328" s="19">
        <f t="shared" ref="M328" si="66">SUM(M316:M327)</f>
        <v>0</v>
      </c>
      <c r="N328" s="19">
        <f t="shared" ref="N328" si="67">SUM(N316:N327)</f>
        <v>15</v>
      </c>
      <c r="O328" s="19">
        <f t="shared" ref="O328" si="68">SUM(O316:O327)</f>
        <v>0</v>
      </c>
    </row>
    <row r="329" spans="1:15" x14ac:dyDescent="0.2">
      <c r="A329" s="96"/>
      <c r="B329" s="101" t="s">
        <v>36</v>
      </c>
      <c r="C329" s="97" t="s">
        <v>135</v>
      </c>
      <c r="D329" s="111" t="s">
        <v>135</v>
      </c>
      <c r="E329" s="97"/>
      <c r="F329" s="97" t="s">
        <v>82</v>
      </c>
      <c r="G329" s="97" t="s">
        <v>94</v>
      </c>
      <c r="H329" s="97"/>
      <c r="I329" s="97"/>
      <c r="J329" s="97"/>
      <c r="K329" s="12" t="s">
        <v>7</v>
      </c>
      <c r="L329" s="24">
        <v>0</v>
      </c>
      <c r="M329" s="24">
        <v>0</v>
      </c>
      <c r="N329" s="24">
        <v>0</v>
      </c>
      <c r="O329" s="24">
        <v>0</v>
      </c>
    </row>
    <row r="330" spans="1:15" x14ac:dyDescent="0.2">
      <c r="A330" s="96"/>
      <c r="B330" s="101"/>
      <c r="C330" s="97"/>
      <c r="D330" s="111"/>
      <c r="E330" s="97"/>
      <c r="F330" s="97"/>
      <c r="G330" s="97"/>
      <c r="H330" s="97"/>
      <c r="I330" s="97"/>
      <c r="J330" s="97"/>
      <c r="K330" s="12" t="s">
        <v>8</v>
      </c>
      <c r="L330" s="24">
        <v>0</v>
      </c>
      <c r="M330" s="24">
        <v>0</v>
      </c>
      <c r="N330" s="24">
        <v>0</v>
      </c>
      <c r="O330" s="24">
        <v>0</v>
      </c>
    </row>
    <row r="331" spans="1:15" x14ac:dyDescent="0.2">
      <c r="A331" s="96"/>
      <c r="B331" s="101"/>
      <c r="C331" s="97"/>
      <c r="D331" s="111"/>
      <c r="E331" s="97"/>
      <c r="F331" s="97"/>
      <c r="G331" s="97"/>
      <c r="H331" s="97"/>
      <c r="I331" s="97"/>
      <c r="J331" s="97"/>
      <c r="K331" s="12" t="s">
        <v>9</v>
      </c>
      <c r="L331" s="24">
        <v>0</v>
      </c>
      <c r="M331" s="24">
        <v>0</v>
      </c>
      <c r="N331" s="24">
        <v>0</v>
      </c>
      <c r="O331" s="24">
        <v>0</v>
      </c>
    </row>
    <row r="332" spans="1:15" x14ac:dyDescent="0.2">
      <c r="A332" s="96"/>
      <c r="B332" s="101"/>
      <c r="C332" s="97"/>
      <c r="D332" s="111"/>
      <c r="E332" s="97"/>
      <c r="F332" s="97"/>
      <c r="G332" s="97"/>
      <c r="H332" s="97"/>
      <c r="I332" s="97"/>
      <c r="J332" s="97"/>
      <c r="K332" s="12" t="s">
        <v>10</v>
      </c>
      <c r="L332" s="24">
        <v>0</v>
      </c>
      <c r="M332" s="24">
        <v>0</v>
      </c>
      <c r="N332" s="24">
        <v>0</v>
      </c>
      <c r="O332" s="24">
        <v>0</v>
      </c>
    </row>
    <row r="333" spans="1:15" x14ac:dyDescent="0.2">
      <c r="A333" s="96"/>
      <c r="B333" s="101"/>
      <c r="C333" s="97"/>
      <c r="D333" s="111"/>
      <c r="E333" s="97"/>
      <c r="F333" s="97"/>
      <c r="G333" s="97"/>
      <c r="H333" s="97"/>
      <c r="I333" s="97"/>
      <c r="J333" s="97"/>
      <c r="K333" s="12" t="s">
        <v>11</v>
      </c>
      <c r="L333" s="24">
        <v>0</v>
      </c>
      <c r="M333" s="24">
        <v>0</v>
      </c>
      <c r="N333" s="24">
        <v>0</v>
      </c>
      <c r="O333" s="24">
        <v>0</v>
      </c>
    </row>
    <row r="334" spans="1:15" x14ac:dyDescent="0.2">
      <c r="A334" s="96"/>
      <c r="B334" s="101"/>
      <c r="C334" s="97"/>
      <c r="D334" s="111"/>
      <c r="E334" s="97"/>
      <c r="F334" s="97"/>
      <c r="G334" s="97"/>
      <c r="H334" s="97"/>
      <c r="I334" s="97"/>
      <c r="J334" s="97"/>
      <c r="K334" s="12" t="s">
        <v>12</v>
      </c>
      <c r="L334" s="24">
        <v>0</v>
      </c>
      <c r="M334" s="24">
        <v>0</v>
      </c>
      <c r="N334" s="24">
        <v>0</v>
      </c>
      <c r="O334" s="24">
        <v>0</v>
      </c>
    </row>
    <row r="335" spans="1:15" x14ac:dyDescent="0.2">
      <c r="A335" s="96"/>
      <c r="B335" s="101"/>
      <c r="C335" s="97"/>
      <c r="D335" s="111"/>
      <c r="E335" s="97"/>
      <c r="F335" s="97"/>
      <c r="G335" s="97"/>
      <c r="H335" s="97"/>
      <c r="I335" s="97"/>
      <c r="J335" s="97"/>
      <c r="K335" s="12" t="s">
        <v>13</v>
      </c>
      <c r="L335" s="24">
        <v>0</v>
      </c>
      <c r="M335" s="24">
        <v>0</v>
      </c>
      <c r="N335" s="24">
        <v>0</v>
      </c>
      <c r="O335" s="24">
        <v>0</v>
      </c>
    </row>
    <row r="336" spans="1:15" x14ac:dyDescent="0.2">
      <c r="A336" s="96"/>
      <c r="B336" s="101"/>
      <c r="C336" s="97"/>
      <c r="D336" s="111"/>
      <c r="E336" s="97"/>
      <c r="F336" s="97"/>
      <c r="G336" s="97"/>
      <c r="H336" s="97"/>
      <c r="I336" s="97"/>
      <c r="J336" s="97"/>
      <c r="K336" s="12" t="s">
        <v>14</v>
      </c>
      <c r="L336" s="24">
        <v>0</v>
      </c>
      <c r="M336" s="24">
        <v>0</v>
      </c>
      <c r="N336" s="24">
        <v>0</v>
      </c>
      <c r="O336" s="24">
        <v>0</v>
      </c>
    </row>
    <row r="337" spans="1:15" x14ac:dyDescent="0.2">
      <c r="A337" s="96"/>
      <c r="B337" s="101"/>
      <c r="C337" s="97"/>
      <c r="D337" s="111"/>
      <c r="E337" s="97"/>
      <c r="F337" s="97"/>
      <c r="G337" s="97"/>
      <c r="H337" s="97"/>
      <c r="I337" s="97"/>
      <c r="J337" s="97"/>
      <c r="K337" s="12" t="s">
        <v>15</v>
      </c>
      <c r="L337" s="24">
        <v>0</v>
      </c>
      <c r="M337" s="24">
        <v>0</v>
      </c>
      <c r="N337" s="24">
        <v>0</v>
      </c>
      <c r="O337" s="24">
        <v>0</v>
      </c>
    </row>
    <row r="338" spans="1:15" x14ac:dyDescent="0.2">
      <c r="A338" s="96"/>
      <c r="B338" s="101"/>
      <c r="C338" s="97"/>
      <c r="D338" s="111"/>
      <c r="E338" s="97"/>
      <c r="F338" s="97"/>
      <c r="G338" s="97"/>
      <c r="H338" s="97"/>
      <c r="I338" s="97"/>
      <c r="J338" s="97"/>
      <c r="K338" s="12" t="s">
        <v>16</v>
      </c>
      <c r="L338" s="24">
        <v>0</v>
      </c>
      <c r="M338" s="24">
        <v>0</v>
      </c>
      <c r="N338" s="24">
        <v>0</v>
      </c>
      <c r="O338" s="24">
        <v>0</v>
      </c>
    </row>
    <row r="339" spans="1:15" x14ac:dyDescent="0.2">
      <c r="A339" s="96"/>
      <c r="B339" s="101"/>
      <c r="C339" s="97"/>
      <c r="D339" s="111"/>
      <c r="E339" s="97"/>
      <c r="F339" s="97"/>
      <c r="G339" s="97"/>
      <c r="H339" s="97"/>
      <c r="I339" s="97"/>
      <c r="J339" s="97"/>
      <c r="K339" s="12" t="s">
        <v>17</v>
      </c>
      <c r="L339" s="24">
        <v>0</v>
      </c>
      <c r="M339" s="24">
        <v>0</v>
      </c>
      <c r="N339" s="24">
        <v>0</v>
      </c>
      <c r="O339" s="24">
        <v>0</v>
      </c>
    </row>
    <row r="340" spans="1:15" x14ac:dyDescent="0.2">
      <c r="A340" s="96"/>
      <c r="B340" s="101"/>
      <c r="C340" s="97"/>
      <c r="D340" s="111"/>
      <c r="E340" s="97"/>
      <c r="F340" s="97"/>
      <c r="G340" s="97"/>
      <c r="H340" s="97"/>
      <c r="I340" s="97"/>
      <c r="J340" s="97"/>
      <c r="K340" s="12" t="s">
        <v>18</v>
      </c>
      <c r="L340" s="24">
        <v>0</v>
      </c>
      <c r="M340" s="24">
        <v>0</v>
      </c>
      <c r="N340" s="24">
        <v>0</v>
      </c>
      <c r="O340" s="24">
        <v>0</v>
      </c>
    </row>
    <row r="341" spans="1:15" x14ac:dyDescent="0.2">
      <c r="A341" s="96"/>
      <c r="B341" s="101"/>
      <c r="C341" s="97"/>
      <c r="D341" s="111"/>
      <c r="E341" s="97"/>
      <c r="F341" s="97"/>
      <c r="G341" s="97"/>
      <c r="H341" s="97"/>
      <c r="I341" s="97"/>
      <c r="J341" s="97"/>
      <c r="K341" s="12" t="s">
        <v>0</v>
      </c>
      <c r="L341" s="19">
        <f>SUM(L329:L340)</f>
        <v>0</v>
      </c>
      <c r="M341" s="19">
        <f t="shared" ref="M341" si="69">SUM(M329:M340)</f>
        <v>0</v>
      </c>
      <c r="N341" s="19">
        <f t="shared" ref="N341" si="70">SUM(N329:N340)</f>
        <v>0</v>
      </c>
      <c r="O341" s="19">
        <f t="shared" ref="O341" si="71">SUM(O329:O340)</f>
        <v>0</v>
      </c>
    </row>
    <row r="342" spans="1:15" x14ac:dyDescent="0.2">
      <c r="A342" s="96"/>
      <c r="B342" s="101" t="s">
        <v>36</v>
      </c>
      <c r="C342" s="97" t="s">
        <v>192</v>
      </c>
      <c r="D342" s="111" t="s">
        <v>135</v>
      </c>
      <c r="E342" s="97"/>
      <c r="F342" s="97" t="s">
        <v>82</v>
      </c>
      <c r="G342" s="97" t="s">
        <v>94</v>
      </c>
      <c r="H342" s="97"/>
      <c r="I342" s="97"/>
      <c r="J342" s="97"/>
      <c r="K342" s="12" t="s">
        <v>7</v>
      </c>
      <c r="L342" s="24">
        <v>0</v>
      </c>
      <c r="M342" s="24">
        <v>0</v>
      </c>
      <c r="N342" s="24">
        <v>0</v>
      </c>
      <c r="O342" s="24">
        <v>0</v>
      </c>
    </row>
    <row r="343" spans="1:15" x14ac:dyDescent="0.2">
      <c r="A343" s="96"/>
      <c r="B343" s="101"/>
      <c r="C343" s="97"/>
      <c r="D343" s="111"/>
      <c r="E343" s="97"/>
      <c r="F343" s="97"/>
      <c r="G343" s="97"/>
      <c r="H343" s="97"/>
      <c r="I343" s="97"/>
      <c r="J343" s="97"/>
      <c r="K343" s="12" t="s">
        <v>8</v>
      </c>
      <c r="L343" s="24">
        <v>0</v>
      </c>
      <c r="M343" s="24">
        <v>0</v>
      </c>
      <c r="N343" s="24">
        <v>0</v>
      </c>
      <c r="O343" s="24">
        <v>0</v>
      </c>
    </row>
    <row r="344" spans="1:15" x14ac:dyDescent="0.2">
      <c r="A344" s="96"/>
      <c r="B344" s="101"/>
      <c r="C344" s="97"/>
      <c r="D344" s="111"/>
      <c r="E344" s="97"/>
      <c r="F344" s="97"/>
      <c r="G344" s="97"/>
      <c r="H344" s="97"/>
      <c r="I344" s="97"/>
      <c r="J344" s="97"/>
      <c r="K344" s="12" t="s">
        <v>9</v>
      </c>
      <c r="L344" s="24">
        <v>0</v>
      </c>
      <c r="M344" s="24">
        <v>0</v>
      </c>
      <c r="N344" s="24">
        <v>0</v>
      </c>
      <c r="O344" s="24">
        <v>0</v>
      </c>
    </row>
    <row r="345" spans="1:15" x14ac:dyDescent="0.2">
      <c r="A345" s="96"/>
      <c r="B345" s="101"/>
      <c r="C345" s="97"/>
      <c r="D345" s="111"/>
      <c r="E345" s="97"/>
      <c r="F345" s="97"/>
      <c r="G345" s="97"/>
      <c r="H345" s="97"/>
      <c r="I345" s="97"/>
      <c r="J345" s="97"/>
      <c r="K345" s="12" t="s">
        <v>10</v>
      </c>
      <c r="L345" s="24">
        <v>0</v>
      </c>
      <c r="M345" s="24">
        <v>0</v>
      </c>
      <c r="N345" s="24">
        <v>0</v>
      </c>
      <c r="O345" s="24">
        <v>0</v>
      </c>
    </row>
    <row r="346" spans="1:15" x14ac:dyDescent="0.2">
      <c r="A346" s="96"/>
      <c r="B346" s="101"/>
      <c r="C346" s="97"/>
      <c r="D346" s="111"/>
      <c r="E346" s="97"/>
      <c r="F346" s="97"/>
      <c r="G346" s="97"/>
      <c r="H346" s="97"/>
      <c r="I346" s="97"/>
      <c r="J346" s="97"/>
      <c r="K346" s="12" t="s">
        <v>11</v>
      </c>
      <c r="L346" s="24">
        <v>0</v>
      </c>
      <c r="M346" s="24">
        <v>0</v>
      </c>
      <c r="N346" s="24">
        <v>0</v>
      </c>
      <c r="O346" s="24">
        <v>0</v>
      </c>
    </row>
    <row r="347" spans="1:15" x14ac:dyDescent="0.2">
      <c r="A347" s="96"/>
      <c r="B347" s="101"/>
      <c r="C347" s="97"/>
      <c r="D347" s="111"/>
      <c r="E347" s="97"/>
      <c r="F347" s="97"/>
      <c r="G347" s="97"/>
      <c r="H347" s="97"/>
      <c r="I347" s="97"/>
      <c r="J347" s="97"/>
      <c r="K347" s="12" t="s">
        <v>12</v>
      </c>
      <c r="L347" s="24">
        <v>0</v>
      </c>
      <c r="M347" s="24">
        <v>0</v>
      </c>
      <c r="N347" s="24">
        <v>0</v>
      </c>
      <c r="O347" s="24">
        <v>0</v>
      </c>
    </row>
    <row r="348" spans="1:15" x14ac:dyDescent="0.2">
      <c r="A348" s="96"/>
      <c r="B348" s="101"/>
      <c r="C348" s="97"/>
      <c r="D348" s="111"/>
      <c r="E348" s="97"/>
      <c r="F348" s="97"/>
      <c r="G348" s="97"/>
      <c r="H348" s="97"/>
      <c r="I348" s="97"/>
      <c r="J348" s="97"/>
      <c r="K348" s="12" t="s">
        <v>13</v>
      </c>
      <c r="L348" s="24">
        <v>0</v>
      </c>
      <c r="M348" s="24">
        <v>0</v>
      </c>
      <c r="N348" s="24">
        <v>0</v>
      </c>
      <c r="O348" s="24">
        <v>0</v>
      </c>
    </row>
    <row r="349" spans="1:15" x14ac:dyDescent="0.2">
      <c r="A349" s="96"/>
      <c r="B349" s="101"/>
      <c r="C349" s="97"/>
      <c r="D349" s="111"/>
      <c r="E349" s="97"/>
      <c r="F349" s="97"/>
      <c r="G349" s="97"/>
      <c r="H349" s="97"/>
      <c r="I349" s="97"/>
      <c r="J349" s="97"/>
      <c r="K349" s="12" t="s">
        <v>14</v>
      </c>
      <c r="L349" s="24">
        <v>0</v>
      </c>
      <c r="M349" s="24">
        <v>0</v>
      </c>
      <c r="N349" s="24">
        <v>0</v>
      </c>
      <c r="O349" s="24">
        <v>0</v>
      </c>
    </row>
    <row r="350" spans="1:15" x14ac:dyDescent="0.2">
      <c r="A350" s="96"/>
      <c r="B350" s="101"/>
      <c r="C350" s="97"/>
      <c r="D350" s="111"/>
      <c r="E350" s="97"/>
      <c r="F350" s="97"/>
      <c r="G350" s="97"/>
      <c r="H350" s="97"/>
      <c r="I350" s="97"/>
      <c r="J350" s="97"/>
      <c r="K350" s="12" t="s">
        <v>15</v>
      </c>
      <c r="L350" s="24">
        <v>0</v>
      </c>
      <c r="M350" s="24">
        <v>0</v>
      </c>
      <c r="N350" s="24">
        <v>0</v>
      </c>
      <c r="O350" s="24">
        <v>0</v>
      </c>
    </row>
    <row r="351" spans="1:15" x14ac:dyDescent="0.2">
      <c r="A351" s="96"/>
      <c r="B351" s="101"/>
      <c r="C351" s="97"/>
      <c r="D351" s="111"/>
      <c r="E351" s="97"/>
      <c r="F351" s="97"/>
      <c r="G351" s="97"/>
      <c r="H351" s="97"/>
      <c r="I351" s="97"/>
      <c r="J351" s="97"/>
      <c r="K351" s="12" t="s">
        <v>16</v>
      </c>
      <c r="L351" s="24">
        <v>0</v>
      </c>
      <c r="M351" s="24">
        <v>0</v>
      </c>
      <c r="N351" s="24">
        <v>0</v>
      </c>
      <c r="O351" s="24">
        <v>0</v>
      </c>
    </row>
    <row r="352" spans="1:15" x14ac:dyDescent="0.2">
      <c r="A352" s="96"/>
      <c r="B352" s="101"/>
      <c r="C352" s="97"/>
      <c r="D352" s="111"/>
      <c r="E352" s="97"/>
      <c r="F352" s="97"/>
      <c r="G352" s="97"/>
      <c r="H352" s="97"/>
      <c r="I352" s="97"/>
      <c r="J352" s="97"/>
      <c r="K352" s="12" t="s">
        <v>17</v>
      </c>
      <c r="L352" s="24">
        <v>0</v>
      </c>
      <c r="M352" s="24">
        <v>0</v>
      </c>
      <c r="N352" s="24">
        <v>0</v>
      </c>
      <c r="O352" s="24">
        <v>0</v>
      </c>
    </row>
    <row r="353" spans="1:15" x14ac:dyDescent="0.2">
      <c r="A353" s="96"/>
      <c r="B353" s="101"/>
      <c r="C353" s="97"/>
      <c r="D353" s="111"/>
      <c r="E353" s="97"/>
      <c r="F353" s="97"/>
      <c r="G353" s="97"/>
      <c r="H353" s="97"/>
      <c r="I353" s="97"/>
      <c r="J353" s="97"/>
      <c r="K353" s="12" t="s">
        <v>18</v>
      </c>
      <c r="L353" s="24">
        <v>0</v>
      </c>
      <c r="M353" s="24">
        <v>0</v>
      </c>
      <c r="N353" s="24">
        <v>0</v>
      </c>
      <c r="O353" s="24">
        <v>0</v>
      </c>
    </row>
    <row r="354" spans="1:15" x14ac:dyDescent="0.2">
      <c r="A354" s="96"/>
      <c r="B354" s="101"/>
      <c r="C354" s="97"/>
      <c r="D354" s="111"/>
      <c r="E354" s="97"/>
      <c r="F354" s="97"/>
      <c r="G354" s="97"/>
      <c r="H354" s="97"/>
      <c r="I354" s="97"/>
      <c r="J354" s="97"/>
      <c r="K354" s="12" t="s">
        <v>0</v>
      </c>
      <c r="L354" s="19">
        <f>SUM(L342:L353)</f>
        <v>0</v>
      </c>
      <c r="M354" s="19">
        <f t="shared" ref="M354" si="72">SUM(M342:M353)</f>
        <v>0</v>
      </c>
      <c r="N354" s="19">
        <f t="shared" ref="N354" si="73">SUM(N342:N353)</f>
        <v>0</v>
      </c>
      <c r="O354" s="19">
        <f t="shared" ref="O354" si="74">SUM(O342:O353)</f>
        <v>0</v>
      </c>
    </row>
    <row r="355" spans="1:15" x14ac:dyDescent="0.2">
      <c r="A355" s="96"/>
      <c r="B355" s="101" t="s">
        <v>36</v>
      </c>
      <c r="C355" s="97" t="s">
        <v>193</v>
      </c>
      <c r="D355" s="111" t="s">
        <v>136</v>
      </c>
      <c r="E355" s="97"/>
      <c r="F355" s="97" t="s">
        <v>82</v>
      </c>
      <c r="G355" s="97" t="s">
        <v>94</v>
      </c>
      <c r="H355" s="97"/>
      <c r="I355" s="97"/>
      <c r="J355" s="97"/>
      <c r="K355" s="12" t="s">
        <v>7</v>
      </c>
      <c r="L355" s="24">
        <v>0</v>
      </c>
      <c r="M355" s="24">
        <v>0</v>
      </c>
      <c r="N355" s="24">
        <v>0</v>
      </c>
      <c r="O355" s="24">
        <v>0</v>
      </c>
    </row>
    <row r="356" spans="1:15" x14ac:dyDescent="0.2">
      <c r="A356" s="96"/>
      <c r="B356" s="101"/>
      <c r="C356" s="97"/>
      <c r="D356" s="111"/>
      <c r="E356" s="97"/>
      <c r="F356" s="97"/>
      <c r="G356" s="97"/>
      <c r="H356" s="97"/>
      <c r="I356" s="97"/>
      <c r="J356" s="97"/>
      <c r="K356" s="12" t="s">
        <v>8</v>
      </c>
      <c r="L356" s="24">
        <v>0</v>
      </c>
      <c r="M356" s="24">
        <v>0</v>
      </c>
      <c r="N356" s="24">
        <v>0</v>
      </c>
      <c r="O356" s="24">
        <v>0</v>
      </c>
    </row>
    <row r="357" spans="1:15" x14ac:dyDescent="0.2">
      <c r="A357" s="96"/>
      <c r="B357" s="101"/>
      <c r="C357" s="97"/>
      <c r="D357" s="111"/>
      <c r="E357" s="97"/>
      <c r="F357" s="97"/>
      <c r="G357" s="97"/>
      <c r="H357" s="97"/>
      <c r="I357" s="97"/>
      <c r="J357" s="97"/>
      <c r="K357" s="12" t="s">
        <v>9</v>
      </c>
      <c r="L357" s="24">
        <v>0</v>
      </c>
      <c r="M357" s="24">
        <v>0</v>
      </c>
      <c r="N357" s="24">
        <v>0</v>
      </c>
      <c r="O357" s="24">
        <v>0</v>
      </c>
    </row>
    <row r="358" spans="1:15" x14ac:dyDescent="0.2">
      <c r="A358" s="96"/>
      <c r="B358" s="101"/>
      <c r="C358" s="97"/>
      <c r="D358" s="111"/>
      <c r="E358" s="97"/>
      <c r="F358" s="97"/>
      <c r="G358" s="97"/>
      <c r="H358" s="97"/>
      <c r="I358" s="97"/>
      <c r="J358" s="97"/>
      <c r="K358" s="12" t="s">
        <v>10</v>
      </c>
      <c r="L358" s="24">
        <v>0</v>
      </c>
      <c r="M358" s="24">
        <v>0</v>
      </c>
      <c r="N358" s="24">
        <v>0</v>
      </c>
      <c r="O358" s="24">
        <v>0</v>
      </c>
    </row>
    <row r="359" spans="1:15" x14ac:dyDescent="0.2">
      <c r="A359" s="96"/>
      <c r="B359" s="101"/>
      <c r="C359" s="97"/>
      <c r="D359" s="111"/>
      <c r="E359" s="97"/>
      <c r="F359" s="97"/>
      <c r="G359" s="97"/>
      <c r="H359" s="97"/>
      <c r="I359" s="97"/>
      <c r="J359" s="97"/>
      <c r="K359" s="12" t="s">
        <v>11</v>
      </c>
      <c r="L359" s="24">
        <v>0</v>
      </c>
      <c r="M359" s="24">
        <v>0</v>
      </c>
      <c r="N359" s="24">
        <v>0</v>
      </c>
      <c r="O359" s="24">
        <v>0</v>
      </c>
    </row>
    <row r="360" spans="1:15" x14ac:dyDescent="0.2">
      <c r="A360" s="96"/>
      <c r="B360" s="101"/>
      <c r="C360" s="97"/>
      <c r="D360" s="111"/>
      <c r="E360" s="97"/>
      <c r="F360" s="97"/>
      <c r="G360" s="97"/>
      <c r="H360" s="97"/>
      <c r="I360" s="97"/>
      <c r="J360" s="97"/>
      <c r="K360" s="12" t="s">
        <v>12</v>
      </c>
      <c r="L360" s="24">
        <v>0</v>
      </c>
      <c r="M360" s="24">
        <v>0</v>
      </c>
      <c r="N360" s="24">
        <v>0</v>
      </c>
      <c r="O360" s="24">
        <v>0</v>
      </c>
    </row>
    <row r="361" spans="1:15" x14ac:dyDescent="0.2">
      <c r="A361" s="96"/>
      <c r="B361" s="101"/>
      <c r="C361" s="97"/>
      <c r="D361" s="111"/>
      <c r="E361" s="97"/>
      <c r="F361" s="97"/>
      <c r="G361" s="97"/>
      <c r="H361" s="97"/>
      <c r="I361" s="97"/>
      <c r="J361" s="97"/>
      <c r="K361" s="12" t="s">
        <v>13</v>
      </c>
      <c r="L361" s="24">
        <v>0</v>
      </c>
      <c r="M361" s="24">
        <v>0</v>
      </c>
      <c r="N361" s="24">
        <v>0</v>
      </c>
      <c r="O361" s="24">
        <v>0</v>
      </c>
    </row>
    <row r="362" spans="1:15" x14ac:dyDescent="0.2">
      <c r="A362" s="96"/>
      <c r="B362" s="101"/>
      <c r="C362" s="97"/>
      <c r="D362" s="111"/>
      <c r="E362" s="97"/>
      <c r="F362" s="97"/>
      <c r="G362" s="97"/>
      <c r="H362" s="97"/>
      <c r="I362" s="97"/>
      <c r="J362" s="97"/>
      <c r="K362" s="12" t="s">
        <v>14</v>
      </c>
      <c r="L362" s="24">
        <v>0</v>
      </c>
      <c r="M362" s="24">
        <v>0</v>
      </c>
      <c r="N362" s="24">
        <v>0</v>
      </c>
      <c r="O362" s="24">
        <v>0</v>
      </c>
    </row>
    <row r="363" spans="1:15" x14ac:dyDescent="0.2">
      <c r="A363" s="96"/>
      <c r="B363" s="101"/>
      <c r="C363" s="97"/>
      <c r="D363" s="111"/>
      <c r="E363" s="97"/>
      <c r="F363" s="97"/>
      <c r="G363" s="97"/>
      <c r="H363" s="97"/>
      <c r="I363" s="97"/>
      <c r="J363" s="97"/>
      <c r="K363" s="12" t="s">
        <v>15</v>
      </c>
      <c r="L363" s="24">
        <v>0</v>
      </c>
      <c r="M363" s="24">
        <v>0</v>
      </c>
      <c r="N363" s="24">
        <v>0</v>
      </c>
      <c r="O363" s="24">
        <v>0</v>
      </c>
    </row>
    <row r="364" spans="1:15" x14ac:dyDescent="0.2">
      <c r="A364" s="96"/>
      <c r="B364" s="101"/>
      <c r="C364" s="97"/>
      <c r="D364" s="111"/>
      <c r="E364" s="97"/>
      <c r="F364" s="97"/>
      <c r="G364" s="97"/>
      <c r="H364" s="97"/>
      <c r="I364" s="97"/>
      <c r="J364" s="97"/>
      <c r="K364" s="12" t="s">
        <v>16</v>
      </c>
      <c r="L364" s="24">
        <v>0</v>
      </c>
      <c r="M364" s="24">
        <v>0</v>
      </c>
      <c r="N364" s="24">
        <v>0</v>
      </c>
      <c r="O364" s="24">
        <v>0</v>
      </c>
    </row>
    <row r="365" spans="1:15" x14ac:dyDescent="0.2">
      <c r="A365" s="96"/>
      <c r="B365" s="101"/>
      <c r="C365" s="97"/>
      <c r="D365" s="111"/>
      <c r="E365" s="97"/>
      <c r="F365" s="97"/>
      <c r="G365" s="97"/>
      <c r="H365" s="97"/>
      <c r="I365" s="97"/>
      <c r="J365" s="97"/>
      <c r="K365" s="12" t="s">
        <v>17</v>
      </c>
      <c r="L365" s="24">
        <v>0</v>
      </c>
      <c r="M365" s="24">
        <v>0</v>
      </c>
      <c r="N365" s="24">
        <v>0</v>
      </c>
      <c r="O365" s="24">
        <v>0</v>
      </c>
    </row>
    <row r="366" spans="1:15" x14ac:dyDescent="0.2">
      <c r="A366" s="96"/>
      <c r="B366" s="101"/>
      <c r="C366" s="97"/>
      <c r="D366" s="111"/>
      <c r="E366" s="97"/>
      <c r="F366" s="97"/>
      <c r="G366" s="97"/>
      <c r="H366" s="97"/>
      <c r="I366" s="97"/>
      <c r="J366" s="97"/>
      <c r="K366" s="12" t="s">
        <v>18</v>
      </c>
      <c r="L366" s="24">
        <v>0</v>
      </c>
      <c r="M366" s="24">
        <v>0</v>
      </c>
      <c r="N366" s="24">
        <v>0</v>
      </c>
      <c r="O366" s="24">
        <v>0</v>
      </c>
    </row>
    <row r="367" spans="1:15" x14ac:dyDescent="0.2">
      <c r="A367" s="96"/>
      <c r="B367" s="101"/>
      <c r="C367" s="97"/>
      <c r="D367" s="111"/>
      <c r="E367" s="97"/>
      <c r="F367" s="97"/>
      <c r="G367" s="97"/>
      <c r="H367" s="97"/>
      <c r="I367" s="97"/>
      <c r="J367" s="97"/>
      <c r="K367" s="12" t="s">
        <v>0</v>
      </c>
      <c r="L367" s="19">
        <f>SUM(L355:L366)</f>
        <v>0</v>
      </c>
      <c r="M367" s="19">
        <f t="shared" ref="M367" si="75">SUM(M355:M366)</f>
        <v>0</v>
      </c>
      <c r="N367" s="19">
        <f t="shared" ref="N367" si="76">SUM(N355:N366)</f>
        <v>0</v>
      </c>
      <c r="O367" s="19">
        <f t="shared" ref="O367" si="77">SUM(O355:O366)</f>
        <v>0</v>
      </c>
    </row>
  </sheetData>
  <sheetProtection password="C64B" sheet="1" objects="1" scenarios="1"/>
  <mergeCells count="259">
    <mergeCell ref="I212:I224"/>
    <mergeCell ref="J212:J224"/>
    <mergeCell ref="B212:B224"/>
    <mergeCell ref="J355:J367"/>
    <mergeCell ref="B355:B367"/>
    <mergeCell ref="C355:C367"/>
    <mergeCell ref="D355:D367"/>
    <mergeCell ref="E355:E367"/>
    <mergeCell ref="F355:F367"/>
    <mergeCell ref="G355:G367"/>
    <mergeCell ref="H355:H367"/>
    <mergeCell ref="I355:I367"/>
    <mergeCell ref="B342:B354"/>
    <mergeCell ref="C342:C354"/>
    <mergeCell ref="D342:D354"/>
    <mergeCell ref="E342:E354"/>
    <mergeCell ref="F342:F354"/>
    <mergeCell ref="G342:G354"/>
    <mergeCell ref="H342:H354"/>
    <mergeCell ref="I342:I354"/>
    <mergeCell ref="J342:J354"/>
    <mergeCell ref="C329:C341"/>
    <mergeCell ref="D329:D341"/>
    <mergeCell ref="E329:E341"/>
    <mergeCell ref="F329:F341"/>
    <mergeCell ref="G329:G341"/>
    <mergeCell ref="H329:H341"/>
    <mergeCell ref="I329:I341"/>
    <mergeCell ref="J329:J341"/>
    <mergeCell ref="B329:B341"/>
    <mergeCell ref="B316:B328"/>
    <mergeCell ref="C316:C328"/>
    <mergeCell ref="D316:D328"/>
    <mergeCell ref="E316:E328"/>
    <mergeCell ref="F316:F328"/>
    <mergeCell ref="G316:G328"/>
    <mergeCell ref="H316:H328"/>
    <mergeCell ref="I316:I328"/>
    <mergeCell ref="J316:J328"/>
    <mergeCell ref="B303:B315"/>
    <mergeCell ref="C303:C315"/>
    <mergeCell ref="D303:D315"/>
    <mergeCell ref="E303:E315"/>
    <mergeCell ref="F303:F315"/>
    <mergeCell ref="G303:G315"/>
    <mergeCell ref="H303:H315"/>
    <mergeCell ref="I303:I315"/>
    <mergeCell ref="J303:J315"/>
    <mergeCell ref="B290:B302"/>
    <mergeCell ref="C290:C302"/>
    <mergeCell ref="D290:D302"/>
    <mergeCell ref="E290:E302"/>
    <mergeCell ref="F290:F302"/>
    <mergeCell ref="G290:G302"/>
    <mergeCell ref="H290:H302"/>
    <mergeCell ref="I290:I302"/>
    <mergeCell ref="J290:J302"/>
    <mergeCell ref="B277:B289"/>
    <mergeCell ref="C277:C289"/>
    <mergeCell ref="D277:D289"/>
    <mergeCell ref="E277:E289"/>
    <mergeCell ref="F277:F289"/>
    <mergeCell ref="G277:G289"/>
    <mergeCell ref="H277:H289"/>
    <mergeCell ref="I277:I289"/>
    <mergeCell ref="J277:J289"/>
    <mergeCell ref="B264:B276"/>
    <mergeCell ref="C264:C276"/>
    <mergeCell ref="D264:D276"/>
    <mergeCell ref="E264:E276"/>
    <mergeCell ref="F264:F276"/>
    <mergeCell ref="G264:G276"/>
    <mergeCell ref="H264:H276"/>
    <mergeCell ref="I264:I276"/>
    <mergeCell ref="J264:J276"/>
    <mergeCell ref="B251:B263"/>
    <mergeCell ref="C251:C263"/>
    <mergeCell ref="D251:D263"/>
    <mergeCell ref="E251:E263"/>
    <mergeCell ref="F251:F263"/>
    <mergeCell ref="G251:G263"/>
    <mergeCell ref="H251:H263"/>
    <mergeCell ref="I251:I263"/>
    <mergeCell ref="J251:J263"/>
    <mergeCell ref="B238:B250"/>
    <mergeCell ref="C238:C250"/>
    <mergeCell ref="D238:D250"/>
    <mergeCell ref="E238:E250"/>
    <mergeCell ref="F238:F250"/>
    <mergeCell ref="G238:G250"/>
    <mergeCell ref="H238:H250"/>
    <mergeCell ref="I238:I250"/>
    <mergeCell ref="J238:J250"/>
    <mergeCell ref="J186:J198"/>
    <mergeCell ref="B225:B237"/>
    <mergeCell ref="C225:C237"/>
    <mergeCell ref="D225:D237"/>
    <mergeCell ref="E225:E237"/>
    <mergeCell ref="F225:F237"/>
    <mergeCell ref="G225:G237"/>
    <mergeCell ref="H225:H237"/>
    <mergeCell ref="I225:I237"/>
    <mergeCell ref="J225:J237"/>
    <mergeCell ref="B199:B211"/>
    <mergeCell ref="C199:C211"/>
    <mergeCell ref="D199:D211"/>
    <mergeCell ref="E199:E211"/>
    <mergeCell ref="F199:F211"/>
    <mergeCell ref="G199:G211"/>
    <mergeCell ref="H199:H211"/>
    <mergeCell ref="I199:I211"/>
    <mergeCell ref="C212:C224"/>
    <mergeCell ref="D212:D224"/>
    <mergeCell ref="E212:E224"/>
    <mergeCell ref="F212:F224"/>
    <mergeCell ref="G212:G224"/>
    <mergeCell ref="H212:H224"/>
    <mergeCell ref="B173:B185"/>
    <mergeCell ref="B186:B198"/>
    <mergeCell ref="C186:C198"/>
    <mergeCell ref="D186:D198"/>
    <mergeCell ref="E186:E198"/>
    <mergeCell ref="F186:F198"/>
    <mergeCell ref="G186:G198"/>
    <mergeCell ref="H186:H198"/>
    <mergeCell ref="I186:I198"/>
    <mergeCell ref="B160:B172"/>
    <mergeCell ref="C160:C172"/>
    <mergeCell ref="D160:D172"/>
    <mergeCell ref="E160:E172"/>
    <mergeCell ref="F160:F172"/>
    <mergeCell ref="G160:G172"/>
    <mergeCell ref="H160:H172"/>
    <mergeCell ref="I160:I172"/>
    <mergeCell ref="J160:J172"/>
    <mergeCell ref="B147:B159"/>
    <mergeCell ref="C147:C159"/>
    <mergeCell ref="D147:D159"/>
    <mergeCell ref="E147:E159"/>
    <mergeCell ref="F147:F159"/>
    <mergeCell ref="G147:G159"/>
    <mergeCell ref="H147:H159"/>
    <mergeCell ref="I147:I159"/>
    <mergeCell ref="J147:J159"/>
    <mergeCell ref="B134:B146"/>
    <mergeCell ref="C134:C146"/>
    <mergeCell ref="D134:D146"/>
    <mergeCell ref="E134:E146"/>
    <mergeCell ref="F134:F146"/>
    <mergeCell ref="G134:G146"/>
    <mergeCell ref="H134:H146"/>
    <mergeCell ref="I134:I146"/>
    <mergeCell ref="J134:J146"/>
    <mergeCell ref="B121:B133"/>
    <mergeCell ref="C121:C133"/>
    <mergeCell ref="D121:D133"/>
    <mergeCell ref="E121:E133"/>
    <mergeCell ref="F121:F133"/>
    <mergeCell ref="G121:G133"/>
    <mergeCell ref="H121:H133"/>
    <mergeCell ref="I121:I133"/>
    <mergeCell ref="J121:J133"/>
    <mergeCell ref="B108:B120"/>
    <mergeCell ref="C108:C120"/>
    <mergeCell ref="D108:D120"/>
    <mergeCell ref="E108:E120"/>
    <mergeCell ref="F108:F120"/>
    <mergeCell ref="G108:G120"/>
    <mergeCell ref="H108:H120"/>
    <mergeCell ref="I108:I120"/>
    <mergeCell ref="J108:J120"/>
    <mergeCell ref="I69:I81"/>
    <mergeCell ref="J69:J81"/>
    <mergeCell ref="B95:B107"/>
    <mergeCell ref="C95:C107"/>
    <mergeCell ref="D95:D107"/>
    <mergeCell ref="E95:E107"/>
    <mergeCell ref="F95:F107"/>
    <mergeCell ref="G95:G107"/>
    <mergeCell ref="H95:H107"/>
    <mergeCell ref="I95:I107"/>
    <mergeCell ref="J95:J107"/>
    <mergeCell ref="B82:B94"/>
    <mergeCell ref="C82:C94"/>
    <mergeCell ref="D82:D94"/>
    <mergeCell ref="E82:E94"/>
    <mergeCell ref="F82:F94"/>
    <mergeCell ref="G82:G94"/>
    <mergeCell ref="H82:H94"/>
    <mergeCell ref="I82:I94"/>
    <mergeCell ref="J82:J94"/>
    <mergeCell ref="B69:B81"/>
    <mergeCell ref="B56:B68"/>
    <mergeCell ref="C56:C68"/>
    <mergeCell ref="D56:D68"/>
    <mergeCell ref="E56:E68"/>
    <mergeCell ref="F56:F68"/>
    <mergeCell ref="G56:G68"/>
    <mergeCell ref="H56:H68"/>
    <mergeCell ref="I56:I68"/>
    <mergeCell ref="J56:J68"/>
    <mergeCell ref="J43:J55"/>
    <mergeCell ref="B30:B42"/>
    <mergeCell ref="C30:C42"/>
    <mergeCell ref="D30:D42"/>
    <mergeCell ref="E30:E42"/>
    <mergeCell ref="F30:F42"/>
    <mergeCell ref="G30:G42"/>
    <mergeCell ref="H30:H42"/>
    <mergeCell ref="I30:I42"/>
    <mergeCell ref="J30:J42"/>
    <mergeCell ref="G4:G16"/>
    <mergeCell ref="N2:O2"/>
    <mergeCell ref="I4:I16"/>
    <mergeCell ref="P70:S70"/>
    <mergeCell ref="C69:C81"/>
    <mergeCell ref="D69:D81"/>
    <mergeCell ref="E69:E81"/>
    <mergeCell ref="J173:J185"/>
    <mergeCell ref="B17:B29"/>
    <mergeCell ref="C17:C29"/>
    <mergeCell ref="E17:E29"/>
    <mergeCell ref="F17:F29"/>
    <mergeCell ref="G17:G29"/>
    <mergeCell ref="H17:H29"/>
    <mergeCell ref="I17:I29"/>
    <mergeCell ref="J17:J29"/>
    <mergeCell ref="B43:B55"/>
    <mergeCell ref="C43:C55"/>
    <mergeCell ref="D43:D55"/>
    <mergeCell ref="E43:E55"/>
    <mergeCell ref="F43:F55"/>
    <mergeCell ref="G43:G55"/>
    <mergeCell ref="H43:H55"/>
    <mergeCell ref="I43:I55"/>
    <mergeCell ref="A2:A367"/>
    <mergeCell ref="J199:J211"/>
    <mergeCell ref="L2:M2"/>
    <mergeCell ref="B2:B3"/>
    <mergeCell ref="B1:O1"/>
    <mergeCell ref="B4:B16"/>
    <mergeCell ref="C2:K2"/>
    <mergeCell ref="C173:C185"/>
    <mergeCell ref="D173:D185"/>
    <mergeCell ref="E173:E185"/>
    <mergeCell ref="F173:F185"/>
    <mergeCell ref="G173:G185"/>
    <mergeCell ref="I173:I185"/>
    <mergeCell ref="H173:H185"/>
    <mergeCell ref="F4:F16"/>
    <mergeCell ref="D17:D29"/>
    <mergeCell ref="C4:C16"/>
    <mergeCell ref="D4:D16"/>
    <mergeCell ref="E4:E16"/>
    <mergeCell ref="H4:H16"/>
    <mergeCell ref="J4:J16"/>
    <mergeCell ref="F69:F81"/>
    <mergeCell ref="G69:G81"/>
    <mergeCell ref="H69:H81"/>
  </mergeCells>
  <phoneticPr fontId="0" type="noConversion"/>
  <printOptions horizontalCentered="1" verticalCentered="1"/>
  <pageMargins left="0.11811023622047245" right="0" top="0.11811023622047245" bottom="0.19685039370078741" header="0.51181102362204722" footer="0.19685039370078741"/>
  <pageSetup paperSize="9" scale="6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14E7-B4F9-4260-8B70-7DDFDA44C493}">
  <sheetPr>
    <tabColor rgb="FFFFFF00"/>
  </sheetPr>
  <dimension ref="A2:J71"/>
  <sheetViews>
    <sheetView tabSelected="1" zoomScale="80" zoomScaleNormal="80" workbookViewId="0">
      <pane ySplit="4" topLeftCell="A29" activePane="bottomLeft" state="frozen"/>
      <selection pane="bottomLeft" activeCell="G5" sqref="G5"/>
    </sheetView>
  </sheetViews>
  <sheetFormatPr defaultColWidth="8.85546875" defaultRowHeight="12.75" x14ac:dyDescent="0.2"/>
  <cols>
    <col min="1" max="1" width="25.42578125" style="55" customWidth="1"/>
    <col min="2" max="2" width="21.5703125" style="55" customWidth="1"/>
    <col min="3" max="4" width="36.42578125" style="55" customWidth="1"/>
    <col min="5" max="5" width="42.85546875" style="55" customWidth="1"/>
    <col min="6" max="6" width="7.42578125" style="77" customWidth="1"/>
    <col min="7" max="7" width="8.140625" style="56" customWidth="1"/>
    <col min="8" max="10" width="10.5703125" style="56" customWidth="1"/>
    <col min="11" max="16384" width="8.85546875" style="55"/>
  </cols>
  <sheetData>
    <row r="2" spans="1:10" ht="22.7" customHeight="1" x14ac:dyDescent="0.2">
      <c r="A2" s="124" t="s">
        <v>248</v>
      </c>
      <c r="B2" s="124"/>
      <c r="C2" s="124"/>
      <c r="D2" s="57"/>
      <c r="E2" s="57"/>
      <c r="F2" s="58"/>
      <c r="G2" s="58"/>
      <c r="H2" s="58"/>
      <c r="I2" s="58"/>
      <c r="J2" s="58"/>
    </row>
    <row r="3" spans="1:10" ht="24.6" customHeight="1" x14ac:dyDescent="0.2">
      <c r="A3" s="124" t="s">
        <v>249</v>
      </c>
      <c r="B3" s="124"/>
      <c r="C3" s="124"/>
      <c r="D3" s="57"/>
      <c r="E3" s="57"/>
      <c r="F3" s="58"/>
      <c r="G3" s="59" t="s">
        <v>258</v>
      </c>
      <c r="H3" s="121" t="s">
        <v>389</v>
      </c>
      <c r="I3" s="122"/>
      <c r="J3" s="123"/>
    </row>
    <row r="4" spans="1:10" ht="28.7" customHeight="1" x14ac:dyDescent="0.2">
      <c r="A4" s="58" t="s">
        <v>237</v>
      </c>
      <c r="B4" s="60" t="s">
        <v>242</v>
      </c>
      <c r="C4" s="58" t="s">
        <v>250</v>
      </c>
      <c r="D4" s="58" t="s">
        <v>365</v>
      </c>
      <c r="E4" s="58" t="s">
        <v>253</v>
      </c>
      <c r="F4" s="58" t="s">
        <v>4</v>
      </c>
      <c r="G4" s="58">
        <v>2025</v>
      </c>
      <c r="H4" s="58">
        <v>2026</v>
      </c>
      <c r="I4" s="58">
        <v>2027</v>
      </c>
      <c r="J4" s="58">
        <v>2028</v>
      </c>
    </row>
    <row r="5" spans="1:10" ht="17.45" customHeight="1" x14ac:dyDescent="0.2">
      <c r="A5" s="141" t="s">
        <v>280</v>
      </c>
      <c r="B5" s="137" t="s">
        <v>278</v>
      </c>
      <c r="C5" s="139" t="s">
        <v>279</v>
      </c>
      <c r="D5" s="118" t="s">
        <v>366</v>
      </c>
      <c r="E5" s="63" t="s">
        <v>263</v>
      </c>
      <c r="F5" s="84" t="s">
        <v>82</v>
      </c>
      <c r="G5" s="61">
        <v>1072</v>
      </c>
      <c r="H5" s="61"/>
      <c r="I5" s="61"/>
      <c r="J5" s="61"/>
    </row>
    <row r="6" spans="1:10" ht="14.45" customHeight="1" x14ac:dyDescent="0.2">
      <c r="A6" s="142"/>
      <c r="B6" s="137"/>
      <c r="C6" s="138"/>
      <c r="D6" s="119"/>
      <c r="E6" s="63" t="s">
        <v>245</v>
      </c>
      <c r="F6" s="84" t="s">
        <v>100</v>
      </c>
      <c r="G6" s="63"/>
      <c r="H6" s="61"/>
      <c r="I6" s="61"/>
      <c r="J6" s="61"/>
    </row>
    <row r="7" spans="1:10" ht="15.95" customHeight="1" x14ac:dyDescent="0.2">
      <c r="A7" s="142"/>
      <c r="B7" s="140"/>
      <c r="C7" s="138"/>
      <c r="D7" s="119"/>
      <c r="E7" s="63" t="s">
        <v>264</v>
      </c>
      <c r="F7" s="84" t="s">
        <v>82</v>
      </c>
      <c r="G7" s="63"/>
      <c r="H7" s="61"/>
      <c r="I7" s="61"/>
      <c r="J7" s="61"/>
    </row>
    <row r="8" spans="1:10" ht="56.1" customHeight="1" x14ac:dyDescent="0.2">
      <c r="A8" s="142"/>
      <c r="B8" s="140"/>
      <c r="C8" s="138"/>
      <c r="D8" s="120"/>
      <c r="E8" s="63" t="s">
        <v>257</v>
      </c>
      <c r="F8" s="84" t="s">
        <v>82</v>
      </c>
      <c r="G8" s="63"/>
      <c r="H8" s="61"/>
      <c r="I8" s="61"/>
      <c r="J8" s="61"/>
    </row>
    <row r="9" spans="1:10" x14ac:dyDescent="0.2">
      <c r="A9" s="142"/>
      <c r="B9" s="137" t="s">
        <v>281</v>
      </c>
      <c r="C9" s="116" t="s">
        <v>368</v>
      </c>
      <c r="D9" s="116" t="s">
        <v>367</v>
      </c>
      <c r="E9" s="116" t="s">
        <v>369</v>
      </c>
      <c r="F9" s="116"/>
      <c r="G9" s="116"/>
      <c r="H9" s="116"/>
      <c r="I9" s="116"/>
      <c r="J9" s="116"/>
    </row>
    <row r="10" spans="1:10" ht="44.45" customHeight="1" x14ac:dyDescent="0.2">
      <c r="A10" s="142"/>
      <c r="B10" s="138"/>
      <c r="C10" s="117"/>
      <c r="D10" s="117"/>
      <c r="E10" s="117"/>
      <c r="F10" s="117" t="s">
        <v>82</v>
      </c>
      <c r="G10" s="117"/>
      <c r="H10" s="117">
        <v>5</v>
      </c>
      <c r="I10" s="117">
        <v>10</v>
      </c>
      <c r="J10" s="117">
        <v>8</v>
      </c>
    </row>
    <row r="11" spans="1:10" ht="12.95" customHeight="1" x14ac:dyDescent="0.2">
      <c r="A11" s="142"/>
      <c r="B11" s="137" t="s">
        <v>282</v>
      </c>
      <c r="C11" s="116" t="s">
        <v>283</v>
      </c>
      <c r="D11" s="116" t="s">
        <v>370</v>
      </c>
      <c r="E11" s="116" t="s">
        <v>284</v>
      </c>
      <c r="F11" s="125" t="s">
        <v>82</v>
      </c>
      <c r="G11" s="116"/>
      <c r="H11" s="116"/>
      <c r="I11" s="116"/>
      <c r="J11" s="116"/>
    </row>
    <row r="12" spans="1:10" ht="45.6" customHeight="1" x14ac:dyDescent="0.2">
      <c r="A12" s="142"/>
      <c r="B12" s="138"/>
      <c r="C12" s="117"/>
      <c r="D12" s="117"/>
      <c r="E12" s="117"/>
      <c r="F12" s="127"/>
      <c r="G12" s="117"/>
      <c r="H12" s="117"/>
      <c r="I12" s="117"/>
      <c r="J12" s="117"/>
    </row>
    <row r="13" spans="1:10" ht="33.6" customHeight="1" x14ac:dyDescent="0.2">
      <c r="A13" s="142"/>
      <c r="B13" s="137" t="s">
        <v>285</v>
      </c>
      <c r="C13" s="116" t="s">
        <v>286</v>
      </c>
      <c r="D13" s="116" t="s">
        <v>371</v>
      </c>
      <c r="E13" s="63" t="s">
        <v>287</v>
      </c>
      <c r="F13" s="84" t="s">
        <v>100</v>
      </c>
      <c r="G13" s="63"/>
      <c r="H13" s="61"/>
      <c r="I13" s="61"/>
      <c r="J13" s="61"/>
    </row>
    <row r="14" spans="1:10" ht="25.5" x14ac:dyDescent="0.2">
      <c r="A14" s="142"/>
      <c r="B14" s="138"/>
      <c r="C14" s="117"/>
      <c r="D14" s="117"/>
      <c r="E14" s="63" t="s">
        <v>288</v>
      </c>
      <c r="F14" s="84" t="s">
        <v>82</v>
      </c>
      <c r="G14" s="63"/>
      <c r="H14" s="61"/>
      <c r="I14" s="61"/>
      <c r="J14" s="61"/>
    </row>
    <row r="15" spans="1:10" ht="12.95" customHeight="1" x14ac:dyDescent="0.2">
      <c r="A15" s="142"/>
      <c r="B15" s="128" t="s">
        <v>289</v>
      </c>
      <c r="C15" s="116" t="s">
        <v>290</v>
      </c>
      <c r="D15" s="116" t="s">
        <v>372</v>
      </c>
      <c r="E15" s="116" t="s">
        <v>292</v>
      </c>
      <c r="F15" s="125" t="s">
        <v>82</v>
      </c>
      <c r="G15" s="63"/>
      <c r="H15" s="61"/>
      <c r="I15" s="61"/>
      <c r="J15" s="61"/>
    </row>
    <row r="16" spans="1:10" ht="36.950000000000003" customHeight="1" x14ac:dyDescent="0.2">
      <c r="A16" s="142"/>
      <c r="B16" s="119"/>
      <c r="C16" s="117"/>
      <c r="D16" s="117"/>
      <c r="E16" s="117"/>
      <c r="F16" s="126"/>
      <c r="G16" s="63"/>
      <c r="H16" s="61"/>
      <c r="I16" s="61"/>
      <c r="J16" s="61"/>
    </row>
    <row r="17" spans="1:10" x14ac:dyDescent="0.2">
      <c r="A17" s="142"/>
      <c r="B17" s="119"/>
      <c r="C17" s="116" t="s">
        <v>291</v>
      </c>
      <c r="D17" s="116" t="s">
        <v>373</v>
      </c>
      <c r="E17" s="116" t="s">
        <v>259</v>
      </c>
      <c r="F17" s="125" t="s">
        <v>82</v>
      </c>
      <c r="G17" s="63"/>
      <c r="H17" s="61"/>
      <c r="I17" s="61"/>
      <c r="J17" s="61"/>
    </row>
    <row r="18" spans="1:10" x14ac:dyDescent="0.2">
      <c r="A18" s="142"/>
      <c r="B18" s="119"/>
      <c r="C18" s="144"/>
      <c r="D18" s="144"/>
      <c r="E18" s="144"/>
      <c r="F18" s="126"/>
      <c r="G18" s="63"/>
      <c r="H18" s="61"/>
      <c r="I18" s="61"/>
      <c r="J18" s="61"/>
    </row>
    <row r="19" spans="1:10" x14ac:dyDescent="0.2">
      <c r="A19" s="143"/>
      <c r="B19" s="120"/>
      <c r="C19" s="117"/>
      <c r="D19" s="117"/>
      <c r="E19" s="117"/>
      <c r="F19" s="127" t="s">
        <v>100</v>
      </c>
      <c r="G19" s="63"/>
      <c r="H19" s="61"/>
      <c r="I19" s="61"/>
      <c r="J19" s="61"/>
    </row>
    <row r="20" spans="1:10" ht="41.1" customHeight="1" x14ac:dyDescent="0.2">
      <c r="A20" s="153" t="s">
        <v>293</v>
      </c>
      <c r="B20" s="129" t="s">
        <v>294</v>
      </c>
      <c r="C20" s="63" t="s">
        <v>296</v>
      </c>
      <c r="D20" s="74" t="s">
        <v>376</v>
      </c>
      <c r="E20" s="63" t="s">
        <v>260</v>
      </c>
      <c r="F20" s="84" t="s">
        <v>82</v>
      </c>
      <c r="G20" s="63"/>
      <c r="H20" s="61"/>
      <c r="I20" s="61"/>
      <c r="J20" s="61"/>
    </row>
    <row r="21" spans="1:10" ht="38.25" x14ac:dyDescent="0.2">
      <c r="A21" s="154"/>
      <c r="B21" s="152"/>
      <c r="C21" s="63" t="s">
        <v>297</v>
      </c>
      <c r="D21" s="74" t="s">
        <v>377</v>
      </c>
      <c r="E21" s="63" t="s">
        <v>375</v>
      </c>
      <c r="F21" s="84" t="s">
        <v>100</v>
      </c>
      <c r="G21" s="63"/>
      <c r="H21" s="61"/>
      <c r="I21" s="61"/>
      <c r="J21" s="61"/>
    </row>
    <row r="22" spans="1:10" ht="38.25" x14ac:dyDescent="0.2">
      <c r="A22" s="154"/>
      <c r="B22" s="65" t="s">
        <v>295</v>
      </c>
      <c r="C22" s="63" t="s">
        <v>298</v>
      </c>
      <c r="D22" s="63" t="s">
        <v>374</v>
      </c>
      <c r="E22" s="63" t="s">
        <v>299</v>
      </c>
      <c r="F22" s="84" t="s">
        <v>100</v>
      </c>
      <c r="G22" s="63"/>
      <c r="H22" s="61"/>
      <c r="I22" s="61"/>
      <c r="J22" s="61"/>
    </row>
    <row r="23" spans="1:10" ht="38.25" x14ac:dyDescent="0.2">
      <c r="A23" s="130" t="s">
        <v>243</v>
      </c>
      <c r="B23" s="148" t="s">
        <v>300</v>
      </c>
      <c r="C23" s="63" t="s">
        <v>301</v>
      </c>
      <c r="D23" s="63" t="s">
        <v>378</v>
      </c>
      <c r="E23" s="63" t="s">
        <v>261</v>
      </c>
      <c r="F23" s="84" t="s">
        <v>82</v>
      </c>
      <c r="G23" s="63"/>
      <c r="H23" s="61"/>
      <c r="I23" s="61"/>
      <c r="J23" s="61"/>
    </row>
    <row r="24" spans="1:10" ht="44.1" customHeight="1" x14ac:dyDescent="0.2">
      <c r="A24" s="151"/>
      <c r="B24" s="149"/>
      <c r="C24" s="63" t="s">
        <v>302</v>
      </c>
      <c r="D24" s="63" t="s">
        <v>379</v>
      </c>
      <c r="E24" s="63" t="s">
        <v>262</v>
      </c>
      <c r="F24" s="84" t="s">
        <v>82</v>
      </c>
      <c r="G24" s="63"/>
      <c r="H24" s="61"/>
      <c r="I24" s="61"/>
      <c r="J24" s="61"/>
    </row>
    <row r="25" spans="1:10" ht="14.45" customHeight="1" x14ac:dyDescent="0.2">
      <c r="A25" s="151"/>
      <c r="B25" s="149"/>
      <c r="C25" s="116" t="s">
        <v>303</v>
      </c>
      <c r="D25" s="116" t="s">
        <v>380</v>
      </c>
      <c r="E25" s="63" t="s">
        <v>304</v>
      </c>
      <c r="F25" s="84" t="s">
        <v>82</v>
      </c>
      <c r="G25" s="63"/>
      <c r="H25" s="61"/>
      <c r="I25" s="61"/>
      <c r="J25" s="61"/>
    </row>
    <row r="26" spans="1:10" ht="50.1" customHeight="1" x14ac:dyDescent="0.2">
      <c r="A26" s="151"/>
      <c r="B26" s="150"/>
      <c r="C26" s="117"/>
      <c r="D26" s="117"/>
      <c r="E26" s="63" t="s">
        <v>305</v>
      </c>
      <c r="F26" s="84" t="s">
        <v>82</v>
      </c>
      <c r="G26" s="63"/>
      <c r="H26" s="61"/>
      <c r="I26" s="61"/>
      <c r="J26" s="61"/>
    </row>
    <row r="27" spans="1:10" ht="22.7" customHeight="1" x14ac:dyDescent="0.2">
      <c r="A27" s="124" t="s">
        <v>251</v>
      </c>
      <c r="B27" s="124"/>
      <c r="C27" s="124"/>
      <c r="D27" s="57"/>
      <c r="E27" s="85"/>
      <c r="F27" s="85"/>
      <c r="G27" s="86" t="s">
        <v>258</v>
      </c>
      <c r="H27" s="121" t="s">
        <v>254</v>
      </c>
      <c r="I27" s="122"/>
      <c r="J27" s="123"/>
    </row>
    <row r="28" spans="1:10" ht="26.1" customHeight="1" x14ac:dyDescent="0.2">
      <c r="A28" s="67" t="s">
        <v>237</v>
      </c>
      <c r="B28" s="68" t="s">
        <v>242</v>
      </c>
      <c r="C28" s="67" t="s">
        <v>250</v>
      </c>
      <c r="D28" s="67"/>
      <c r="E28" s="87" t="s">
        <v>253</v>
      </c>
      <c r="F28" s="87" t="s">
        <v>4</v>
      </c>
      <c r="G28" s="58">
        <v>2025</v>
      </c>
      <c r="H28" s="58">
        <v>2026</v>
      </c>
      <c r="I28" s="58">
        <v>2027</v>
      </c>
      <c r="J28" s="58">
        <v>2028</v>
      </c>
    </row>
    <row r="29" spans="1:10" ht="35.450000000000003" customHeight="1" x14ac:dyDescent="0.2">
      <c r="A29" s="135" t="s">
        <v>280</v>
      </c>
      <c r="B29" s="173" t="s">
        <v>337</v>
      </c>
      <c r="C29" s="70" t="s">
        <v>335</v>
      </c>
      <c r="D29" s="70" t="s">
        <v>381</v>
      </c>
      <c r="E29" s="70" t="s">
        <v>336</v>
      </c>
      <c r="F29" s="84" t="s">
        <v>100</v>
      </c>
      <c r="G29" s="69"/>
      <c r="H29" s="66"/>
      <c r="I29" s="66"/>
      <c r="J29" s="66"/>
    </row>
    <row r="30" spans="1:10" ht="25.5" x14ac:dyDescent="0.2">
      <c r="A30" s="157"/>
      <c r="B30" s="173"/>
      <c r="C30" s="70" t="s">
        <v>338</v>
      </c>
      <c r="D30" s="70" t="s">
        <v>382</v>
      </c>
      <c r="E30" s="70" t="s">
        <v>343</v>
      </c>
      <c r="F30" s="84" t="s">
        <v>100</v>
      </c>
      <c r="G30" s="69"/>
      <c r="H30" s="66"/>
      <c r="I30" s="66"/>
      <c r="J30" s="66"/>
    </row>
    <row r="31" spans="1:10" ht="38.25" x14ac:dyDescent="0.2">
      <c r="A31" s="157"/>
      <c r="B31" s="173" t="s">
        <v>282</v>
      </c>
      <c r="C31" s="70" t="s">
        <v>339</v>
      </c>
      <c r="D31" s="70" t="s">
        <v>370</v>
      </c>
      <c r="E31" s="70" t="s">
        <v>344</v>
      </c>
      <c r="F31" s="84" t="s">
        <v>100</v>
      </c>
      <c r="G31" s="69"/>
      <c r="H31" s="66"/>
      <c r="I31" s="66"/>
      <c r="J31" s="66"/>
    </row>
    <row r="32" spans="1:10" ht="38.25" x14ac:dyDescent="0.2">
      <c r="A32" s="157"/>
      <c r="B32" s="173"/>
      <c r="C32" s="70" t="s">
        <v>340</v>
      </c>
      <c r="D32" s="70" t="s">
        <v>383</v>
      </c>
      <c r="E32" s="70" t="s">
        <v>345</v>
      </c>
      <c r="F32" s="84" t="s">
        <v>100</v>
      </c>
      <c r="G32" s="69"/>
      <c r="H32" s="66"/>
      <c r="I32" s="66"/>
      <c r="J32" s="66"/>
    </row>
    <row r="33" spans="1:10" ht="38.25" x14ac:dyDescent="0.2">
      <c r="A33" s="138"/>
      <c r="B33" s="173" t="s">
        <v>285</v>
      </c>
      <c r="C33" s="70" t="s">
        <v>348</v>
      </c>
      <c r="D33" s="70" t="s">
        <v>370</v>
      </c>
      <c r="E33" s="70" t="s">
        <v>344</v>
      </c>
      <c r="F33" s="84" t="s">
        <v>100</v>
      </c>
      <c r="G33" s="69"/>
      <c r="H33" s="66"/>
      <c r="I33" s="66"/>
      <c r="J33" s="66"/>
    </row>
    <row r="34" spans="1:10" ht="33.6" customHeight="1" x14ac:dyDescent="0.2">
      <c r="A34" s="138"/>
      <c r="B34" s="173"/>
      <c r="C34" s="70" t="s">
        <v>341</v>
      </c>
      <c r="D34" s="70" t="s">
        <v>383</v>
      </c>
      <c r="E34" s="70" t="s">
        <v>345</v>
      </c>
      <c r="F34" s="84" t="s">
        <v>100</v>
      </c>
      <c r="G34" s="69"/>
      <c r="H34" s="66"/>
      <c r="I34" s="66"/>
      <c r="J34" s="66"/>
    </row>
    <row r="35" spans="1:10" ht="38.25" x14ac:dyDescent="0.2">
      <c r="A35" s="138"/>
      <c r="B35" s="129" t="s">
        <v>289</v>
      </c>
      <c r="C35" s="70" t="s">
        <v>384</v>
      </c>
      <c r="D35" s="70" t="s">
        <v>346</v>
      </c>
      <c r="E35" s="70" t="s">
        <v>346</v>
      </c>
      <c r="F35" s="84" t="s">
        <v>100</v>
      </c>
      <c r="G35" s="69"/>
      <c r="H35" s="66"/>
      <c r="I35" s="66"/>
      <c r="J35" s="66"/>
    </row>
    <row r="36" spans="1:10" ht="38.25" x14ac:dyDescent="0.2">
      <c r="A36" s="138"/>
      <c r="B36" s="129"/>
      <c r="C36" s="70" t="s">
        <v>342</v>
      </c>
      <c r="D36" s="70" t="s">
        <v>383</v>
      </c>
      <c r="E36" s="70" t="s">
        <v>347</v>
      </c>
      <c r="F36" s="84" t="s">
        <v>100</v>
      </c>
      <c r="G36" s="69"/>
      <c r="H36" s="66"/>
      <c r="I36" s="66"/>
      <c r="J36" s="66"/>
    </row>
    <row r="37" spans="1:10" ht="38.25" x14ac:dyDescent="0.2">
      <c r="A37" s="130" t="s">
        <v>243</v>
      </c>
      <c r="B37" s="129" t="s">
        <v>300</v>
      </c>
      <c r="C37" s="70" t="s">
        <v>351</v>
      </c>
      <c r="D37" s="63" t="s">
        <v>379</v>
      </c>
      <c r="E37" s="70" t="s">
        <v>353</v>
      </c>
      <c r="F37" s="88" t="s">
        <v>82</v>
      </c>
      <c r="G37" s="69"/>
      <c r="H37" s="66"/>
      <c r="I37" s="66"/>
      <c r="J37" s="66"/>
    </row>
    <row r="38" spans="1:10" ht="25.5" x14ac:dyDescent="0.2">
      <c r="A38" s="131"/>
      <c r="B38" s="129"/>
      <c r="C38" s="70" t="s">
        <v>349</v>
      </c>
      <c r="D38" s="70" t="s">
        <v>383</v>
      </c>
      <c r="E38" s="70" t="s">
        <v>354</v>
      </c>
      <c r="F38" s="88" t="s">
        <v>100</v>
      </c>
      <c r="G38" s="69"/>
      <c r="H38" s="66"/>
      <c r="I38" s="66"/>
      <c r="J38" s="66"/>
    </row>
    <row r="39" spans="1:10" ht="25.5" x14ac:dyDescent="0.2">
      <c r="A39" s="131"/>
      <c r="B39" s="129" t="s">
        <v>238</v>
      </c>
      <c r="C39" s="70" t="s">
        <v>352</v>
      </c>
      <c r="D39" s="70"/>
      <c r="E39" s="70" t="s">
        <v>355</v>
      </c>
      <c r="F39" s="88" t="s">
        <v>88</v>
      </c>
      <c r="G39" s="69"/>
      <c r="H39" s="66"/>
      <c r="I39" s="66"/>
      <c r="J39" s="66"/>
    </row>
    <row r="40" spans="1:10" ht="25.5" x14ac:dyDescent="0.2">
      <c r="A40" s="132"/>
      <c r="B40" s="129"/>
      <c r="C40" s="70" t="s">
        <v>350</v>
      </c>
      <c r="D40" s="70" t="s">
        <v>383</v>
      </c>
      <c r="E40" s="70" t="s">
        <v>356</v>
      </c>
      <c r="F40" s="88" t="s">
        <v>100</v>
      </c>
      <c r="G40" s="69"/>
      <c r="H40" s="66"/>
      <c r="I40" s="66"/>
      <c r="J40" s="66"/>
    </row>
    <row r="41" spans="1:10" ht="19.7" customHeight="1" x14ac:dyDescent="0.2">
      <c r="A41" s="135" t="s">
        <v>240</v>
      </c>
      <c r="B41" s="129" t="s">
        <v>244</v>
      </c>
      <c r="C41" s="133" t="s">
        <v>359</v>
      </c>
      <c r="D41" s="167" t="s">
        <v>385</v>
      </c>
      <c r="E41" s="70" t="s">
        <v>246</v>
      </c>
      <c r="F41" s="88" t="s">
        <v>82</v>
      </c>
      <c r="G41" s="69"/>
      <c r="H41" s="66"/>
      <c r="I41" s="66"/>
      <c r="J41" s="66"/>
    </row>
    <row r="42" spans="1:10" ht="23.1" customHeight="1" x14ac:dyDescent="0.2">
      <c r="A42" s="136"/>
      <c r="B42" s="129"/>
      <c r="C42" s="134"/>
      <c r="D42" s="168"/>
      <c r="E42" s="70" t="s">
        <v>361</v>
      </c>
      <c r="F42" s="88" t="s">
        <v>82</v>
      </c>
      <c r="G42" s="69"/>
      <c r="H42" s="66"/>
      <c r="I42" s="66"/>
      <c r="J42" s="66"/>
    </row>
    <row r="43" spans="1:10" ht="18" customHeight="1" x14ac:dyDescent="0.2">
      <c r="A43" s="136"/>
      <c r="B43" s="174"/>
      <c r="C43" s="70" t="s">
        <v>357</v>
      </c>
      <c r="D43" s="169"/>
      <c r="E43" s="70" t="s">
        <v>362</v>
      </c>
      <c r="F43" s="88" t="s">
        <v>100</v>
      </c>
      <c r="G43" s="69"/>
      <c r="H43" s="66"/>
      <c r="I43" s="66"/>
      <c r="J43" s="66"/>
    </row>
    <row r="44" spans="1:10" ht="19.5" customHeight="1" x14ac:dyDescent="0.2">
      <c r="A44" s="136"/>
      <c r="B44" s="174"/>
      <c r="C44" s="70" t="s">
        <v>360</v>
      </c>
      <c r="D44" s="70" t="s">
        <v>386</v>
      </c>
      <c r="E44" s="69" t="s">
        <v>363</v>
      </c>
      <c r="F44" s="88" t="s">
        <v>82</v>
      </c>
      <c r="G44" s="69"/>
      <c r="H44" s="66"/>
      <c r="I44" s="66"/>
      <c r="J44" s="66"/>
    </row>
    <row r="45" spans="1:10" ht="25.5" x14ac:dyDescent="0.2">
      <c r="A45" s="134"/>
      <c r="B45" s="175"/>
      <c r="C45" s="70" t="s">
        <v>358</v>
      </c>
      <c r="D45" s="70"/>
      <c r="E45" s="70" t="s">
        <v>364</v>
      </c>
      <c r="F45" s="88" t="s">
        <v>100</v>
      </c>
      <c r="G45" s="69"/>
      <c r="H45" s="66"/>
      <c r="I45" s="66"/>
      <c r="J45" s="66"/>
    </row>
    <row r="46" spans="1:10" ht="29.45" customHeight="1" x14ac:dyDescent="0.2">
      <c r="A46" s="124" t="s">
        <v>255</v>
      </c>
      <c r="B46" s="124"/>
      <c r="C46" s="124"/>
      <c r="D46" s="57"/>
      <c r="E46" s="85"/>
      <c r="F46" s="85"/>
      <c r="G46" s="86" t="s">
        <v>258</v>
      </c>
      <c r="H46" s="121" t="s">
        <v>254</v>
      </c>
      <c r="I46" s="122"/>
      <c r="J46" s="123"/>
    </row>
    <row r="47" spans="1:10" ht="18.95" customHeight="1" x14ac:dyDescent="0.2">
      <c r="A47" s="67" t="s">
        <v>237</v>
      </c>
      <c r="B47" s="68" t="s">
        <v>242</v>
      </c>
      <c r="C47" s="67" t="s">
        <v>250</v>
      </c>
      <c r="D47" s="67"/>
      <c r="E47" s="87" t="s">
        <v>253</v>
      </c>
      <c r="F47" s="87" t="s">
        <v>4</v>
      </c>
      <c r="G47" s="58">
        <v>2025</v>
      </c>
      <c r="H47" s="58">
        <v>2026</v>
      </c>
      <c r="I47" s="58">
        <v>2027</v>
      </c>
      <c r="J47" s="58">
        <v>2028</v>
      </c>
    </row>
    <row r="48" spans="1:10" ht="30.6" customHeight="1" x14ac:dyDescent="0.2">
      <c r="A48" s="135" t="s">
        <v>240</v>
      </c>
      <c r="B48" s="158" t="s">
        <v>306</v>
      </c>
      <c r="C48" s="116" t="s">
        <v>308</v>
      </c>
      <c r="D48" s="170" t="s">
        <v>387</v>
      </c>
      <c r="E48" s="63" t="s">
        <v>265</v>
      </c>
      <c r="F48" s="88" t="s">
        <v>100</v>
      </c>
      <c r="G48" s="69"/>
      <c r="H48" s="66"/>
      <c r="I48" s="66"/>
      <c r="J48" s="66"/>
    </row>
    <row r="49" spans="1:10" ht="20.100000000000001" customHeight="1" x14ac:dyDescent="0.2">
      <c r="A49" s="135"/>
      <c r="B49" s="162"/>
      <c r="C49" s="117"/>
      <c r="D49" s="171"/>
      <c r="E49" s="64" t="s">
        <v>266</v>
      </c>
      <c r="F49" s="88" t="s">
        <v>100</v>
      </c>
      <c r="G49" s="69"/>
      <c r="H49" s="66"/>
      <c r="I49" s="66"/>
      <c r="J49" s="66"/>
    </row>
    <row r="50" spans="1:10" ht="18.95" customHeight="1" x14ac:dyDescent="0.2">
      <c r="A50" s="157"/>
      <c r="B50" s="162"/>
      <c r="C50" s="159" t="s">
        <v>307</v>
      </c>
      <c r="D50" s="171"/>
      <c r="E50" s="69" t="s">
        <v>267</v>
      </c>
      <c r="F50" s="89" t="s">
        <v>100</v>
      </c>
      <c r="G50" s="69"/>
      <c r="H50" s="66"/>
      <c r="I50" s="66"/>
      <c r="J50" s="66"/>
    </row>
    <row r="51" spans="1:10" ht="32.1" customHeight="1" x14ac:dyDescent="0.2">
      <c r="A51" s="157"/>
      <c r="B51" s="126"/>
      <c r="C51" s="160"/>
      <c r="D51" s="171"/>
      <c r="E51" s="63" t="s">
        <v>314</v>
      </c>
      <c r="F51" s="89" t="s">
        <v>100</v>
      </c>
      <c r="G51" s="69"/>
      <c r="H51" s="66"/>
      <c r="I51" s="66"/>
      <c r="J51" s="66"/>
    </row>
    <row r="52" spans="1:10" ht="18.600000000000001" customHeight="1" x14ac:dyDescent="0.2">
      <c r="A52" s="157"/>
      <c r="B52" s="126"/>
      <c r="C52" s="160"/>
      <c r="D52" s="171"/>
      <c r="E52" s="69" t="s">
        <v>247</v>
      </c>
      <c r="F52" s="89" t="s">
        <v>100</v>
      </c>
      <c r="G52" s="69"/>
      <c r="H52" s="66"/>
      <c r="I52" s="66"/>
      <c r="J52" s="66"/>
    </row>
    <row r="53" spans="1:10" ht="15" customHeight="1" x14ac:dyDescent="0.2">
      <c r="A53" s="157"/>
      <c r="B53" s="126"/>
      <c r="C53" s="161"/>
      <c r="D53" s="172"/>
      <c r="E53" s="69" t="s">
        <v>277</v>
      </c>
      <c r="F53" s="89" t="s">
        <v>122</v>
      </c>
      <c r="G53" s="69"/>
      <c r="H53" s="66"/>
      <c r="I53" s="66"/>
      <c r="J53" s="66"/>
    </row>
    <row r="54" spans="1:10" ht="18.600000000000001" customHeight="1" x14ac:dyDescent="0.2">
      <c r="A54" s="157"/>
      <c r="B54" s="155" t="s">
        <v>309</v>
      </c>
      <c r="C54" s="163" t="s">
        <v>311</v>
      </c>
      <c r="D54" s="73"/>
      <c r="E54" s="69" t="s">
        <v>268</v>
      </c>
      <c r="F54" s="89" t="s">
        <v>100</v>
      </c>
      <c r="G54" s="69"/>
      <c r="H54" s="66"/>
      <c r="I54" s="66"/>
      <c r="J54" s="66"/>
    </row>
    <row r="55" spans="1:10" ht="25.5" x14ac:dyDescent="0.2">
      <c r="A55" s="157"/>
      <c r="B55" s="155"/>
      <c r="C55" s="120"/>
      <c r="D55" s="75"/>
      <c r="E55" s="63" t="s">
        <v>269</v>
      </c>
      <c r="F55" s="89" t="s">
        <v>100</v>
      </c>
      <c r="G55" s="69"/>
      <c r="H55" s="66"/>
      <c r="I55" s="66"/>
      <c r="J55" s="66"/>
    </row>
    <row r="56" spans="1:10" ht="42.6" customHeight="1" x14ac:dyDescent="0.2">
      <c r="A56" s="157"/>
      <c r="B56" s="155"/>
      <c r="C56" s="72" t="s">
        <v>312</v>
      </c>
      <c r="D56" s="72"/>
      <c r="E56" s="63" t="s">
        <v>315</v>
      </c>
      <c r="F56" s="89" t="s">
        <v>100</v>
      </c>
      <c r="G56" s="69"/>
      <c r="H56" s="66"/>
      <c r="I56" s="66"/>
      <c r="J56" s="66"/>
    </row>
    <row r="57" spans="1:10" ht="51" x14ac:dyDescent="0.2">
      <c r="A57" s="136"/>
      <c r="B57" s="155"/>
      <c r="C57" s="70" t="s">
        <v>313</v>
      </c>
      <c r="D57" s="70"/>
      <c r="E57" s="63" t="s">
        <v>316</v>
      </c>
      <c r="F57" s="89" t="s">
        <v>100</v>
      </c>
      <c r="G57" s="69"/>
      <c r="H57" s="66"/>
      <c r="I57" s="66"/>
      <c r="J57" s="66"/>
    </row>
    <row r="58" spans="1:10" ht="25.5" x14ac:dyDescent="0.2">
      <c r="A58" s="136"/>
      <c r="B58" s="158"/>
      <c r="C58" s="73" t="s">
        <v>310</v>
      </c>
      <c r="D58" s="73"/>
      <c r="E58" s="64" t="s">
        <v>270</v>
      </c>
      <c r="F58" s="88" t="s">
        <v>317</v>
      </c>
      <c r="G58" s="69"/>
      <c r="H58" s="66"/>
      <c r="I58" s="66"/>
      <c r="J58" s="66"/>
    </row>
    <row r="59" spans="1:10" ht="24.95" customHeight="1" x14ac:dyDescent="0.2">
      <c r="A59" s="135" t="s">
        <v>293</v>
      </c>
      <c r="B59" s="155" t="s">
        <v>309</v>
      </c>
      <c r="C59" s="74" t="s">
        <v>319</v>
      </c>
      <c r="D59" s="74"/>
      <c r="E59" s="90" t="s">
        <v>271</v>
      </c>
      <c r="F59" s="89" t="s">
        <v>100</v>
      </c>
      <c r="G59" s="69"/>
      <c r="H59" s="66"/>
      <c r="I59" s="66"/>
      <c r="J59" s="66"/>
    </row>
    <row r="60" spans="1:10" ht="36" customHeight="1" x14ac:dyDescent="0.2">
      <c r="A60" s="135"/>
      <c r="B60" s="155"/>
      <c r="C60" s="70" t="s">
        <v>318</v>
      </c>
      <c r="D60" s="70"/>
      <c r="E60" s="90" t="s">
        <v>272</v>
      </c>
      <c r="F60" s="89" t="s">
        <v>100</v>
      </c>
      <c r="G60" s="69"/>
      <c r="H60" s="66"/>
      <c r="I60" s="66"/>
      <c r="J60" s="66"/>
    </row>
    <row r="61" spans="1:10" ht="36.6" customHeight="1" x14ac:dyDescent="0.2">
      <c r="A61" s="157"/>
      <c r="B61" s="155" t="s">
        <v>295</v>
      </c>
      <c r="C61" s="70" t="s">
        <v>321</v>
      </c>
      <c r="D61" s="70"/>
      <c r="E61" s="90" t="s">
        <v>273</v>
      </c>
      <c r="F61" s="89" t="s">
        <v>100</v>
      </c>
      <c r="G61" s="69"/>
      <c r="H61" s="66"/>
      <c r="I61" s="66"/>
      <c r="J61" s="66"/>
    </row>
    <row r="62" spans="1:10" ht="47.45" customHeight="1" x14ac:dyDescent="0.2">
      <c r="A62" s="157"/>
      <c r="B62" s="155"/>
      <c r="C62" s="70" t="s">
        <v>320</v>
      </c>
      <c r="D62" s="70"/>
      <c r="E62" s="90" t="s">
        <v>274</v>
      </c>
      <c r="F62" s="89" t="s">
        <v>100</v>
      </c>
      <c r="G62" s="69"/>
      <c r="H62" s="66"/>
      <c r="I62" s="66"/>
      <c r="J62" s="66"/>
    </row>
    <row r="63" spans="1:10" ht="29.1" customHeight="1" x14ac:dyDescent="0.2">
      <c r="A63" s="157"/>
      <c r="B63" s="155" t="s">
        <v>322</v>
      </c>
      <c r="C63" s="133" t="s">
        <v>323</v>
      </c>
      <c r="D63" s="70"/>
      <c r="E63" s="90" t="s">
        <v>275</v>
      </c>
      <c r="F63" s="89" t="s">
        <v>100</v>
      </c>
      <c r="G63" s="69"/>
      <c r="H63" s="66"/>
      <c r="I63" s="66"/>
      <c r="J63" s="66"/>
    </row>
    <row r="64" spans="1:10" ht="20.45" customHeight="1" x14ac:dyDescent="0.2">
      <c r="A64" s="157"/>
      <c r="B64" s="155"/>
      <c r="C64" s="133"/>
      <c r="D64" s="70"/>
      <c r="E64" s="90" t="s">
        <v>276</v>
      </c>
      <c r="F64" s="89" t="s">
        <v>100</v>
      </c>
      <c r="G64" s="69"/>
      <c r="H64" s="66"/>
      <c r="I64" s="66"/>
      <c r="J64" s="66"/>
    </row>
    <row r="65" spans="1:10" ht="27.6" customHeight="1" thickBot="1" x14ac:dyDescent="0.25">
      <c r="A65" s="145" t="s">
        <v>256</v>
      </c>
      <c r="B65" s="146"/>
      <c r="C65" s="147"/>
      <c r="D65" s="76"/>
      <c r="E65" s="76"/>
      <c r="F65" s="76"/>
      <c r="G65" s="86" t="s">
        <v>258</v>
      </c>
      <c r="H65" s="121" t="s">
        <v>254</v>
      </c>
      <c r="I65" s="122"/>
      <c r="J65" s="123"/>
    </row>
    <row r="66" spans="1:10" ht="24.6" customHeight="1" x14ac:dyDescent="0.2">
      <c r="A66" s="79" t="s">
        <v>237</v>
      </c>
      <c r="B66" s="83" t="s">
        <v>242</v>
      </c>
      <c r="C66" s="78" t="s">
        <v>252</v>
      </c>
      <c r="D66" s="95"/>
      <c r="E66" s="91"/>
      <c r="F66" s="92" t="s">
        <v>4</v>
      </c>
      <c r="G66" s="58">
        <v>2025</v>
      </c>
      <c r="H66" s="58">
        <v>2026</v>
      </c>
      <c r="I66" s="58">
        <v>2027</v>
      </c>
      <c r="J66" s="58">
        <v>2028</v>
      </c>
    </row>
    <row r="67" spans="1:10" ht="40.700000000000003" customHeight="1" x14ac:dyDescent="0.2">
      <c r="A67" s="164" t="s">
        <v>241</v>
      </c>
      <c r="B67" s="155" t="s">
        <v>333</v>
      </c>
      <c r="C67" s="166" t="s">
        <v>325</v>
      </c>
      <c r="D67" s="80"/>
      <c r="E67" s="74" t="s">
        <v>326</v>
      </c>
      <c r="F67" s="93" t="s">
        <v>100</v>
      </c>
      <c r="G67" s="94"/>
      <c r="H67" s="62"/>
      <c r="I67" s="62"/>
      <c r="J67" s="62"/>
    </row>
    <row r="68" spans="1:10" ht="40.700000000000003" customHeight="1" x14ac:dyDescent="0.2">
      <c r="A68" s="165"/>
      <c r="B68" s="155"/>
      <c r="C68" s="152"/>
      <c r="D68" s="81"/>
      <c r="E68" s="74" t="s">
        <v>327</v>
      </c>
      <c r="F68" s="93" t="s">
        <v>88</v>
      </c>
      <c r="G68" s="94"/>
      <c r="H68" s="62"/>
      <c r="I68" s="62"/>
      <c r="J68" s="62"/>
    </row>
    <row r="69" spans="1:10" ht="31.7" customHeight="1" x14ac:dyDescent="0.2">
      <c r="A69" s="165"/>
      <c r="B69" s="156"/>
      <c r="C69" s="74" t="s">
        <v>324</v>
      </c>
      <c r="D69" s="74"/>
      <c r="E69" s="74" t="s">
        <v>328</v>
      </c>
      <c r="F69" s="93" t="s">
        <v>100</v>
      </c>
      <c r="G69" s="94"/>
      <c r="H69" s="62"/>
      <c r="I69" s="62"/>
      <c r="J69" s="62"/>
    </row>
    <row r="70" spans="1:10" ht="51" customHeight="1" x14ac:dyDescent="0.2">
      <c r="A70" s="165"/>
      <c r="B70" s="71" t="s">
        <v>334</v>
      </c>
      <c r="C70" s="82" t="s">
        <v>329</v>
      </c>
      <c r="D70" s="82" t="s">
        <v>388</v>
      </c>
      <c r="E70" s="74" t="s">
        <v>330</v>
      </c>
      <c r="F70" s="93" t="s">
        <v>88</v>
      </c>
      <c r="G70" s="94"/>
      <c r="H70" s="62"/>
      <c r="I70" s="62"/>
      <c r="J70" s="62"/>
    </row>
    <row r="71" spans="1:10" ht="43.5" customHeight="1" x14ac:dyDescent="0.2">
      <c r="A71" s="165"/>
      <c r="B71" s="71" t="s">
        <v>239</v>
      </c>
      <c r="C71" s="70" t="s">
        <v>331</v>
      </c>
      <c r="D71" s="70"/>
      <c r="E71" s="94" t="s">
        <v>332</v>
      </c>
      <c r="F71" s="93" t="s">
        <v>88</v>
      </c>
      <c r="G71" s="94"/>
      <c r="H71" s="62"/>
      <c r="I71" s="62"/>
      <c r="J71" s="62"/>
    </row>
  </sheetData>
  <mergeCells count="76">
    <mergeCell ref="A67:A71"/>
    <mergeCell ref="C67:C68"/>
    <mergeCell ref="D11:D12"/>
    <mergeCell ref="D13:D14"/>
    <mergeCell ref="D15:D16"/>
    <mergeCell ref="D17:D19"/>
    <mergeCell ref="D25:D26"/>
    <mergeCell ref="D41:D43"/>
    <mergeCell ref="D48:D53"/>
    <mergeCell ref="A59:A64"/>
    <mergeCell ref="B29:B30"/>
    <mergeCell ref="B31:B32"/>
    <mergeCell ref="B33:B34"/>
    <mergeCell ref="B35:B36"/>
    <mergeCell ref="A29:A36"/>
    <mergeCell ref="B41:B45"/>
    <mergeCell ref="A48:A58"/>
    <mergeCell ref="B54:B58"/>
    <mergeCell ref="C48:C49"/>
    <mergeCell ref="C50:C53"/>
    <mergeCell ref="B48:B53"/>
    <mergeCell ref="C54:C55"/>
    <mergeCell ref="B67:B69"/>
    <mergeCell ref="B59:B60"/>
    <mergeCell ref="B61:B62"/>
    <mergeCell ref="B63:B64"/>
    <mergeCell ref="C63:C64"/>
    <mergeCell ref="H65:J65"/>
    <mergeCell ref="A65:C65"/>
    <mergeCell ref="H3:J3"/>
    <mergeCell ref="E11:E12"/>
    <mergeCell ref="F11:F12"/>
    <mergeCell ref="G11:G12"/>
    <mergeCell ref="H11:H12"/>
    <mergeCell ref="I11:I12"/>
    <mergeCell ref="J11:J12"/>
    <mergeCell ref="C25:C26"/>
    <mergeCell ref="B23:B26"/>
    <mergeCell ref="A23:A26"/>
    <mergeCell ref="H27:J27"/>
    <mergeCell ref="B20:B21"/>
    <mergeCell ref="A20:A22"/>
    <mergeCell ref="E17:E19"/>
    <mergeCell ref="A2:C2"/>
    <mergeCell ref="A3:C3"/>
    <mergeCell ref="B11:B12"/>
    <mergeCell ref="B13:B14"/>
    <mergeCell ref="C5:C8"/>
    <mergeCell ref="B5:B8"/>
    <mergeCell ref="B9:B10"/>
    <mergeCell ref="C11:C12"/>
    <mergeCell ref="C13:C14"/>
    <mergeCell ref="A5:A19"/>
    <mergeCell ref="C17:C19"/>
    <mergeCell ref="C9:C10"/>
    <mergeCell ref="H46:J46"/>
    <mergeCell ref="A46:C46"/>
    <mergeCell ref="F17:F19"/>
    <mergeCell ref="E15:E16"/>
    <mergeCell ref="F15:F16"/>
    <mergeCell ref="A27:C27"/>
    <mergeCell ref="C15:C16"/>
    <mergeCell ref="B15:B19"/>
    <mergeCell ref="B37:B38"/>
    <mergeCell ref="B39:B40"/>
    <mergeCell ref="A37:A40"/>
    <mergeCell ref="C41:C42"/>
    <mergeCell ref="A41:A45"/>
    <mergeCell ref="H9:H10"/>
    <mergeCell ref="I9:I10"/>
    <mergeCell ref="J9:J10"/>
    <mergeCell ref="D5:D8"/>
    <mergeCell ref="D9:D10"/>
    <mergeCell ref="E9:E10"/>
    <mergeCell ref="F9:F10"/>
    <mergeCell ref="G9:G1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460"/>
  <sheetViews>
    <sheetView showGridLines="0" zoomScale="80" zoomScaleNormal="80" zoomScaleSheetLayoutView="45" workbookViewId="0">
      <pane xSplit="8" ySplit="3" topLeftCell="K295" activePane="bottomRight" state="frozen"/>
      <selection pane="topRight" activeCell="I1" sqref="I1"/>
      <selection pane="bottomLeft" activeCell="A4" sqref="A4"/>
      <selection pane="bottomRight" activeCell="M342" sqref="M342"/>
    </sheetView>
  </sheetViews>
  <sheetFormatPr defaultColWidth="9.140625" defaultRowHeight="12.75" x14ac:dyDescent="0.2"/>
  <cols>
    <col min="1" max="1" width="9.140625" style="1"/>
    <col min="2" max="2" width="12" style="1" customWidth="1"/>
    <col min="3" max="3" width="20.85546875" style="4" customWidth="1"/>
    <col min="4" max="4" width="29" style="2" customWidth="1"/>
    <col min="5" max="5" width="21" style="2" customWidth="1"/>
    <col min="6" max="6" width="15.140625" style="5" customWidth="1"/>
    <col min="7" max="7" width="8.140625" style="6" customWidth="1"/>
    <col min="8" max="8" width="14.85546875" style="6" customWidth="1"/>
    <col min="9" max="9" width="12.85546875" style="6" customWidth="1"/>
    <col min="10" max="10" width="11.140625" style="6" customWidth="1"/>
    <col min="11" max="11" width="12" style="6" customWidth="1"/>
    <col min="12" max="12" width="14" style="6" customWidth="1"/>
    <col min="13" max="13" width="14.42578125" style="6" customWidth="1"/>
    <col min="14" max="15" width="15.42578125" style="9" customWidth="1"/>
    <col min="16" max="20" width="8" style="7" customWidth="1"/>
    <col min="21" max="21" width="10.140625" style="7" customWidth="1"/>
    <col min="22" max="16384" width="9.140625" style="1"/>
  </cols>
  <sheetData>
    <row r="1" spans="1:15" s="2" customFormat="1" ht="21" customHeight="1" x14ac:dyDescent="0.2">
      <c r="A1" s="15"/>
      <c r="B1" s="100" t="s">
        <v>25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2" customFormat="1" ht="84" customHeight="1" x14ac:dyDescent="0.2">
      <c r="A2" s="176" t="s">
        <v>58</v>
      </c>
      <c r="B2" s="99" t="s">
        <v>24</v>
      </c>
      <c r="C2" s="102" t="s">
        <v>27</v>
      </c>
      <c r="D2" s="103"/>
      <c r="E2" s="103"/>
      <c r="F2" s="103"/>
      <c r="G2" s="103"/>
      <c r="H2" s="103"/>
      <c r="I2" s="103"/>
      <c r="J2" s="103"/>
      <c r="K2" s="104"/>
      <c r="L2" s="98">
        <v>2013</v>
      </c>
      <c r="M2" s="98"/>
      <c r="N2" s="98" t="s">
        <v>91</v>
      </c>
      <c r="O2" s="98"/>
    </row>
    <row r="3" spans="1:15" s="3" customFormat="1" ht="26.25" customHeight="1" x14ac:dyDescent="0.2">
      <c r="A3" s="177"/>
      <c r="B3" s="99"/>
      <c r="C3" s="13" t="s">
        <v>1</v>
      </c>
      <c r="D3" s="13" t="s">
        <v>2</v>
      </c>
      <c r="E3" s="13" t="s">
        <v>3</v>
      </c>
      <c r="F3" s="13" t="s">
        <v>4</v>
      </c>
      <c r="G3" s="13" t="s">
        <v>26</v>
      </c>
      <c r="H3" s="13" t="s">
        <v>5</v>
      </c>
      <c r="I3" s="13" t="s">
        <v>20</v>
      </c>
      <c r="J3" s="13" t="s">
        <v>6</v>
      </c>
      <c r="K3" s="13" t="s">
        <v>28</v>
      </c>
      <c r="L3" s="13" t="s">
        <v>21</v>
      </c>
      <c r="M3" s="13" t="s">
        <v>22</v>
      </c>
      <c r="N3" s="14" t="s">
        <v>19</v>
      </c>
      <c r="O3" s="14" t="s">
        <v>22</v>
      </c>
    </row>
    <row r="4" spans="1:15" s="3" customFormat="1" ht="12.75" customHeight="1" x14ac:dyDescent="0.2">
      <c r="A4" s="177"/>
      <c r="B4" s="101" t="s">
        <v>59</v>
      </c>
      <c r="C4" s="97" t="s">
        <v>194</v>
      </c>
      <c r="D4" s="97" t="s">
        <v>60</v>
      </c>
      <c r="E4" s="97" t="s">
        <v>111</v>
      </c>
      <c r="F4" s="105" t="s">
        <v>83</v>
      </c>
      <c r="G4" s="97" t="s">
        <v>95</v>
      </c>
      <c r="H4" s="97"/>
      <c r="I4" s="97"/>
      <c r="J4" s="97"/>
      <c r="K4" s="16" t="s">
        <v>7</v>
      </c>
      <c r="L4" s="21">
        <v>0</v>
      </c>
      <c r="M4" s="21">
        <v>0</v>
      </c>
      <c r="N4" s="21">
        <v>0</v>
      </c>
      <c r="O4" s="21">
        <v>0</v>
      </c>
    </row>
    <row r="5" spans="1:15" s="3" customFormat="1" x14ac:dyDescent="0.2">
      <c r="A5" s="177"/>
      <c r="B5" s="101"/>
      <c r="C5" s="97"/>
      <c r="D5" s="97"/>
      <c r="E5" s="97"/>
      <c r="F5" s="106"/>
      <c r="G5" s="97"/>
      <c r="H5" s="97"/>
      <c r="I5" s="97"/>
      <c r="J5" s="97"/>
      <c r="K5" s="16" t="s">
        <v>8</v>
      </c>
      <c r="L5" s="21">
        <v>0</v>
      </c>
      <c r="M5" s="21">
        <v>0</v>
      </c>
      <c r="N5" s="21">
        <v>0</v>
      </c>
      <c r="O5" s="21">
        <v>0</v>
      </c>
    </row>
    <row r="6" spans="1:15" s="3" customFormat="1" x14ac:dyDescent="0.2">
      <c r="A6" s="177"/>
      <c r="B6" s="101"/>
      <c r="C6" s="97"/>
      <c r="D6" s="97"/>
      <c r="E6" s="97"/>
      <c r="F6" s="106"/>
      <c r="G6" s="97"/>
      <c r="H6" s="97"/>
      <c r="I6" s="97"/>
      <c r="J6" s="97"/>
      <c r="K6" s="16" t="s">
        <v>9</v>
      </c>
      <c r="L6" s="21">
        <v>0</v>
      </c>
      <c r="M6" s="21">
        <v>0</v>
      </c>
      <c r="N6" s="21">
        <v>0</v>
      </c>
      <c r="O6" s="21">
        <v>0</v>
      </c>
    </row>
    <row r="7" spans="1:15" s="3" customFormat="1" x14ac:dyDescent="0.2">
      <c r="A7" s="177"/>
      <c r="B7" s="101"/>
      <c r="C7" s="97"/>
      <c r="D7" s="97"/>
      <c r="E7" s="97"/>
      <c r="F7" s="106"/>
      <c r="G7" s="97"/>
      <c r="H7" s="97"/>
      <c r="I7" s="97"/>
      <c r="J7" s="97"/>
      <c r="K7" s="16" t="s">
        <v>10</v>
      </c>
      <c r="L7" s="21">
        <v>0</v>
      </c>
      <c r="M7" s="21">
        <v>0</v>
      </c>
      <c r="N7" s="21">
        <v>0</v>
      </c>
      <c r="O7" s="21">
        <v>0</v>
      </c>
    </row>
    <row r="8" spans="1:15" s="3" customFormat="1" x14ac:dyDescent="0.2">
      <c r="A8" s="177"/>
      <c r="B8" s="101"/>
      <c r="C8" s="97"/>
      <c r="D8" s="97"/>
      <c r="E8" s="97"/>
      <c r="F8" s="106"/>
      <c r="G8" s="97"/>
      <c r="H8" s="97"/>
      <c r="I8" s="97"/>
      <c r="J8" s="97"/>
      <c r="K8" s="16" t="s">
        <v>11</v>
      </c>
      <c r="L8" s="21">
        <v>0</v>
      </c>
      <c r="M8" s="21">
        <v>0</v>
      </c>
      <c r="N8" s="21">
        <v>0</v>
      </c>
      <c r="O8" s="21">
        <v>0</v>
      </c>
    </row>
    <row r="9" spans="1:15" s="3" customFormat="1" x14ac:dyDescent="0.2">
      <c r="A9" s="177"/>
      <c r="B9" s="101"/>
      <c r="C9" s="97"/>
      <c r="D9" s="97"/>
      <c r="E9" s="97"/>
      <c r="F9" s="106"/>
      <c r="G9" s="97"/>
      <c r="H9" s="97"/>
      <c r="I9" s="97"/>
      <c r="J9" s="97"/>
      <c r="K9" s="16" t="s">
        <v>12</v>
      </c>
      <c r="L9" s="21">
        <v>0</v>
      </c>
      <c r="M9" s="21">
        <v>0</v>
      </c>
      <c r="N9" s="21">
        <v>0</v>
      </c>
      <c r="O9" s="21">
        <v>0</v>
      </c>
    </row>
    <row r="10" spans="1:15" s="3" customFormat="1" x14ac:dyDescent="0.2">
      <c r="A10" s="177"/>
      <c r="B10" s="101"/>
      <c r="C10" s="97"/>
      <c r="D10" s="97"/>
      <c r="E10" s="97"/>
      <c r="F10" s="106"/>
      <c r="G10" s="97"/>
      <c r="H10" s="97"/>
      <c r="I10" s="97"/>
      <c r="J10" s="97"/>
      <c r="K10" s="16" t="s">
        <v>13</v>
      </c>
      <c r="L10" s="21">
        <v>0</v>
      </c>
      <c r="M10" s="21">
        <v>0</v>
      </c>
      <c r="N10" s="21">
        <v>0</v>
      </c>
      <c r="O10" s="21">
        <v>0</v>
      </c>
    </row>
    <row r="11" spans="1:15" s="3" customFormat="1" x14ac:dyDescent="0.2">
      <c r="A11" s="177"/>
      <c r="B11" s="101"/>
      <c r="C11" s="97"/>
      <c r="D11" s="97"/>
      <c r="E11" s="97"/>
      <c r="F11" s="106"/>
      <c r="G11" s="97"/>
      <c r="H11" s="97"/>
      <c r="I11" s="97"/>
      <c r="J11" s="97"/>
      <c r="K11" s="16" t="s">
        <v>14</v>
      </c>
      <c r="L11" s="21">
        <v>0</v>
      </c>
      <c r="M11" s="21">
        <v>0</v>
      </c>
      <c r="N11" s="21">
        <v>0</v>
      </c>
      <c r="O11" s="21">
        <v>0</v>
      </c>
    </row>
    <row r="12" spans="1:15" s="3" customFormat="1" x14ac:dyDescent="0.2">
      <c r="A12" s="177"/>
      <c r="B12" s="101"/>
      <c r="C12" s="97"/>
      <c r="D12" s="97"/>
      <c r="E12" s="97"/>
      <c r="F12" s="106"/>
      <c r="G12" s="97"/>
      <c r="H12" s="97"/>
      <c r="I12" s="97"/>
      <c r="J12" s="97"/>
      <c r="K12" s="16" t="s">
        <v>15</v>
      </c>
      <c r="L12" s="21">
        <v>0</v>
      </c>
      <c r="M12" s="21">
        <v>0</v>
      </c>
      <c r="N12" s="21">
        <v>0</v>
      </c>
      <c r="O12" s="21">
        <v>0</v>
      </c>
    </row>
    <row r="13" spans="1:15" s="3" customFormat="1" x14ac:dyDescent="0.2">
      <c r="A13" s="177"/>
      <c r="B13" s="101"/>
      <c r="C13" s="97"/>
      <c r="D13" s="97"/>
      <c r="E13" s="97"/>
      <c r="F13" s="106"/>
      <c r="G13" s="97"/>
      <c r="H13" s="97"/>
      <c r="I13" s="97"/>
      <c r="J13" s="97"/>
      <c r="K13" s="16" t="s">
        <v>16</v>
      </c>
      <c r="L13" s="21">
        <v>0</v>
      </c>
      <c r="M13" s="21">
        <v>0</v>
      </c>
      <c r="N13" s="21">
        <v>0</v>
      </c>
      <c r="O13" s="21">
        <v>0</v>
      </c>
    </row>
    <row r="14" spans="1:15" s="3" customFormat="1" x14ac:dyDescent="0.2">
      <c r="A14" s="177"/>
      <c r="B14" s="101"/>
      <c r="C14" s="97"/>
      <c r="D14" s="97"/>
      <c r="E14" s="97"/>
      <c r="F14" s="106"/>
      <c r="G14" s="97"/>
      <c r="H14" s="97"/>
      <c r="I14" s="97"/>
      <c r="J14" s="97"/>
      <c r="K14" s="16" t="s">
        <v>17</v>
      </c>
      <c r="L14" s="21">
        <v>0</v>
      </c>
      <c r="M14" s="21">
        <v>0</v>
      </c>
      <c r="N14" s="21">
        <v>0</v>
      </c>
      <c r="O14" s="21">
        <v>0</v>
      </c>
    </row>
    <row r="15" spans="1:15" s="3" customFormat="1" x14ac:dyDescent="0.2">
      <c r="A15" s="177"/>
      <c r="B15" s="101"/>
      <c r="C15" s="97"/>
      <c r="D15" s="97"/>
      <c r="E15" s="97"/>
      <c r="F15" s="106"/>
      <c r="G15" s="97"/>
      <c r="H15" s="97"/>
      <c r="I15" s="97"/>
      <c r="J15" s="97"/>
      <c r="K15" s="16" t="s">
        <v>18</v>
      </c>
      <c r="L15" s="21">
        <v>0</v>
      </c>
      <c r="M15" s="21">
        <v>0</v>
      </c>
      <c r="N15" s="21">
        <v>0</v>
      </c>
      <c r="O15" s="21">
        <v>0</v>
      </c>
    </row>
    <row r="16" spans="1:15" s="3" customFormat="1" x14ac:dyDescent="0.2">
      <c r="A16" s="177"/>
      <c r="B16" s="101"/>
      <c r="C16" s="97"/>
      <c r="D16" s="97"/>
      <c r="E16" s="97"/>
      <c r="F16" s="107"/>
      <c r="G16" s="97"/>
      <c r="H16" s="97"/>
      <c r="I16" s="97"/>
      <c r="J16" s="97"/>
      <c r="K16" s="16" t="s">
        <v>0</v>
      </c>
      <c r="L16" s="17">
        <f>SUM(L4:L15)</f>
        <v>0</v>
      </c>
      <c r="M16" s="17">
        <f t="shared" ref="M16:O16" si="0">SUM(M4:M15)</f>
        <v>0</v>
      </c>
      <c r="N16" s="17">
        <f t="shared" si="0"/>
        <v>0</v>
      </c>
      <c r="O16" s="17">
        <f t="shared" si="0"/>
        <v>0</v>
      </c>
    </row>
    <row r="17" spans="1:15" s="8" customFormat="1" ht="12.75" customHeight="1" x14ac:dyDescent="0.2">
      <c r="A17" s="177"/>
      <c r="B17" s="101" t="s">
        <v>59</v>
      </c>
      <c r="C17" s="97" t="s">
        <v>159</v>
      </c>
      <c r="D17" s="97" t="s">
        <v>60</v>
      </c>
      <c r="E17" s="97" t="s">
        <v>111</v>
      </c>
      <c r="F17" s="105" t="s">
        <v>83</v>
      </c>
      <c r="G17" s="97" t="s">
        <v>95</v>
      </c>
      <c r="H17" s="97"/>
      <c r="I17" s="97"/>
      <c r="J17" s="97"/>
      <c r="K17" s="16" t="s">
        <v>7</v>
      </c>
      <c r="L17" s="21">
        <v>0</v>
      </c>
      <c r="M17" s="21">
        <v>0</v>
      </c>
      <c r="N17" s="21">
        <v>0</v>
      </c>
      <c r="O17" s="21">
        <v>0</v>
      </c>
    </row>
    <row r="18" spans="1:15" s="8" customFormat="1" x14ac:dyDescent="0.2">
      <c r="A18" s="177"/>
      <c r="B18" s="101"/>
      <c r="C18" s="97"/>
      <c r="D18" s="97"/>
      <c r="E18" s="97"/>
      <c r="F18" s="106"/>
      <c r="G18" s="97"/>
      <c r="H18" s="97"/>
      <c r="I18" s="97"/>
      <c r="J18" s="97"/>
      <c r="K18" s="16" t="s">
        <v>8</v>
      </c>
      <c r="L18" s="21">
        <v>0</v>
      </c>
      <c r="M18" s="21">
        <v>0</v>
      </c>
      <c r="N18" s="21">
        <v>0</v>
      </c>
      <c r="O18" s="21">
        <v>0</v>
      </c>
    </row>
    <row r="19" spans="1:15" s="8" customFormat="1" x14ac:dyDescent="0.2">
      <c r="A19" s="177"/>
      <c r="B19" s="101"/>
      <c r="C19" s="97"/>
      <c r="D19" s="97"/>
      <c r="E19" s="97"/>
      <c r="F19" s="106"/>
      <c r="G19" s="97"/>
      <c r="H19" s="97"/>
      <c r="I19" s="97"/>
      <c r="J19" s="97"/>
      <c r="K19" s="16" t="s">
        <v>9</v>
      </c>
      <c r="L19" s="21">
        <v>0</v>
      </c>
      <c r="M19" s="21">
        <v>0</v>
      </c>
      <c r="N19" s="21">
        <v>0</v>
      </c>
      <c r="O19" s="21">
        <v>0</v>
      </c>
    </row>
    <row r="20" spans="1:15" s="8" customFormat="1" x14ac:dyDescent="0.2">
      <c r="A20" s="177"/>
      <c r="B20" s="101"/>
      <c r="C20" s="97"/>
      <c r="D20" s="97"/>
      <c r="E20" s="97"/>
      <c r="F20" s="106"/>
      <c r="G20" s="97"/>
      <c r="H20" s="97"/>
      <c r="I20" s="97"/>
      <c r="J20" s="97"/>
      <c r="K20" s="16" t="s">
        <v>10</v>
      </c>
      <c r="L20" s="21">
        <v>0</v>
      </c>
      <c r="M20" s="21">
        <v>0</v>
      </c>
      <c r="N20" s="21">
        <v>0</v>
      </c>
      <c r="O20" s="21">
        <v>0</v>
      </c>
    </row>
    <row r="21" spans="1:15" s="8" customFormat="1" x14ac:dyDescent="0.2">
      <c r="A21" s="177"/>
      <c r="B21" s="101"/>
      <c r="C21" s="97"/>
      <c r="D21" s="97"/>
      <c r="E21" s="97"/>
      <c r="F21" s="106"/>
      <c r="G21" s="97"/>
      <c r="H21" s="97"/>
      <c r="I21" s="97"/>
      <c r="J21" s="97"/>
      <c r="K21" s="16" t="s">
        <v>11</v>
      </c>
      <c r="L21" s="21">
        <v>0</v>
      </c>
      <c r="M21" s="21">
        <v>0</v>
      </c>
      <c r="N21" s="21">
        <v>0</v>
      </c>
      <c r="O21" s="21">
        <v>0</v>
      </c>
    </row>
    <row r="22" spans="1:15" s="8" customFormat="1" x14ac:dyDescent="0.2">
      <c r="A22" s="177"/>
      <c r="B22" s="101"/>
      <c r="C22" s="97"/>
      <c r="D22" s="97"/>
      <c r="E22" s="97"/>
      <c r="F22" s="106"/>
      <c r="G22" s="97"/>
      <c r="H22" s="97"/>
      <c r="I22" s="97"/>
      <c r="J22" s="97"/>
      <c r="K22" s="16" t="s">
        <v>12</v>
      </c>
      <c r="L22" s="21">
        <v>0</v>
      </c>
      <c r="M22" s="21">
        <v>0</v>
      </c>
      <c r="N22" s="21">
        <v>0</v>
      </c>
      <c r="O22" s="21">
        <v>0</v>
      </c>
    </row>
    <row r="23" spans="1:15" s="8" customFormat="1" x14ac:dyDescent="0.2">
      <c r="A23" s="177"/>
      <c r="B23" s="101"/>
      <c r="C23" s="97"/>
      <c r="D23" s="97"/>
      <c r="E23" s="97"/>
      <c r="F23" s="106"/>
      <c r="G23" s="97"/>
      <c r="H23" s="97"/>
      <c r="I23" s="97"/>
      <c r="J23" s="97"/>
      <c r="K23" s="16" t="s">
        <v>13</v>
      </c>
      <c r="L23" s="21">
        <v>0</v>
      </c>
      <c r="M23" s="21">
        <v>0</v>
      </c>
      <c r="N23" s="21">
        <v>0</v>
      </c>
      <c r="O23" s="21">
        <v>0</v>
      </c>
    </row>
    <row r="24" spans="1:15" s="8" customFormat="1" x14ac:dyDescent="0.2">
      <c r="A24" s="177"/>
      <c r="B24" s="101"/>
      <c r="C24" s="97"/>
      <c r="D24" s="97"/>
      <c r="E24" s="97"/>
      <c r="F24" s="106"/>
      <c r="G24" s="97"/>
      <c r="H24" s="97"/>
      <c r="I24" s="97"/>
      <c r="J24" s="97"/>
      <c r="K24" s="16" t="s">
        <v>14</v>
      </c>
      <c r="L24" s="21">
        <v>0</v>
      </c>
      <c r="M24" s="21">
        <v>0</v>
      </c>
      <c r="N24" s="21">
        <v>0</v>
      </c>
      <c r="O24" s="21">
        <v>0</v>
      </c>
    </row>
    <row r="25" spans="1:15" s="8" customFormat="1" x14ac:dyDescent="0.2">
      <c r="A25" s="177"/>
      <c r="B25" s="101"/>
      <c r="C25" s="97"/>
      <c r="D25" s="97"/>
      <c r="E25" s="97"/>
      <c r="F25" s="106"/>
      <c r="G25" s="97"/>
      <c r="H25" s="97"/>
      <c r="I25" s="97"/>
      <c r="J25" s="97"/>
      <c r="K25" s="16" t="s">
        <v>15</v>
      </c>
      <c r="L25" s="21">
        <v>0</v>
      </c>
      <c r="M25" s="21">
        <v>0</v>
      </c>
      <c r="N25" s="21">
        <v>0</v>
      </c>
      <c r="O25" s="21">
        <v>0</v>
      </c>
    </row>
    <row r="26" spans="1:15" s="8" customFormat="1" x14ac:dyDescent="0.2">
      <c r="A26" s="177"/>
      <c r="B26" s="101"/>
      <c r="C26" s="97"/>
      <c r="D26" s="97"/>
      <c r="E26" s="97"/>
      <c r="F26" s="106"/>
      <c r="G26" s="97"/>
      <c r="H26" s="97"/>
      <c r="I26" s="97"/>
      <c r="J26" s="97"/>
      <c r="K26" s="16" t="s">
        <v>16</v>
      </c>
      <c r="L26" s="21">
        <v>0</v>
      </c>
      <c r="M26" s="21">
        <v>0</v>
      </c>
      <c r="N26" s="21">
        <v>0</v>
      </c>
      <c r="O26" s="21">
        <v>0</v>
      </c>
    </row>
    <row r="27" spans="1:15" s="8" customFormat="1" x14ac:dyDescent="0.2">
      <c r="A27" s="177"/>
      <c r="B27" s="101"/>
      <c r="C27" s="97"/>
      <c r="D27" s="97"/>
      <c r="E27" s="97"/>
      <c r="F27" s="106"/>
      <c r="G27" s="97"/>
      <c r="H27" s="97"/>
      <c r="I27" s="97"/>
      <c r="J27" s="97"/>
      <c r="K27" s="16" t="s">
        <v>17</v>
      </c>
      <c r="L27" s="21">
        <v>0</v>
      </c>
      <c r="M27" s="21">
        <v>0</v>
      </c>
      <c r="N27" s="21">
        <v>0</v>
      </c>
      <c r="O27" s="21">
        <v>0</v>
      </c>
    </row>
    <row r="28" spans="1:15" s="8" customFormat="1" x14ac:dyDescent="0.2">
      <c r="A28" s="177"/>
      <c r="B28" s="101"/>
      <c r="C28" s="97"/>
      <c r="D28" s="97"/>
      <c r="E28" s="97"/>
      <c r="F28" s="106"/>
      <c r="G28" s="97"/>
      <c r="H28" s="97"/>
      <c r="I28" s="97"/>
      <c r="J28" s="97"/>
      <c r="K28" s="16" t="s">
        <v>18</v>
      </c>
      <c r="L28" s="21">
        <v>0</v>
      </c>
      <c r="M28" s="21">
        <v>0</v>
      </c>
      <c r="N28" s="21">
        <v>0</v>
      </c>
      <c r="O28" s="21">
        <v>0</v>
      </c>
    </row>
    <row r="29" spans="1:15" s="8" customFormat="1" x14ac:dyDescent="0.2">
      <c r="A29" s="177"/>
      <c r="B29" s="101"/>
      <c r="C29" s="97"/>
      <c r="D29" s="97"/>
      <c r="E29" s="97"/>
      <c r="F29" s="107"/>
      <c r="G29" s="97"/>
      <c r="H29" s="97"/>
      <c r="I29" s="97"/>
      <c r="J29" s="97"/>
      <c r="K29" s="16" t="s">
        <v>0</v>
      </c>
      <c r="L29" s="17">
        <f>SUM(L17:L28)</f>
        <v>0</v>
      </c>
      <c r="M29" s="17">
        <f t="shared" ref="M29" si="1">SUM(M17:M28)</f>
        <v>0</v>
      </c>
      <c r="N29" s="17">
        <f t="shared" ref="N29" si="2">SUM(N17:N28)</f>
        <v>0</v>
      </c>
      <c r="O29" s="17">
        <f t="shared" ref="O29" si="3">SUM(O17:O28)</f>
        <v>0</v>
      </c>
    </row>
    <row r="30" spans="1:15" ht="12.75" customHeight="1" x14ac:dyDescent="0.2">
      <c r="A30" s="177"/>
      <c r="B30" s="101" t="s">
        <v>59</v>
      </c>
      <c r="C30" s="97" t="s">
        <v>195</v>
      </c>
      <c r="D30" s="97" t="s">
        <v>61</v>
      </c>
      <c r="E30" s="97" t="s">
        <v>113</v>
      </c>
      <c r="F30" s="97" t="s">
        <v>82</v>
      </c>
      <c r="G30" s="97" t="s">
        <v>95</v>
      </c>
      <c r="H30" s="97"/>
      <c r="I30" s="97"/>
      <c r="J30" s="97"/>
      <c r="K30" s="16" t="s">
        <v>7</v>
      </c>
      <c r="L30" s="22">
        <v>0</v>
      </c>
      <c r="M30" s="22">
        <v>0</v>
      </c>
      <c r="N30" s="22">
        <v>0</v>
      </c>
      <c r="O30" s="22">
        <v>0</v>
      </c>
    </row>
    <row r="31" spans="1:15" x14ac:dyDescent="0.2">
      <c r="A31" s="177"/>
      <c r="B31" s="101"/>
      <c r="C31" s="97"/>
      <c r="D31" s="97"/>
      <c r="E31" s="97"/>
      <c r="F31" s="97"/>
      <c r="G31" s="97"/>
      <c r="H31" s="97"/>
      <c r="I31" s="97"/>
      <c r="J31" s="97"/>
      <c r="K31" s="16" t="s">
        <v>8</v>
      </c>
      <c r="L31" s="22">
        <v>0</v>
      </c>
      <c r="M31" s="22">
        <v>0</v>
      </c>
      <c r="N31" s="22">
        <v>0</v>
      </c>
      <c r="O31" s="22">
        <v>0</v>
      </c>
    </row>
    <row r="32" spans="1:15" x14ac:dyDescent="0.2">
      <c r="A32" s="177"/>
      <c r="B32" s="101"/>
      <c r="C32" s="97"/>
      <c r="D32" s="97"/>
      <c r="E32" s="97"/>
      <c r="F32" s="97"/>
      <c r="G32" s="97"/>
      <c r="H32" s="97"/>
      <c r="I32" s="97"/>
      <c r="J32" s="97"/>
      <c r="K32" s="16" t="s">
        <v>9</v>
      </c>
      <c r="L32" s="22">
        <v>0</v>
      </c>
      <c r="M32" s="22">
        <v>0</v>
      </c>
      <c r="N32" s="22">
        <v>0</v>
      </c>
      <c r="O32" s="22">
        <v>0</v>
      </c>
    </row>
    <row r="33" spans="1:15" x14ac:dyDescent="0.2">
      <c r="A33" s="177"/>
      <c r="B33" s="101"/>
      <c r="C33" s="97"/>
      <c r="D33" s="97"/>
      <c r="E33" s="97"/>
      <c r="F33" s="97"/>
      <c r="G33" s="97"/>
      <c r="H33" s="97"/>
      <c r="I33" s="97"/>
      <c r="J33" s="97"/>
      <c r="K33" s="16" t="s">
        <v>10</v>
      </c>
      <c r="L33" s="22">
        <v>0</v>
      </c>
      <c r="M33" s="22">
        <v>0</v>
      </c>
      <c r="N33" s="22">
        <v>0</v>
      </c>
      <c r="O33" s="22">
        <v>0</v>
      </c>
    </row>
    <row r="34" spans="1:15" x14ac:dyDescent="0.2">
      <c r="A34" s="177"/>
      <c r="B34" s="101"/>
      <c r="C34" s="97"/>
      <c r="D34" s="97"/>
      <c r="E34" s="97"/>
      <c r="F34" s="97"/>
      <c r="G34" s="97"/>
      <c r="H34" s="97"/>
      <c r="I34" s="97"/>
      <c r="J34" s="97"/>
      <c r="K34" s="16" t="s">
        <v>11</v>
      </c>
      <c r="L34" s="22">
        <v>0</v>
      </c>
      <c r="M34" s="22">
        <v>0</v>
      </c>
      <c r="N34" s="22">
        <v>0</v>
      </c>
      <c r="O34" s="22">
        <v>0</v>
      </c>
    </row>
    <row r="35" spans="1:15" x14ac:dyDescent="0.2">
      <c r="A35" s="177"/>
      <c r="B35" s="101"/>
      <c r="C35" s="97"/>
      <c r="D35" s="97"/>
      <c r="E35" s="97"/>
      <c r="F35" s="97"/>
      <c r="G35" s="97"/>
      <c r="H35" s="97"/>
      <c r="I35" s="97"/>
      <c r="J35" s="97"/>
      <c r="K35" s="16" t="s">
        <v>12</v>
      </c>
      <c r="L35" s="22">
        <v>0</v>
      </c>
      <c r="M35" s="22">
        <v>0</v>
      </c>
      <c r="N35" s="22">
        <v>0</v>
      </c>
      <c r="O35" s="22">
        <v>0</v>
      </c>
    </row>
    <row r="36" spans="1:15" x14ac:dyDescent="0.2">
      <c r="A36" s="177"/>
      <c r="B36" s="101"/>
      <c r="C36" s="97"/>
      <c r="D36" s="97"/>
      <c r="E36" s="97"/>
      <c r="F36" s="97"/>
      <c r="G36" s="97"/>
      <c r="H36" s="97"/>
      <c r="I36" s="97"/>
      <c r="J36" s="97"/>
      <c r="K36" s="16" t="s">
        <v>13</v>
      </c>
      <c r="L36" s="22">
        <v>0</v>
      </c>
      <c r="M36" s="22">
        <v>0</v>
      </c>
      <c r="N36" s="22">
        <v>0</v>
      </c>
      <c r="O36" s="22">
        <v>0</v>
      </c>
    </row>
    <row r="37" spans="1:15" x14ac:dyDescent="0.2">
      <c r="A37" s="177"/>
      <c r="B37" s="101"/>
      <c r="C37" s="97"/>
      <c r="D37" s="97"/>
      <c r="E37" s="97"/>
      <c r="F37" s="97"/>
      <c r="G37" s="97"/>
      <c r="H37" s="97"/>
      <c r="I37" s="97"/>
      <c r="J37" s="97"/>
      <c r="K37" s="16" t="s">
        <v>14</v>
      </c>
      <c r="L37" s="22">
        <v>0</v>
      </c>
      <c r="M37" s="22">
        <v>0</v>
      </c>
      <c r="N37" s="22">
        <v>0</v>
      </c>
      <c r="O37" s="22">
        <v>0</v>
      </c>
    </row>
    <row r="38" spans="1:15" x14ac:dyDescent="0.2">
      <c r="A38" s="177"/>
      <c r="B38" s="101"/>
      <c r="C38" s="97"/>
      <c r="D38" s="97"/>
      <c r="E38" s="97"/>
      <c r="F38" s="97"/>
      <c r="G38" s="97"/>
      <c r="H38" s="97"/>
      <c r="I38" s="97"/>
      <c r="J38" s="97"/>
      <c r="K38" s="16" t="s">
        <v>15</v>
      </c>
      <c r="L38" s="22">
        <v>0</v>
      </c>
      <c r="M38" s="22">
        <v>0</v>
      </c>
      <c r="N38" s="22">
        <v>0</v>
      </c>
      <c r="O38" s="22">
        <v>0</v>
      </c>
    </row>
    <row r="39" spans="1:15" x14ac:dyDescent="0.2">
      <c r="A39" s="177"/>
      <c r="B39" s="101"/>
      <c r="C39" s="97"/>
      <c r="D39" s="97"/>
      <c r="E39" s="97"/>
      <c r="F39" s="97"/>
      <c r="G39" s="97"/>
      <c r="H39" s="97"/>
      <c r="I39" s="97"/>
      <c r="J39" s="97"/>
      <c r="K39" s="16" t="s">
        <v>16</v>
      </c>
      <c r="L39" s="22">
        <v>0</v>
      </c>
      <c r="M39" s="22">
        <v>0</v>
      </c>
      <c r="N39" s="22">
        <v>0</v>
      </c>
      <c r="O39" s="22">
        <v>0</v>
      </c>
    </row>
    <row r="40" spans="1:15" x14ac:dyDescent="0.2">
      <c r="A40" s="177"/>
      <c r="B40" s="101"/>
      <c r="C40" s="97"/>
      <c r="D40" s="97"/>
      <c r="E40" s="97"/>
      <c r="F40" s="97"/>
      <c r="G40" s="97"/>
      <c r="H40" s="97"/>
      <c r="I40" s="97"/>
      <c r="J40" s="97"/>
      <c r="K40" s="16" t="s">
        <v>17</v>
      </c>
      <c r="L40" s="22">
        <v>0</v>
      </c>
      <c r="M40" s="22">
        <v>0</v>
      </c>
      <c r="N40" s="22">
        <v>0</v>
      </c>
      <c r="O40" s="22">
        <v>0</v>
      </c>
    </row>
    <row r="41" spans="1:15" x14ac:dyDescent="0.2">
      <c r="A41" s="177"/>
      <c r="B41" s="101"/>
      <c r="C41" s="97"/>
      <c r="D41" s="97"/>
      <c r="E41" s="97"/>
      <c r="F41" s="97"/>
      <c r="G41" s="97"/>
      <c r="H41" s="97"/>
      <c r="I41" s="97"/>
      <c r="J41" s="97"/>
      <c r="K41" s="16" t="s">
        <v>18</v>
      </c>
      <c r="L41" s="22">
        <v>0</v>
      </c>
      <c r="M41" s="22">
        <v>0</v>
      </c>
      <c r="N41" s="22">
        <v>0</v>
      </c>
      <c r="O41" s="22">
        <v>0</v>
      </c>
    </row>
    <row r="42" spans="1:15" x14ac:dyDescent="0.2">
      <c r="A42" s="177"/>
      <c r="B42" s="101"/>
      <c r="C42" s="97"/>
      <c r="D42" s="97"/>
      <c r="E42" s="97"/>
      <c r="F42" s="97"/>
      <c r="G42" s="97"/>
      <c r="H42" s="97"/>
      <c r="I42" s="97"/>
      <c r="J42" s="97"/>
      <c r="K42" s="16" t="s">
        <v>0</v>
      </c>
      <c r="L42" s="18">
        <f>SUM(L30:L41)</f>
        <v>0</v>
      </c>
      <c r="M42" s="18">
        <f t="shared" ref="M42" si="4">SUM(M30:M41)</f>
        <v>0</v>
      </c>
      <c r="N42" s="18">
        <f t="shared" ref="N42" si="5">SUM(N30:N41)</f>
        <v>0</v>
      </c>
      <c r="O42" s="18">
        <f t="shared" ref="O42" si="6">SUM(O30:O41)</f>
        <v>0</v>
      </c>
    </row>
    <row r="43" spans="1:15" x14ac:dyDescent="0.2">
      <c r="A43" s="177"/>
      <c r="B43" s="101" t="s">
        <v>59</v>
      </c>
      <c r="C43" s="97" t="s">
        <v>160</v>
      </c>
      <c r="D43" s="97" t="s">
        <v>61</v>
      </c>
      <c r="E43" s="97" t="s">
        <v>113</v>
      </c>
      <c r="F43" s="97" t="s">
        <v>82</v>
      </c>
      <c r="G43" s="97" t="s">
        <v>95</v>
      </c>
      <c r="H43" s="97"/>
      <c r="I43" s="97"/>
      <c r="J43" s="97"/>
      <c r="K43" s="16" t="s">
        <v>7</v>
      </c>
      <c r="L43" s="22">
        <v>0</v>
      </c>
      <c r="M43" s="22">
        <v>0</v>
      </c>
      <c r="N43" s="22">
        <v>0</v>
      </c>
      <c r="O43" s="22">
        <v>0</v>
      </c>
    </row>
    <row r="44" spans="1:15" x14ac:dyDescent="0.2">
      <c r="A44" s="177"/>
      <c r="B44" s="101"/>
      <c r="C44" s="97"/>
      <c r="D44" s="97"/>
      <c r="E44" s="97"/>
      <c r="F44" s="97"/>
      <c r="G44" s="97"/>
      <c r="H44" s="97"/>
      <c r="I44" s="97"/>
      <c r="J44" s="97"/>
      <c r="K44" s="16" t="s">
        <v>8</v>
      </c>
      <c r="L44" s="22">
        <v>0</v>
      </c>
      <c r="M44" s="22">
        <v>0</v>
      </c>
      <c r="N44" s="22">
        <v>0</v>
      </c>
      <c r="O44" s="22">
        <v>0</v>
      </c>
    </row>
    <row r="45" spans="1:15" x14ac:dyDescent="0.2">
      <c r="A45" s="177"/>
      <c r="B45" s="101"/>
      <c r="C45" s="97"/>
      <c r="D45" s="97"/>
      <c r="E45" s="97"/>
      <c r="F45" s="97"/>
      <c r="G45" s="97"/>
      <c r="H45" s="97"/>
      <c r="I45" s="97"/>
      <c r="J45" s="97"/>
      <c r="K45" s="16" t="s">
        <v>9</v>
      </c>
      <c r="L45" s="22">
        <v>0</v>
      </c>
      <c r="M45" s="22">
        <v>0</v>
      </c>
      <c r="N45" s="22">
        <v>0</v>
      </c>
      <c r="O45" s="22">
        <v>0</v>
      </c>
    </row>
    <row r="46" spans="1:15" x14ac:dyDescent="0.2">
      <c r="A46" s="177"/>
      <c r="B46" s="101"/>
      <c r="C46" s="97"/>
      <c r="D46" s="97"/>
      <c r="E46" s="97"/>
      <c r="F46" s="97"/>
      <c r="G46" s="97"/>
      <c r="H46" s="97"/>
      <c r="I46" s="97"/>
      <c r="J46" s="97"/>
      <c r="K46" s="16" t="s">
        <v>10</v>
      </c>
      <c r="L46" s="22">
        <v>0</v>
      </c>
      <c r="M46" s="22">
        <v>0</v>
      </c>
      <c r="N46" s="22">
        <v>0</v>
      </c>
      <c r="O46" s="22">
        <v>0</v>
      </c>
    </row>
    <row r="47" spans="1:15" x14ac:dyDescent="0.2">
      <c r="A47" s="177"/>
      <c r="B47" s="101"/>
      <c r="C47" s="97"/>
      <c r="D47" s="97"/>
      <c r="E47" s="97"/>
      <c r="F47" s="97"/>
      <c r="G47" s="97"/>
      <c r="H47" s="97"/>
      <c r="I47" s="97"/>
      <c r="J47" s="97"/>
      <c r="K47" s="16" t="s">
        <v>11</v>
      </c>
      <c r="L47" s="22">
        <v>0</v>
      </c>
      <c r="M47" s="22">
        <v>0</v>
      </c>
      <c r="N47" s="22">
        <v>0</v>
      </c>
      <c r="O47" s="22">
        <v>0</v>
      </c>
    </row>
    <row r="48" spans="1:15" x14ac:dyDescent="0.2">
      <c r="A48" s="177"/>
      <c r="B48" s="101"/>
      <c r="C48" s="97"/>
      <c r="D48" s="97"/>
      <c r="E48" s="97"/>
      <c r="F48" s="97"/>
      <c r="G48" s="97"/>
      <c r="H48" s="97"/>
      <c r="I48" s="97"/>
      <c r="J48" s="97"/>
      <c r="K48" s="16" t="s">
        <v>12</v>
      </c>
      <c r="L48" s="22">
        <v>0</v>
      </c>
      <c r="M48" s="22">
        <v>0</v>
      </c>
      <c r="N48" s="22">
        <v>0</v>
      </c>
      <c r="O48" s="22">
        <v>0</v>
      </c>
    </row>
    <row r="49" spans="1:15" x14ac:dyDescent="0.2">
      <c r="A49" s="177"/>
      <c r="B49" s="101"/>
      <c r="C49" s="97"/>
      <c r="D49" s="97"/>
      <c r="E49" s="97"/>
      <c r="F49" s="97"/>
      <c r="G49" s="97"/>
      <c r="H49" s="97"/>
      <c r="I49" s="97"/>
      <c r="J49" s="97"/>
      <c r="K49" s="16" t="s">
        <v>13</v>
      </c>
      <c r="L49" s="22">
        <v>1</v>
      </c>
      <c r="M49" s="22">
        <v>0</v>
      </c>
      <c r="N49" s="22">
        <v>0</v>
      </c>
      <c r="O49" s="22">
        <v>0</v>
      </c>
    </row>
    <row r="50" spans="1:15" x14ac:dyDescent="0.2">
      <c r="A50" s="177"/>
      <c r="B50" s="101"/>
      <c r="C50" s="97"/>
      <c r="D50" s="97"/>
      <c r="E50" s="97"/>
      <c r="F50" s="97"/>
      <c r="G50" s="97"/>
      <c r="H50" s="97"/>
      <c r="I50" s="97"/>
      <c r="J50" s="97"/>
      <c r="K50" s="16" t="s">
        <v>14</v>
      </c>
      <c r="L50" s="22">
        <v>0</v>
      </c>
      <c r="M50" s="22">
        <v>0</v>
      </c>
      <c r="N50" s="22">
        <v>0</v>
      </c>
      <c r="O50" s="22">
        <v>0</v>
      </c>
    </row>
    <row r="51" spans="1:15" x14ac:dyDescent="0.2">
      <c r="A51" s="177"/>
      <c r="B51" s="101"/>
      <c r="C51" s="97"/>
      <c r="D51" s="97"/>
      <c r="E51" s="97"/>
      <c r="F51" s="97"/>
      <c r="G51" s="97"/>
      <c r="H51" s="97"/>
      <c r="I51" s="97"/>
      <c r="J51" s="97"/>
      <c r="K51" s="16" t="s">
        <v>15</v>
      </c>
      <c r="L51" s="22">
        <v>0</v>
      </c>
      <c r="M51" s="22">
        <v>0</v>
      </c>
      <c r="N51" s="22">
        <v>0</v>
      </c>
      <c r="O51" s="22">
        <v>0</v>
      </c>
    </row>
    <row r="52" spans="1:15" x14ac:dyDescent="0.2">
      <c r="A52" s="177"/>
      <c r="B52" s="101"/>
      <c r="C52" s="97"/>
      <c r="D52" s="97"/>
      <c r="E52" s="97"/>
      <c r="F52" s="97"/>
      <c r="G52" s="97"/>
      <c r="H52" s="97"/>
      <c r="I52" s="97"/>
      <c r="J52" s="97"/>
      <c r="K52" s="16" t="s">
        <v>16</v>
      </c>
      <c r="L52" s="22">
        <v>0</v>
      </c>
      <c r="M52" s="22">
        <v>0</v>
      </c>
      <c r="N52" s="22">
        <v>0</v>
      </c>
      <c r="O52" s="22">
        <v>0</v>
      </c>
    </row>
    <row r="53" spans="1:15" x14ac:dyDescent="0.2">
      <c r="A53" s="177"/>
      <c r="B53" s="101"/>
      <c r="C53" s="97"/>
      <c r="D53" s="97"/>
      <c r="E53" s="97"/>
      <c r="F53" s="97"/>
      <c r="G53" s="97"/>
      <c r="H53" s="97"/>
      <c r="I53" s="97"/>
      <c r="J53" s="97"/>
      <c r="K53" s="16" t="s">
        <v>17</v>
      </c>
      <c r="L53" s="22">
        <v>0</v>
      </c>
      <c r="M53" s="22">
        <v>0</v>
      </c>
      <c r="N53" s="22">
        <v>0</v>
      </c>
      <c r="O53" s="22">
        <v>0</v>
      </c>
    </row>
    <row r="54" spans="1:15" x14ac:dyDescent="0.2">
      <c r="A54" s="177"/>
      <c r="B54" s="101"/>
      <c r="C54" s="97"/>
      <c r="D54" s="97"/>
      <c r="E54" s="97"/>
      <c r="F54" s="97"/>
      <c r="G54" s="97"/>
      <c r="H54" s="97"/>
      <c r="I54" s="97"/>
      <c r="J54" s="97"/>
      <c r="K54" s="16" t="s">
        <v>18</v>
      </c>
      <c r="L54" s="22">
        <v>0</v>
      </c>
      <c r="M54" s="22">
        <v>0</v>
      </c>
      <c r="N54" s="22">
        <v>0</v>
      </c>
      <c r="O54" s="22">
        <v>0</v>
      </c>
    </row>
    <row r="55" spans="1:15" x14ac:dyDescent="0.2">
      <c r="A55" s="177"/>
      <c r="B55" s="101"/>
      <c r="C55" s="97"/>
      <c r="D55" s="97"/>
      <c r="E55" s="97"/>
      <c r="F55" s="97"/>
      <c r="G55" s="97"/>
      <c r="H55" s="97"/>
      <c r="I55" s="97"/>
      <c r="J55" s="97"/>
      <c r="K55" s="16" t="s">
        <v>0</v>
      </c>
      <c r="L55" s="18">
        <f>SUM(L43:L54)</f>
        <v>1</v>
      </c>
      <c r="M55" s="18">
        <f t="shared" ref="M55" si="7">SUM(M43:M54)</f>
        <v>0</v>
      </c>
      <c r="N55" s="18">
        <f t="shared" ref="N55" si="8">SUM(N43:N54)</f>
        <v>0</v>
      </c>
      <c r="O55" s="18">
        <f t="shared" ref="O55" si="9">SUM(O43:O54)</f>
        <v>0</v>
      </c>
    </row>
    <row r="56" spans="1:15" x14ac:dyDescent="0.2">
      <c r="A56" s="177"/>
      <c r="B56" s="101" t="s">
        <v>59</v>
      </c>
      <c r="C56" s="97" t="s">
        <v>196</v>
      </c>
      <c r="D56" s="97" t="s">
        <v>62</v>
      </c>
      <c r="E56" s="111" t="s">
        <v>112</v>
      </c>
      <c r="F56" s="97" t="s">
        <v>83</v>
      </c>
      <c r="G56" s="97" t="s">
        <v>95</v>
      </c>
      <c r="H56" s="97"/>
      <c r="I56" s="97"/>
      <c r="J56" s="97"/>
      <c r="K56" s="16" t="s">
        <v>7</v>
      </c>
      <c r="L56" s="21">
        <v>0</v>
      </c>
      <c r="M56" s="21">
        <v>0</v>
      </c>
      <c r="N56" s="21">
        <v>0</v>
      </c>
      <c r="O56" s="21">
        <v>0</v>
      </c>
    </row>
    <row r="57" spans="1:15" x14ac:dyDescent="0.2">
      <c r="A57" s="177"/>
      <c r="B57" s="101"/>
      <c r="C57" s="97"/>
      <c r="D57" s="97"/>
      <c r="E57" s="111"/>
      <c r="F57" s="97"/>
      <c r="G57" s="97"/>
      <c r="H57" s="97"/>
      <c r="I57" s="97"/>
      <c r="J57" s="97"/>
      <c r="K57" s="16" t="s">
        <v>8</v>
      </c>
      <c r="L57" s="21">
        <v>0</v>
      </c>
      <c r="M57" s="21">
        <v>0</v>
      </c>
      <c r="N57" s="21">
        <v>0</v>
      </c>
      <c r="O57" s="21">
        <v>0</v>
      </c>
    </row>
    <row r="58" spans="1:15" x14ac:dyDescent="0.2">
      <c r="A58" s="177"/>
      <c r="B58" s="101"/>
      <c r="C58" s="97"/>
      <c r="D58" s="97"/>
      <c r="E58" s="111"/>
      <c r="F58" s="97"/>
      <c r="G58" s="97"/>
      <c r="H58" s="97"/>
      <c r="I58" s="97"/>
      <c r="J58" s="97"/>
      <c r="K58" s="16" t="s">
        <v>9</v>
      </c>
      <c r="L58" s="21">
        <v>0</v>
      </c>
      <c r="M58" s="21">
        <v>0</v>
      </c>
      <c r="N58" s="21">
        <v>0</v>
      </c>
      <c r="O58" s="21">
        <v>0</v>
      </c>
    </row>
    <row r="59" spans="1:15" x14ac:dyDescent="0.2">
      <c r="A59" s="177"/>
      <c r="B59" s="101"/>
      <c r="C59" s="97"/>
      <c r="D59" s="97"/>
      <c r="E59" s="111"/>
      <c r="F59" s="97"/>
      <c r="G59" s="97"/>
      <c r="H59" s="97"/>
      <c r="I59" s="97"/>
      <c r="J59" s="97"/>
      <c r="K59" s="16" t="s">
        <v>10</v>
      </c>
      <c r="L59" s="21">
        <v>0</v>
      </c>
      <c r="M59" s="21">
        <v>0</v>
      </c>
      <c r="N59" s="21">
        <v>0</v>
      </c>
      <c r="O59" s="21">
        <v>0</v>
      </c>
    </row>
    <row r="60" spans="1:15" x14ac:dyDescent="0.2">
      <c r="A60" s="177"/>
      <c r="B60" s="101"/>
      <c r="C60" s="97"/>
      <c r="D60" s="97"/>
      <c r="E60" s="111"/>
      <c r="F60" s="97"/>
      <c r="G60" s="97"/>
      <c r="H60" s="97"/>
      <c r="I60" s="97"/>
      <c r="J60" s="97"/>
      <c r="K60" s="16" t="s">
        <v>11</v>
      </c>
      <c r="L60" s="21">
        <v>0</v>
      </c>
      <c r="M60" s="21">
        <v>0</v>
      </c>
      <c r="N60" s="21">
        <v>0</v>
      </c>
      <c r="O60" s="21">
        <v>0</v>
      </c>
    </row>
    <row r="61" spans="1:15" x14ac:dyDescent="0.2">
      <c r="A61" s="177"/>
      <c r="B61" s="101"/>
      <c r="C61" s="97"/>
      <c r="D61" s="97"/>
      <c r="E61" s="111"/>
      <c r="F61" s="97"/>
      <c r="G61" s="97"/>
      <c r="H61" s="97"/>
      <c r="I61" s="97"/>
      <c r="J61" s="97"/>
      <c r="K61" s="16" t="s">
        <v>12</v>
      </c>
      <c r="L61" s="21">
        <v>0</v>
      </c>
      <c r="M61" s="21">
        <v>0</v>
      </c>
      <c r="N61" s="21">
        <v>0</v>
      </c>
      <c r="O61" s="21">
        <v>0</v>
      </c>
    </row>
    <row r="62" spans="1:15" x14ac:dyDescent="0.2">
      <c r="A62" s="177"/>
      <c r="B62" s="101"/>
      <c r="C62" s="97"/>
      <c r="D62" s="97"/>
      <c r="E62" s="111"/>
      <c r="F62" s="97"/>
      <c r="G62" s="97"/>
      <c r="H62" s="97"/>
      <c r="I62" s="97"/>
      <c r="J62" s="97"/>
      <c r="K62" s="16" t="s">
        <v>13</v>
      </c>
      <c r="L62" s="21">
        <v>0</v>
      </c>
      <c r="M62" s="21">
        <v>0</v>
      </c>
      <c r="N62" s="21">
        <v>0</v>
      </c>
      <c r="O62" s="21">
        <v>0</v>
      </c>
    </row>
    <row r="63" spans="1:15" x14ac:dyDescent="0.2">
      <c r="A63" s="177"/>
      <c r="B63" s="101"/>
      <c r="C63" s="97"/>
      <c r="D63" s="97"/>
      <c r="E63" s="111"/>
      <c r="F63" s="97"/>
      <c r="G63" s="97"/>
      <c r="H63" s="97"/>
      <c r="I63" s="97"/>
      <c r="J63" s="97"/>
      <c r="K63" s="16" t="s">
        <v>14</v>
      </c>
      <c r="L63" s="21">
        <v>0</v>
      </c>
      <c r="M63" s="21">
        <v>0</v>
      </c>
      <c r="N63" s="21">
        <v>0</v>
      </c>
      <c r="O63" s="21">
        <v>0</v>
      </c>
    </row>
    <row r="64" spans="1:15" x14ac:dyDescent="0.2">
      <c r="A64" s="177"/>
      <c r="B64" s="101"/>
      <c r="C64" s="97"/>
      <c r="D64" s="97"/>
      <c r="E64" s="111"/>
      <c r="F64" s="97"/>
      <c r="G64" s="97"/>
      <c r="H64" s="97"/>
      <c r="I64" s="97"/>
      <c r="J64" s="97"/>
      <c r="K64" s="16" t="s">
        <v>15</v>
      </c>
      <c r="L64" s="21">
        <v>0</v>
      </c>
      <c r="M64" s="21">
        <v>0</v>
      </c>
      <c r="N64" s="21">
        <v>0</v>
      </c>
      <c r="O64" s="21">
        <v>0</v>
      </c>
    </row>
    <row r="65" spans="1:15" x14ac:dyDescent="0.2">
      <c r="A65" s="177"/>
      <c r="B65" s="101"/>
      <c r="C65" s="97"/>
      <c r="D65" s="97"/>
      <c r="E65" s="111"/>
      <c r="F65" s="97"/>
      <c r="G65" s="97"/>
      <c r="H65" s="97"/>
      <c r="I65" s="97"/>
      <c r="J65" s="97"/>
      <c r="K65" s="16" t="s">
        <v>16</v>
      </c>
      <c r="L65" s="21">
        <v>0</v>
      </c>
      <c r="M65" s="21">
        <v>0</v>
      </c>
      <c r="N65" s="21">
        <v>0</v>
      </c>
      <c r="O65" s="21">
        <v>0</v>
      </c>
    </row>
    <row r="66" spans="1:15" x14ac:dyDescent="0.2">
      <c r="A66" s="177"/>
      <c r="B66" s="101"/>
      <c r="C66" s="97"/>
      <c r="D66" s="97"/>
      <c r="E66" s="111"/>
      <c r="F66" s="97"/>
      <c r="G66" s="97"/>
      <c r="H66" s="97"/>
      <c r="I66" s="97"/>
      <c r="J66" s="97"/>
      <c r="K66" s="16" t="s">
        <v>17</v>
      </c>
      <c r="L66" s="21">
        <v>0</v>
      </c>
      <c r="M66" s="21">
        <v>0</v>
      </c>
      <c r="N66" s="21">
        <v>0</v>
      </c>
      <c r="O66" s="21">
        <v>0</v>
      </c>
    </row>
    <row r="67" spans="1:15" x14ac:dyDescent="0.2">
      <c r="A67" s="177"/>
      <c r="B67" s="101"/>
      <c r="C67" s="97"/>
      <c r="D67" s="97"/>
      <c r="E67" s="111"/>
      <c r="F67" s="97"/>
      <c r="G67" s="97"/>
      <c r="H67" s="97"/>
      <c r="I67" s="97"/>
      <c r="J67" s="97"/>
      <c r="K67" s="16" t="s">
        <v>18</v>
      </c>
      <c r="L67" s="21">
        <v>0</v>
      </c>
      <c r="M67" s="21">
        <v>0</v>
      </c>
      <c r="N67" s="21">
        <v>0</v>
      </c>
      <c r="O67" s="21">
        <v>0</v>
      </c>
    </row>
    <row r="68" spans="1:15" x14ac:dyDescent="0.2">
      <c r="A68" s="177"/>
      <c r="B68" s="101"/>
      <c r="C68" s="97"/>
      <c r="D68" s="97"/>
      <c r="E68" s="111"/>
      <c r="F68" s="97"/>
      <c r="G68" s="97"/>
      <c r="H68" s="97"/>
      <c r="I68" s="97"/>
      <c r="J68" s="97"/>
      <c r="K68" s="16" t="s">
        <v>0</v>
      </c>
      <c r="L68" s="17">
        <f>SUM(L56:L67)</f>
        <v>0</v>
      </c>
      <c r="M68" s="17">
        <f t="shared" ref="M68" si="10">SUM(M56:M67)</f>
        <v>0</v>
      </c>
      <c r="N68" s="17">
        <f t="shared" ref="N68" si="11">SUM(N56:N67)</f>
        <v>0</v>
      </c>
      <c r="O68" s="17">
        <f t="shared" ref="O68" si="12">SUM(O56:O67)</f>
        <v>0</v>
      </c>
    </row>
    <row r="69" spans="1:15" x14ac:dyDescent="0.2">
      <c r="A69" s="177"/>
      <c r="B69" s="101" t="s">
        <v>59</v>
      </c>
      <c r="C69" s="97" t="s">
        <v>161</v>
      </c>
      <c r="D69" s="97" t="s">
        <v>62</v>
      </c>
      <c r="E69" s="111" t="s">
        <v>112</v>
      </c>
      <c r="F69" s="97" t="s">
        <v>83</v>
      </c>
      <c r="G69" s="97" t="s">
        <v>95</v>
      </c>
      <c r="H69" s="97"/>
      <c r="I69" s="97"/>
      <c r="J69" s="97"/>
      <c r="K69" s="16" t="s">
        <v>7</v>
      </c>
      <c r="L69" s="21">
        <v>0</v>
      </c>
      <c r="M69" s="21">
        <v>0</v>
      </c>
      <c r="N69" s="21">
        <v>0</v>
      </c>
      <c r="O69" s="21">
        <v>0</v>
      </c>
    </row>
    <row r="70" spans="1:15" x14ac:dyDescent="0.2">
      <c r="A70" s="177"/>
      <c r="B70" s="101"/>
      <c r="C70" s="97"/>
      <c r="D70" s="97"/>
      <c r="E70" s="111"/>
      <c r="F70" s="97"/>
      <c r="G70" s="97"/>
      <c r="H70" s="97"/>
      <c r="I70" s="97"/>
      <c r="J70" s="97"/>
      <c r="K70" s="16" t="s">
        <v>8</v>
      </c>
      <c r="L70" s="21">
        <v>0</v>
      </c>
      <c r="M70" s="21">
        <v>0</v>
      </c>
      <c r="N70" s="21">
        <v>0</v>
      </c>
      <c r="O70" s="21">
        <v>0</v>
      </c>
    </row>
    <row r="71" spans="1:15" x14ac:dyDescent="0.2">
      <c r="A71" s="177"/>
      <c r="B71" s="101"/>
      <c r="C71" s="97"/>
      <c r="D71" s="97"/>
      <c r="E71" s="111"/>
      <c r="F71" s="97"/>
      <c r="G71" s="97"/>
      <c r="H71" s="97"/>
      <c r="I71" s="97"/>
      <c r="J71" s="97"/>
      <c r="K71" s="16" t="s">
        <v>9</v>
      </c>
      <c r="L71" s="21">
        <v>0</v>
      </c>
      <c r="M71" s="21">
        <v>0</v>
      </c>
      <c r="N71" s="21">
        <v>0</v>
      </c>
      <c r="O71" s="21">
        <v>0</v>
      </c>
    </row>
    <row r="72" spans="1:15" x14ac:dyDescent="0.2">
      <c r="A72" s="177"/>
      <c r="B72" s="101"/>
      <c r="C72" s="97"/>
      <c r="D72" s="97"/>
      <c r="E72" s="111"/>
      <c r="F72" s="97"/>
      <c r="G72" s="97"/>
      <c r="H72" s="97"/>
      <c r="I72" s="97"/>
      <c r="J72" s="97"/>
      <c r="K72" s="16" t="s">
        <v>10</v>
      </c>
      <c r="L72" s="21">
        <v>0</v>
      </c>
      <c r="M72" s="21">
        <v>0</v>
      </c>
      <c r="N72" s="21">
        <v>0</v>
      </c>
      <c r="O72" s="21">
        <v>0</v>
      </c>
    </row>
    <row r="73" spans="1:15" x14ac:dyDescent="0.2">
      <c r="A73" s="177"/>
      <c r="B73" s="101"/>
      <c r="C73" s="97"/>
      <c r="D73" s="97"/>
      <c r="E73" s="111"/>
      <c r="F73" s="97"/>
      <c r="G73" s="97"/>
      <c r="H73" s="97"/>
      <c r="I73" s="97"/>
      <c r="J73" s="97"/>
      <c r="K73" s="16" t="s">
        <v>11</v>
      </c>
      <c r="L73" s="21">
        <v>0</v>
      </c>
      <c r="M73" s="21">
        <v>0</v>
      </c>
      <c r="N73" s="21">
        <v>0</v>
      </c>
      <c r="O73" s="21">
        <v>0</v>
      </c>
    </row>
    <row r="74" spans="1:15" x14ac:dyDescent="0.2">
      <c r="A74" s="177"/>
      <c r="B74" s="101"/>
      <c r="C74" s="97"/>
      <c r="D74" s="97"/>
      <c r="E74" s="111"/>
      <c r="F74" s="97"/>
      <c r="G74" s="97"/>
      <c r="H74" s="97"/>
      <c r="I74" s="97"/>
      <c r="J74" s="97"/>
      <c r="K74" s="16" t="s">
        <v>12</v>
      </c>
      <c r="L74" s="21">
        <v>0</v>
      </c>
      <c r="M74" s="21">
        <v>0</v>
      </c>
      <c r="N74" s="21">
        <v>0</v>
      </c>
      <c r="O74" s="21">
        <v>0</v>
      </c>
    </row>
    <row r="75" spans="1:15" x14ac:dyDescent="0.2">
      <c r="A75" s="177"/>
      <c r="B75" s="101"/>
      <c r="C75" s="97"/>
      <c r="D75" s="97"/>
      <c r="E75" s="111"/>
      <c r="F75" s="97"/>
      <c r="G75" s="97"/>
      <c r="H75" s="97"/>
      <c r="I75" s="97"/>
      <c r="J75" s="97"/>
      <c r="K75" s="16" t="s">
        <v>13</v>
      </c>
      <c r="L75" s="21">
        <v>0</v>
      </c>
      <c r="M75" s="21">
        <v>0</v>
      </c>
      <c r="N75" s="21">
        <v>0</v>
      </c>
      <c r="O75" s="21">
        <v>0</v>
      </c>
    </row>
    <row r="76" spans="1:15" x14ac:dyDescent="0.2">
      <c r="A76" s="177"/>
      <c r="B76" s="101"/>
      <c r="C76" s="97"/>
      <c r="D76" s="97"/>
      <c r="E76" s="111"/>
      <c r="F76" s="97"/>
      <c r="G76" s="97"/>
      <c r="H76" s="97"/>
      <c r="I76" s="97"/>
      <c r="J76" s="97"/>
      <c r="K76" s="16" t="s">
        <v>14</v>
      </c>
      <c r="L76" s="21">
        <v>0</v>
      </c>
      <c r="M76" s="21">
        <v>0</v>
      </c>
      <c r="N76" s="21">
        <v>0</v>
      </c>
      <c r="O76" s="21">
        <v>0</v>
      </c>
    </row>
    <row r="77" spans="1:15" x14ac:dyDescent="0.2">
      <c r="A77" s="177"/>
      <c r="B77" s="101"/>
      <c r="C77" s="97"/>
      <c r="D77" s="97"/>
      <c r="E77" s="111"/>
      <c r="F77" s="97"/>
      <c r="G77" s="97"/>
      <c r="H77" s="97"/>
      <c r="I77" s="97"/>
      <c r="J77" s="97"/>
      <c r="K77" s="16" t="s">
        <v>15</v>
      </c>
      <c r="L77" s="21">
        <v>0</v>
      </c>
      <c r="M77" s="21">
        <v>0</v>
      </c>
      <c r="N77" s="21">
        <v>0</v>
      </c>
      <c r="O77" s="21">
        <v>0</v>
      </c>
    </row>
    <row r="78" spans="1:15" x14ac:dyDescent="0.2">
      <c r="A78" s="177"/>
      <c r="B78" s="101"/>
      <c r="C78" s="97"/>
      <c r="D78" s="97"/>
      <c r="E78" s="111"/>
      <c r="F78" s="97"/>
      <c r="G78" s="97"/>
      <c r="H78" s="97"/>
      <c r="I78" s="97"/>
      <c r="J78" s="97"/>
      <c r="K78" s="16" t="s">
        <v>16</v>
      </c>
      <c r="L78" s="21">
        <v>0</v>
      </c>
      <c r="M78" s="21">
        <v>0</v>
      </c>
      <c r="N78" s="21">
        <v>0</v>
      </c>
      <c r="O78" s="21">
        <v>0</v>
      </c>
    </row>
    <row r="79" spans="1:15" x14ac:dyDescent="0.2">
      <c r="A79" s="177"/>
      <c r="B79" s="101"/>
      <c r="C79" s="97"/>
      <c r="D79" s="97"/>
      <c r="E79" s="111"/>
      <c r="F79" s="97"/>
      <c r="G79" s="97"/>
      <c r="H79" s="97"/>
      <c r="I79" s="97"/>
      <c r="J79" s="97"/>
      <c r="K79" s="16" t="s">
        <v>17</v>
      </c>
      <c r="L79" s="21">
        <v>0</v>
      </c>
      <c r="M79" s="21">
        <v>0</v>
      </c>
      <c r="N79" s="21">
        <v>0</v>
      </c>
      <c r="O79" s="21">
        <v>0</v>
      </c>
    </row>
    <row r="80" spans="1:15" x14ac:dyDescent="0.2">
      <c r="A80" s="177"/>
      <c r="B80" s="101"/>
      <c r="C80" s="97"/>
      <c r="D80" s="97"/>
      <c r="E80" s="111"/>
      <c r="F80" s="97"/>
      <c r="G80" s="97"/>
      <c r="H80" s="97"/>
      <c r="I80" s="97"/>
      <c r="J80" s="97"/>
      <c r="K80" s="16" t="s">
        <v>18</v>
      </c>
      <c r="L80" s="21">
        <v>0</v>
      </c>
      <c r="M80" s="21">
        <v>0</v>
      </c>
      <c r="N80" s="21">
        <v>0</v>
      </c>
      <c r="O80" s="21">
        <v>0</v>
      </c>
    </row>
    <row r="81" spans="1:15" x14ac:dyDescent="0.2">
      <c r="A81" s="177"/>
      <c r="B81" s="101"/>
      <c r="C81" s="97"/>
      <c r="D81" s="97"/>
      <c r="E81" s="111"/>
      <c r="F81" s="97"/>
      <c r="G81" s="97"/>
      <c r="H81" s="97"/>
      <c r="I81" s="97"/>
      <c r="J81" s="97"/>
      <c r="K81" s="16" t="s">
        <v>0</v>
      </c>
      <c r="L81" s="17">
        <f>SUM(L69:L80)</f>
        <v>0</v>
      </c>
      <c r="M81" s="17">
        <f t="shared" ref="M81" si="13">SUM(M69:M80)</f>
        <v>0</v>
      </c>
      <c r="N81" s="17">
        <f t="shared" ref="N81" si="14">SUM(N69:N80)</f>
        <v>0</v>
      </c>
      <c r="O81" s="17">
        <f t="shared" ref="O81" si="15">SUM(O69:O80)</f>
        <v>0</v>
      </c>
    </row>
    <row r="82" spans="1:15" x14ac:dyDescent="0.2">
      <c r="A82" s="177"/>
      <c r="B82" s="101" t="s">
        <v>63</v>
      </c>
      <c r="C82" s="97" t="s">
        <v>197</v>
      </c>
      <c r="D82" s="97" t="s">
        <v>64</v>
      </c>
      <c r="E82" s="97" t="s">
        <v>114</v>
      </c>
      <c r="F82" s="97" t="s">
        <v>82</v>
      </c>
      <c r="G82" s="97" t="s">
        <v>95</v>
      </c>
      <c r="H82" s="97"/>
      <c r="I82" s="97"/>
      <c r="J82" s="97"/>
      <c r="K82" s="16" t="s">
        <v>7</v>
      </c>
      <c r="L82" s="22">
        <v>1</v>
      </c>
      <c r="M82" s="22">
        <v>0</v>
      </c>
      <c r="N82" s="22">
        <v>0</v>
      </c>
      <c r="O82" s="22">
        <v>0</v>
      </c>
    </row>
    <row r="83" spans="1:15" x14ac:dyDescent="0.2">
      <c r="A83" s="177"/>
      <c r="B83" s="101"/>
      <c r="C83" s="97"/>
      <c r="D83" s="97"/>
      <c r="E83" s="97"/>
      <c r="F83" s="97"/>
      <c r="G83" s="97"/>
      <c r="H83" s="97"/>
      <c r="I83" s="97"/>
      <c r="J83" s="97"/>
      <c r="K83" s="16" t="s">
        <v>8</v>
      </c>
      <c r="L83" s="22">
        <v>0</v>
      </c>
      <c r="M83" s="22">
        <v>0</v>
      </c>
      <c r="N83" s="22">
        <v>0</v>
      </c>
      <c r="O83" s="22">
        <v>0</v>
      </c>
    </row>
    <row r="84" spans="1:15" x14ac:dyDescent="0.2">
      <c r="A84" s="177"/>
      <c r="B84" s="101"/>
      <c r="C84" s="97"/>
      <c r="D84" s="97"/>
      <c r="E84" s="97"/>
      <c r="F84" s="97"/>
      <c r="G84" s="97"/>
      <c r="H84" s="97"/>
      <c r="I84" s="97"/>
      <c r="J84" s="97"/>
      <c r="K84" s="16" t="s">
        <v>9</v>
      </c>
      <c r="L84" s="22">
        <v>0</v>
      </c>
      <c r="M84" s="22">
        <v>0</v>
      </c>
      <c r="N84" s="22">
        <v>0</v>
      </c>
      <c r="O84" s="22">
        <v>0</v>
      </c>
    </row>
    <row r="85" spans="1:15" x14ac:dyDescent="0.2">
      <c r="A85" s="177"/>
      <c r="B85" s="101"/>
      <c r="C85" s="97"/>
      <c r="D85" s="97"/>
      <c r="E85" s="97"/>
      <c r="F85" s="97"/>
      <c r="G85" s="97"/>
      <c r="H85" s="97"/>
      <c r="I85" s="97"/>
      <c r="J85" s="97"/>
      <c r="K85" s="16" t="s">
        <v>10</v>
      </c>
      <c r="L85" s="22">
        <v>0</v>
      </c>
      <c r="M85" s="22">
        <v>0</v>
      </c>
      <c r="N85" s="22">
        <v>0</v>
      </c>
      <c r="O85" s="22">
        <v>0</v>
      </c>
    </row>
    <row r="86" spans="1:15" x14ac:dyDescent="0.2">
      <c r="A86" s="177"/>
      <c r="B86" s="101"/>
      <c r="C86" s="97"/>
      <c r="D86" s="97"/>
      <c r="E86" s="97"/>
      <c r="F86" s="97"/>
      <c r="G86" s="97"/>
      <c r="H86" s="97"/>
      <c r="I86" s="97"/>
      <c r="J86" s="97"/>
      <c r="K86" s="16" t="s">
        <v>11</v>
      </c>
      <c r="L86" s="22">
        <v>0</v>
      </c>
      <c r="M86" s="22">
        <v>0</v>
      </c>
      <c r="N86" s="22">
        <v>0</v>
      </c>
      <c r="O86" s="22">
        <v>0</v>
      </c>
    </row>
    <row r="87" spans="1:15" x14ac:dyDescent="0.2">
      <c r="A87" s="177"/>
      <c r="B87" s="101"/>
      <c r="C87" s="97"/>
      <c r="D87" s="97"/>
      <c r="E87" s="97"/>
      <c r="F87" s="97"/>
      <c r="G87" s="97"/>
      <c r="H87" s="97"/>
      <c r="I87" s="97"/>
      <c r="J87" s="97"/>
      <c r="K87" s="16" t="s">
        <v>12</v>
      </c>
      <c r="L87" s="22">
        <v>0</v>
      </c>
      <c r="M87" s="22">
        <v>0</v>
      </c>
      <c r="N87" s="22">
        <v>0</v>
      </c>
      <c r="O87" s="22">
        <v>0</v>
      </c>
    </row>
    <row r="88" spans="1:15" x14ac:dyDescent="0.2">
      <c r="A88" s="177"/>
      <c r="B88" s="101"/>
      <c r="C88" s="97"/>
      <c r="D88" s="97"/>
      <c r="E88" s="97"/>
      <c r="F88" s="97"/>
      <c r="G88" s="97"/>
      <c r="H88" s="97"/>
      <c r="I88" s="97"/>
      <c r="J88" s="97"/>
      <c r="K88" s="16" t="s">
        <v>13</v>
      </c>
      <c r="L88" s="22">
        <v>0</v>
      </c>
      <c r="M88" s="22">
        <v>0</v>
      </c>
      <c r="N88" s="22">
        <v>0</v>
      </c>
      <c r="O88" s="22">
        <v>0</v>
      </c>
    </row>
    <row r="89" spans="1:15" x14ac:dyDescent="0.2">
      <c r="A89" s="177"/>
      <c r="B89" s="101"/>
      <c r="C89" s="97"/>
      <c r="D89" s="97"/>
      <c r="E89" s="97"/>
      <c r="F89" s="97"/>
      <c r="G89" s="97"/>
      <c r="H89" s="97"/>
      <c r="I89" s="97"/>
      <c r="J89" s="97"/>
      <c r="K89" s="16" t="s">
        <v>14</v>
      </c>
      <c r="L89" s="22">
        <v>0</v>
      </c>
      <c r="M89" s="22">
        <v>0</v>
      </c>
      <c r="N89" s="22">
        <v>0</v>
      </c>
      <c r="O89" s="22">
        <v>0</v>
      </c>
    </row>
    <row r="90" spans="1:15" x14ac:dyDescent="0.2">
      <c r="A90" s="177"/>
      <c r="B90" s="101"/>
      <c r="C90" s="97"/>
      <c r="D90" s="97"/>
      <c r="E90" s="97"/>
      <c r="F90" s="97"/>
      <c r="G90" s="97"/>
      <c r="H90" s="97"/>
      <c r="I90" s="97"/>
      <c r="J90" s="97"/>
      <c r="K90" s="16" t="s">
        <v>15</v>
      </c>
      <c r="L90" s="22">
        <v>0</v>
      </c>
      <c r="M90" s="22">
        <v>0</v>
      </c>
      <c r="N90" s="22">
        <v>0</v>
      </c>
      <c r="O90" s="22">
        <v>0</v>
      </c>
    </row>
    <row r="91" spans="1:15" x14ac:dyDescent="0.2">
      <c r="A91" s="177"/>
      <c r="B91" s="101"/>
      <c r="C91" s="97"/>
      <c r="D91" s="97"/>
      <c r="E91" s="97"/>
      <c r="F91" s="97"/>
      <c r="G91" s="97"/>
      <c r="H91" s="97"/>
      <c r="I91" s="97"/>
      <c r="J91" s="97"/>
      <c r="K91" s="16" t="s">
        <v>16</v>
      </c>
      <c r="L91" s="22">
        <v>1</v>
      </c>
      <c r="M91" s="22">
        <v>4</v>
      </c>
      <c r="N91" s="22">
        <v>0</v>
      </c>
      <c r="O91" s="22">
        <v>0</v>
      </c>
    </row>
    <row r="92" spans="1:15" x14ac:dyDescent="0.2">
      <c r="A92" s="177"/>
      <c r="B92" s="101"/>
      <c r="C92" s="97"/>
      <c r="D92" s="97"/>
      <c r="E92" s="97"/>
      <c r="F92" s="97"/>
      <c r="G92" s="97"/>
      <c r="H92" s="97"/>
      <c r="I92" s="97"/>
      <c r="J92" s="97"/>
      <c r="K92" s="16" t="s">
        <v>17</v>
      </c>
      <c r="L92" s="22">
        <v>0</v>
      </c>
      <c r="M92" s="22">
        <v>0</v>
      </c>
      <c r="N92" s="22">
        <v>0</v>
      </c>
      <c r="O92" s="22">
        <v>0</v>
      </c>
    </row>
    <row r="93" spans="1:15" x14ac:dyDescent="0.2">
      <c r="A93" s="177"/>
      <c r="B93" s="101"/>
      <c r="C93" s="97"/>
      <c r="D93" s="97"/>
      <c r="E93" s="97"/>
      <c r="F93" s="97"/>
      <c r="G93" s="97"/>
      <c r="H93" s="97"/>
      <c r="I93" s="97"/>
      <c r="J93" s="97"/>
      <c r="K93" s="16" t="s">
        <v>18</v>
      </c>
      <c r="L93" s="22">
        <v>0</v>
      </c>
      <c r="M93" s="22">
        <v>0</v>
      </c>
      <c r="N93" s="22">
        <v>0</v>
      </c>
      <c r="O93" s="22">
        <v>0</v>
      </c>
    </row>
    <row r="94" spans="1:15" x14ac:dyDescent="0.2">
      <c r="A94" s="177"/>
      <c r="B94" s="101"/>
      <c r="C94" s="97"/>
      <c r="D94" s="97"/>
      <c r="E94" s="97"/>
      <c r="F94" s="97"/>
      <c r="G94" s="97"/>
      <c r="H94" s="97"/>
      <c r="I94" s="97"/>
      <c r="J94" s="97"/>
      <c r="K94" s="16" t="s">
        <v>0</v>
      </c>
      <c r="L94" s="18">
        <f>SUM(L82:L93)</f>
        <v>2</v>
      </c>
      <c r="M94" s="18">
        <f t="shared" ref="M94" si="16">SUM(M82:M93)</f>
        <v>4</v>
      </c>
      <c r="N94" s="18">
        <f t="shared" ref="N94" si="17">SUM(N82:N93)</f>
        <v>0</v>
      </c>
      <c r="O94" s="18">
        <f t="shared" ref="O94" si="18">SUM(O82:O93)</f>
        <v>0</v>
      </c>
    </row>
    <row r="95" spans="1:15" x14ac:dyDescent="0.2">
      <c r="A95" s="177"/>
      <c r="B95" s="101" t="s">
        <v>63</v>
      </c>
      <c r="C95" s="97" t="s">
        <v>198</v>
      </c>
      <c r="D95" s="97" t="s">
        <v>65</v>
      </c>
      <c r="E95" s="97" t="s">
        <v>114</v>
      </c>
      <c r="F95" s="97" t="s">
        <v>82</v>
      </c>
      <c r="G95" s="97" t="s">
        <v>95</v>
      </c>
      <c r="H95" s="97"/>
      <c r="I95" s="97"/>
      <c r="J95" s="97"/>
      <c r="K95" s="16" t="s">
        <v>7</v>
      </c>
      <c r="L95" s="22">
        <v>0</v>
      </c>
      <c r="M95" s="22">
        <v>0</v>
      </c>
      <c r="N95" s="22">
        <v>0</v>
      </c>
      <c r="O95" s="22">
        <v>0</v>
      </c>
    </row>
    <row r="96" spans="1:15" x14ac:dyDescent="0.2">
      <c r="A96" s="177"/>
      <c r="B96" s="101"/>
      <c r="C96" s="97"/>
      <c r="D96" s="97"/>
      <c r="E96" s="97"/>
      <c r="F96" s="97"/>
      <c r="G96" s="97"/>
      <c r="H96" s="97"/>
      <c r="I96" s="97"/>
      <c r="J96" s="97"/>
      <c r="K96" s="16" t="s">
        <v>8</v>
      </c>
      <c r="L96" s="22">
        <v>0</v>
      </c>
      <c r="M96" s="22">
        <v>0</v>
      </c>
      <c r="N96" s="22">
        <v>0</v>
      </c>
      <c r="O96" s="22">
        <v>0</v>
      </c>
    </row>
    <row r="97" spans="1:15" s="1" customFormat="1" x14ac:dyDescent="0.2">
      <c r="A97" s="177"/>
      <c r="B97" s="101"/>
      <c r="C97" s="97"/>
      <c r="D97" s="97"/>
      <c r="E97" s="97"/>
      <c r="F97" s="97"/>
      <c r="G97" s="97"/>
      <c r="H97" s="97"/>
      <c r="I97" s="97"/>
      <c r="J97" s="97"/>
      <c r="K97" s="16" t="s">
        <v>9</v>
      </c>
      <c r="L97" s="22">
        <v>0</v>
      </c>
      <c r="M97" s="22">
        <v>0</v>
      </c>
      <c r="N97" s="22">
        <v>0</v>
      </c>
      <c r="O97" s="22">
        <v>0</v>
      </c>
    </row>
    <row r="98" spans="1:15" s="1" customFormat="1" x14ac:dyDescent="0.2">
      <c r="A98" s="177"/>
      <c r="B98" s="101"/>
      <c r="C98" s="97"/>
      <c r="D98" s="97"/>
      <c r="E98" s="97"/>
      <c r="F98" s="97"/>
      <c r="G98" s="97"/>
      <c r="H98" s="97"/>
      <c r="I98" s="97"/>
      <c r="J98" s="97"/>
      <c r="K98" s="16" t="s">
        <v>10</v>
      </c>
      <c r="L98" s="22">
        <v>1</v>
      </c>
      <c r="M98" s="22">
        <v>0</v>
      </c>
      <c r="N98" s="22">
        <v>0</v>
      </c>
      <c r="O98" s="22">
        <v>0</v>
      </c>
    </row>
    <row r="99" spans="1:15" s="1" customFormat="1" x14ac:dyDescent="0.2">
      <c r="A99" s="177"/>
      <c r="B99" s="101"/>
      <c r="C99" s="97"/>
      <c r="D99" s="97"/>
      <c r="E99" s="97"/>
      <c r="F99" s="97"/>
      <c r="G99" s="97"/>
      <c r="H99" s="97"/>
      <c r="I99" s="97"/>
      <c r="J99" s="97"/>
      <c r="K99" s="16" t="s">
        <v>11</v>
      </c>
      <c r="L99" s="22">
        <v>0</v>
      </c>
      <c r="M99" s="22">
        <v>0</v>
      </c>
      <c r="N99" s="22">
        <v>0</v>
      </c>
      <c r="O99" s="22">
        <v>0</v>
      </c>
    </row>
    <row r="100" spans="1:15" s="1" customFormat="1" x14ac:dyDescent="0.2">
      <c r="A100" s="177"/>
      <c r="B100" s="101"/>
      <c r="C100" s="97"/>
      <c r="D100" s="97"/>
      <c r="E100" s="97"/>
      <c r="F100" s="97"/>
      <c r="G100" s="97"/>
      <c r="H100" s="97"/>
      <c r="I100" s="97"/>
      <c r="J100" s="97"/>
      <c r="K100" s="16" t="s">
        <v>12</v>
      </c>
      <c r="L100" s="22">
        <v>0</v>
      </c>
      <c r="M100" s="22">
        <v>0</v>
      </c>
      <c r="N100" s="22">
        <v>0</v>
      </c>
      <c r="O100" s="22">
        <v>0</v>
      </c>
    </row>
    <row r="101" spans="1:15" s="1" customFormat="1" x14ac:dyDescent="0.2">
      <c r="A101" s="177"/>
      <c r="B101" s="101"/>
      <c r="C101" s="97"/>
      <c r="D101" s="97"/>
      <c r="E101" s="97"/>
      <c r="F101" s="97"/>
      <c r="G101" s="97"/>
      <c r="H101" s="97"/>
      <c r="I101" s="97"/>
      <c r="J101" s="97"/>
      <c r="K101" s="16" t="s">
        <v>13</v>
      </c>
      <c r="L101" s="22">
        <v>0</v>
      </c>
      <c r="M101" s="22">
        <v>0</v>
      </c>
      <c r="N101" s="22">
        <v>0</v>
      </c>
      <c r="O101" s="22">
        <v>0</v>
      </c>
    </row>
    <row r="102" spans="1:15" s="1" customFormat="1" x14ac:dyDescent="0.2">
      <c r="A102" s="177"/>
      <c r="B102" s="101"/>
      <c r="C102" s="97"/>
      <c r="D102" s="97"/>
      <c r="E102" s="97"/>
      <c r="F102" s="97"/>
      <c r="G102" s="97"/>
      <c r="H102" s="97"/>
      <c r="I102" s="97"/>
      <c r="J102" s="97"/>
      <c r="K102" s="16" t="s">
        <v>14</v>
      </c>
      <c r="L102" s="22">
        <v>0</v>
      </c>
      <c r="M102" s="22">
        <v>0</v>
      </c>
      <c r="N102" s="22">
        <v>0</v>
      </c>
      <c r="O102" s="22">
        <v>0</v>
      </c>
    </row>
    <row r="103" spans="1:15" s="1" customFormat="1" x14ac:dyDescent="0.2">
      <c r="A103" s="177"/>
      <c r="B103" s="101"/>
      <c r="C103" s="97"/>
      <c r="D103" s="97"/>
      <c r="E103" s="97"/>
      <c r="F103" s="97"/>
      <c r="G103" s="97"/>
      <c r="H103" s="97"/>
      <c r="I103" s="97"/>
      <c r="J103" s="97"/>
      <c r="K103" s="16" t="s">
        <v>15</v>
      </c>
      <c r="L103" s="22">
        <v>0</v>
      </c>
      <c r="M103" s="22">
        <v>0</v>
      </c>
      <c r="N103" s="22">
        <v>0</v>
      </c>
      <c r="O103" s="22">
        <v>0</v>
      </c>
    </row>
    <row r="104" spans="1:15" s="1" customFormat="1" x14ac:dyDescent="0.2">
      <c r="A104" s="177"/>
      <c r="B104" s="101"/>
      <c r="C104" s="97"/>
      <c r="D104" s="97"/>
      <c r="E104" s="97"/>
      <c r="F104" s="97"/>
      <c r="G104" s="97"/>
      <c r="H104" s="97"/>
      <c r="I104" s="97"/>
      <c r="J104" s="97"/>
      <c r="K104" s="16" t="s">
        <v>16</v>
      </c>
      <c r="L104" s="22">
        <v>0</v>
      </c>
      <c r="M104" s="22">
        <v>0</v>
      </c>
      <c r="N104" s="22">
        <v>0</v>
      </c>
      <c r="O104" s="22">
        <v>0</v>
      </c>
    </row>
    <row r="105" spans="1:15" s="1" customFormat="1" x14ac:dyDescent="0.2">
      <c r="A105" s="177"/>
      <c r="B105" s="101"/>
      <c r="C105" s="97"/>
      <c r="D105" s="97"/>
      <c r="E105" s="97"/>
      <c r="F105" s="97"/>
      <c r="G105" s="97"/>
      <c r="H105" s="97"/>
      <c r="I105" s="97"/>
      <c r="J105" s="97"/>
      <c r="K105" s="16" t="s">
        <v>17</v>
      </c>
      <c r="L105" s="22">
        <v>0</v>
      </c>
      <c r="M105" s="22">
        <v>0</v>
      </c>
      <c r="N105" s="22">
        <v>0</v>
      </c>
      <c r="O105" s="22">
        <v>0</v>
      </c>
    </row>
    <row r="106" spans="1:15" s="1" customFormat="1" x14ac:dyDescent="0.2">
      <c r="A106" s="177"/>
      <c r="B106" s="101"/>
      <c r="C106" s="97"/>
      <c r="D106" s="97"/>
      <c r="E106" s="97"/>
      <c r="F106" s="97"/>
      <c r="G106" s="97"/>
      <c r="H106" s="97"/>
      <c r="I106" s="97"/>
      <c r="J106" s="97"/>
      <c r="K106" s="16" t="s">
        <v>18</v>
      </c>
      <c r="L106" s="22">
        <v>0</v>
      </c>
      <c r="M106" s="22">
        <v>0</v>
      </c>
      <c r="N106" s="22">
        <v>0</v>
      </c>
      <c r="O106" s="22">
        <v>0</v>
      </c>
    </row>
    <row r="107" spans="1:15" s="1" customFormat="1" x14ac:dyDescent="0.2">
      <c r="A107" s="177"/>
      <c r="B107" s="101"/>
      <c r="C107" s="97"/>
      <c r="D107" s="97"/>
      <c r="E107" s="97"/>
      <c r="F107" s="97"/>
      <c r="G107" s="97"/>
      <c r="H107" s="97"/>
      <c r="I107" s="97"/>
      <c r="J107" s="97"/>
      <c r="K107" s="16" t="s">
        <v>0</v>
      </c>
      <c r="L107" s="18">
        <f>SUM(L95:L106)</f>
        <v>1</v>
      </c>
      <c r="M107" s="18">
        <f t="shared" ref="M107" si="19">SUM(M95:M106)</f>
        <v>0</v>
      </c>
      <c r="N107" s="18">
        <f t="shared" ref="N107" si="20">SUM(N95:N106)</f>
        <v>0</v>
      </c>
      <c r="O107" s="18">
        <f t="shared" ref="O107" si="21">SUM(O95:O106)</f>
        <v>0</v>
      </c>
    </row>
    <row r="108" spans="1:15" s="1" customFormat="1" x14ac:dyDescent="0.2">
      <c r="A108" s="177"/>
      <c r="B108" s="101" t="s">
        <v>63</v>
      </c>
      <c r="C108" s="97" t="s">
        <v>199</v>
      </c>
      <c r="D108" s="97" t="s">
        <v>66</v>
      </c>
      <c r="E108" s="97" t="s">
        <v>114</v>
      </c>
      <c r="F108" s="97" t="s">
        <v>82</v>
      </c>
      <c r="G108" s="97" t="s">
        <v>95</v>
      </c>
      <c r="H108" s="97"/>
      <c r="I108" s="97"/>
      <c r="J108" s="97"/>
      <c r="K108" s="16" t="s">
        <v>7</v>
      </c>
      <c r="L108" s="22">
        <v>1</v>
      </c>
      <c r="M108" s="22">
        <v>0</v>
      </c>
      <c r="N108" s="22">
        <v>0</v>
      </c>
      <c r="O108" s="22">
        <v>0</v>
      </c>
    </row>
    <row r="109" spans="1:15" s="1" customFormat="1" x14ac:dyDescent="0.2">
      <c r="A109" s="177"/>
      <c r="B109" s="101"/>
      <c r="C109" s="97"/>
      <c r="D109" s="97"/>
      <c r="E109" s="97"/>
      <c r="F109" s="97"/>
      <c r="G109" s="97"/>
      <c r="H109" s="97"/>
      <c r="I109" s="97"/>
      <c r="J109" s="97"/>
      <c r="K109" s="16" t="s">
        <v>8</v>
      </c>
      <c r="L109" s="22">
        <v>0</v>
      </c>
      <c r="M109" s="22">
        <v>0</v>
      </c>
      <c r="N109" s="22">
        <v>0</v>
      </c>
      <c r="O109" s="22">
        <v>0</v>
      </c>
    </row>
    <row r="110" spans="1:15" s="1" customFormat="1" x14ac:dyDescent="0.2">
      <c r="A110" s="177"/>
      <c r="B110" s="101"/>
      <c r="C110" s="97"/>
      <c r="D110" s="97"/>
      <c r="E110" s="97"/>
      <c r="F110" s="97"/>
      <c r="G110" s="97"/>
      <c r="H110" s="97"/>
      <c r="I110" s="97"/>
      <c r="J110" s="97"/>
      <c r="K110" s="16" t="s">
        <v>9</v>
      </c>
      <c r="L110" s="22">
        <v>0</v>
      </c>
      <c r="M110" s="22">
        <v>0</v>
      </c>
      <c r="N110" s="22">
        <v>0</v>
      </c>
      <c r="O110" s="22">
        <v>0</v>
      </c>
    </row>
    <row r="111" spans="1:15" s="1" customFormat="1" x14ac:dyDescent="0.2">
      <c r="A111" s="177"/>
      <c r="B111" s="101"/>
      <c r="C111" s="97"/>
      <c r="D111" s="97"/>
      <c r="E111" s="97"/>
      <c r="F111" s="97"/>
      <c r="G111" s="97"/>
      <c r="H111" s="97"/>
      <c r="I111" s="97"/>
      <c r="J111" s="97"/>
      <c r="K111" s="16" t="s">
        <v>10</v>
      </c>
      <c r="L111" s="22">
        <v>0</v>
      </c>
      <c r="M111" s="22">
        <v>0</v>
      </c>
      <c r="N111" s="22">
        <v>0</v>
      </c>
      <c r="O111" s="22">
        <v>0</v>
      </c>
    </row>
    <row r="112" spans="1:15" s="1" customFormat="1" x14ac:dyDescent="0.2">
      <c r="A112" s="177"/>
      <c r="B112" s="101"/>
      <c r="C112" s="97"/>
      <c r="D112" s="97"/>
      <c r="E112" s="97"/>
      <c r="F112" s="97"/>
      <c r="G112" s="97"/>
      <c r="H112" s="97"/>
      <c r="I112" s="97"/>
      <c r="J112" s="97"/>
      <c r="K112" s="16" t="s">
        <v>11</v>
      </c>
      <c r="L112" s="22">
        <v>0</v>
      </c>
      <c r="M112" s="22">
        <v>0</v>
      </c>
      <c r="N112" s="22">
        <v>0</v>
      </c>
      <c r="O112" s="22">
        <v>0</v>
      </c>
    </row>
    <row r="113" spans="1:15" s="1" customFormat="1" x14ac:dyDescent="0.2">
      <c r="A113" s="177"/>
      <c r="B113" s="101"/>
      <c r="C113" s="97"/>
      <c r="D113" s="97"/>
      <c r="E113" s="97"/>
      <c r="F113" s="97"/>
      <c r="G113" s="97"/>
      <c r="H113" s="97"/>
      <c r="I113" s="97"/>
      <c r="J113" s="97"/>
      <c r="K113" s="16" t="s">
        <v>12</v>
      </c>
      <c r="L113" s="22">
        <v>0</v>
      </c>
      <c r="M113" s="22">
        <v>0</v>
      </c>
      <c r="N113" s="22">
        <v>0</v>
      </c>
      <c r="O113" s="22">
        <v>0</v>
      </c>
    </row>
    <row r="114" spans="1:15" s="1" customFormat="1" x14ac:dyDescent="0.2">
      <c r="A114" s="177"/>
      <c r="B114" s="101"/>
      <c r="C114" s="97"/>
      <c r="D114" s="97"/>
      <c r="E114" s="97"/>
      <c r="F114" s="97"/>
      <c r="G114" s="97"/>
      <c r="H114" s="97"/>
      <c r="I114" s="97"/>
      <c r="J114" s="97"/>
      <c r="K114" s="16" t="s">
        <v>13</v>
      </c>
      <c r="L114" s="22">
        <v>0</v>
      </c>
      <c r="M114" s="22">
        <v>0</v>
      </c>
      <c r="N114" s="22">
        <v>0</v>
      </c>
      <c r="O114" s="22">
        <v>0</v>
      </c>
    </row>
    <row r="115" spans="1:15" s="1" customFormat="1" x14ac:dyDescent="0.2">
      <c r="A115" s="177"/>
      <c r="B115" s="101"/>
      <c r="C115" s="97"/>
      <c r="D115" s="97"/>
      <c r="E115" s="97"/>
      <c r="F115" s="97"/>
      <c r="G115" s="97"/>
      <c r="H115" s="97"/>
      <c r="I115" s="97"/>
      <c r="J115" s="97"/>
      <c r="K115" s="16" t="s">
        <v>14</v>
      </c>
      <c r="L115" s="22">
        <v>0</v>
      </c>
      <c r="M115" s="22">
        <v>0</v>
      </c>
      <c r="N115" s="22">
        <v>0</v>
      </c>
      <c r="O115" s="22">
        <v>0</v>
      </c>
    </row>
    <row r="116" spans="1:15" s="1" customFormat="1" x14ac:dyDescent="0.2">
      <c r="A116" s="177"/>
      <c r="B116" s="101"/>
      <c r="C116" s="97"/>
      <c r="D116" s="97"/>
      <c r="E116" s="97"/>
      <c r="F116" s="97"/>
      <c r="G116" s="97"/>
      <c r="H116" s="97"/>
      <c r="I116" s="97"/>
      <c r="J116" s="97"/>
      <c r="K116" s="16" t="s">
        <v>15</v>
      </c>
      <c r="L116" s="22">
        <v>0</v>
      </c>
      <c r="M116" s="22">
        <v>0</v>
      </c>
      <c r="N116" s="22">
        <v>0</v>
      </c>
      <c r="O116" s="22">
        <v>0</v>
      </c>
    </row>
    <row r="117" spans="1:15" s="1" customFormat="1" x14ac:dyDescent="0.2">
      <c r="A117" s="177"/>
      <c r="B117" s="101"/>
      <c r="C117" s="97"/>
      <c r="D117" s="97"/>
      <c r="E117" s="97"/>
      <c r="F117" s="97"/>
      <c r="G117" s="97"/>
      <c r="H117" s="97"/>
      <c r="I117" s="97"/>
      <c r="J117" s="97"/>
      <c r="K117" s="16" t="s">
        <v>16</v>
      </c>
      <c r="L117" s="22">
        <v>1</v>
      </c>
      <c r="M117" s="22">
        <v>2</v>
      </c>
      <c r="N117" s="22">
        <v>0</v>
      </c>
      <c r="O117" s="22">
        <v>0</v>
      </c>
    </row>
    <row r="118" spans="1:15" s="1" customFormat="1" x14ac:dyDescent="0.2">
      <c r="A118" s="177"/>
      <c r="B118" s="101"/>
      <c r="C118" s="97"/>
      <c r="D118" s="97"/>
      <c r="E118" s="97"/>
      <c r="F118" s="97"/>
      <c r="G118" s="97"/>
      <c r="H118" s="97"/>
      <c r="I118" s="97"/>
      <c r="J118" s="97"/>
      <c r="K118" s="16" t="s">
        <v>17</v>
      </c>
      <c r="L118" s="22">
        <v>0</v>
      </c>
      <c r="M118" s="22">
        <v>0</v>
      </c>
      <c r="N118" s="22">
        <v>0</v>
      </c>
      <c r="O118" s="22">
        <v>0</v>
      </c>
    </row>
    <row r="119" spans="1:15" s="1" customFormat="1" x14ac:dyDescent="0.2">
      <c r="A119" s="177"/>
      <c r="B119" s="101"/>
      <c r="C119" s="97"/>
      <c r="D119" s="97"/>
      <c r="E119" s="97"/>
      <c r="F119" s="97"/>
      <c r="G119" s="97"/>
      <c r="H119" s="97"/>
      <c r="I119" s="97"/>
      <c r="J119" s="97"/>
      <c r="K119" s="16" t="s">
        <v>18</v>
      </c>
      <c r="L119" s="22">
        <v>0</v>
      </c>
      <c r="M119" s="22">
        <v>0</v>
      </c>
      <c r="N119" s="22">
        <v>0</v>
      </c>
      <c r="O119" s="22">
        <v>0</v>
      </c>
    </row>
    <row r="120" spans="1:15" s="1" customFormat="1" x14ac:dyDescent="0.2">
      <c r="A120" s="177"/>
      <c r="B120" s="101"/>
      <c r="C120" s="97"/>
      <c r="D120" s="97"/>
      <c r="E120" s="97"/>
      <c r="F120" s="97"/>
      <c r="G120" s="97"/>
      <c r="H120" s="97"/>
      <c r="I120" s="97"/>
      <c r="J120" s="97"/>
      <c r="K120" s="16" t="s">
        <v>0</v>
      </c>
      <c r="L120" s="18">
        <f>SUM(L108:L119)</f>
        <v>2</v>
      </c>
      <c r="M120" s="18">
        <f t="shared" ref="M120" si="22">SUM(M108:M119)</f>
        <v>2</v>
      </c>
      <c r="N120" s="18">
        <f t="shared" ref="N120" si="23">SUM(N108:N119)</f>
        <v>0</v>
      </c>
      <c r="O120" s="18">
        <f t="shared" ref="O120" si="24">SUM(O108:O119)</f>
        <v>0</v>
      </c>
    </row>
    <row r="121" spans="1:15" s="1" customFormat="1" x14ac:dyDescent="0.2">
      <c r="A121" s="177"/>
      <c r="B121" s="101" t="s">
        <v>67</v>
      </c>
      <c r="C121" s="97" t="s">
        <v>200</v>
      </c>
      <c r="D121" s="97" t="s">
        <v>68</v>
      </c>
      <c r="E121" s="97"/>
      <c r="F121" s="97" t="s">
        <v>82</v>
      </c>
      <c r="G121" s="97" t="s">
        <v>117</v>
      </c>
      <c r="H121" s="97"/>
      <c r="I121" s="97"/>
      <c r="J121" s="97"/>
      <c r="K121" s="16" t="s">
        <v>7</v>
      </c>
      <c r="L121" s="22">
        <v>0</v>
      </c>
      <c r="M121" s="22">
        <v>0</v>
      </c>
      <c r="N121" s="22">
        <v>0</v>
      </c>
      <c r="O121" s="22">
        <v>0</v>
      </c>
    </row>
    <row r="122" spans="1:15" s="1" customFormat="1" x14ac:dyDescent="0.2">
      <c r="A122" s="177"/>
      <c r="B122" s="101"/>
      <c r="C122" s="97"/>
      <c r="D122" s="97"/>
      <c r="E122" s="97"/>
      <c r="F122" s="97"/>
      <c r="G122" s="97"/>
      <c r="H122" s="97"/>
      <c r="I122" s="97"/>
      <c r="J122" s="97"/>
      <c r="K122" s="16" t="s">
        <v>8</v>
      </c>
      <c r="L122" s="22">
        <v>0</v>
      </c>
      <c r="M122" s="22">
        <v>0</v>
      </c>
      <c r="N122" s="22">
        <v>0</v>
      </c>
      <c r="O122" s="22">
        <v>0</v>
      </c>
    </row>
    <row r="123" spans="1:15" s="1" customFormat="1" x14ac:dyDescent="0.2">
      <c r="A123" s="177"/>
      <c r="B123" s="101"/>
      <c r="C123" s="97"/>
      <c r="D123" s="97"/>
      <c r="E123" s="97"/>
      <c r="F123" s="97"/>
      <c r="G123" s="97"/>
      <c r="H123" s="97"/>
      <c r="I123" s="97"/>
      <c r="J123" s="97"/>
      <c r="K123" s="16" t="s">
        <v>9</v>
      </c>
      <c r="L123" s="22">
        <v>0</v>
      </c>
      <c r="M123" s="22">
        <v>0</v>
      </c>
      <c r="N123" s="22">
        <v>0</v>
      </c>
      <c r="O123" s="22">
        <v>0</v>
      </c>
    </row>
    <row r="124" spans="1:15" s="1" customFormat="1" x14ac:dyDescent="0.2">
      <c r="A124" s="177"/>
      <c r="B124" s="101"/>
      <c r="C124" s="97"/>
      <c r="D124" s="97"/>
      <c r="E124" s="97"/>
      <c r="F124" s="97"/>
      <c r="G124" s="97"/>
      <c r="H124" s="97"/>
      <c r="I124" s="97"/>
      <c r="J124" s="97"/>
      <c r="K124" s="16" t="s">
        <v>10</v>
      </c>
      <c r="L124" s="22">
        <v>0</v>
      </c>
      <c r="M124" s="22">
        <v>0</v>
      </c>
      <c r="N124" s="22">
        <v>0</v>
      </c>
      <c r="O124" s="22">
        <v>0</v>
      </c>
    </row>
    <row r="125" spans="1:15" s="1" customFormat="1" x14ac:dyDescent="0.2">
      <c r="A125" s="177"/>
      <c r="B125" s="101"/>
      <c r="C125" s="97"/>
      <c r="D125" s="97"/>
      <c r="E125" s="97"/>
      <c r="F125" s="97"/>
      <c r="G125" s="97"/>
      <c r="H125" s="97"/>
      <c r="I125" s="97"/>
      <c r="J125" s="97"/>
      <c r="K125" s="16" t="s">
        <v>11</v>
      </c>
      <c r="L125" s="22">
        <v>0</v>
      </c>
      <c r="M125" s="22">
        <v>0</v>
      </c>
      <c r="N125" s="22">
        <v>0</v>
      </c>
      <c r="O125" s="22">
        <v>0</v>
      </c>
    </row>
    <row r="126" spans="1:15" s="1" customFormat="1" x14ac:dyDescent="0.2">
      <c r="A126" s="177"/>
      <c r="B126" s="101"/>
      <c r="C126" s="97"/>
      <c r="D126" s="97"/>
      <c r="E126" s="97"/>
      <c r="F126" s="97"/>
      <c r="G126" s="97"/>
      <c r="H126" s="97"/>
      <c r="I126" s="97"/>
      <c r="J126" s="97"/>
      <c r="K126" s="16" t="s">
        <v>12</v>
      </c>
      <c r="L126" s="22">
        <v>0</v>
      </c>
      <c r="M126" s="22">
        <v>0</v>
      </c>
      <c r="N126" s="22">
        <v>0</v>
      </c>
      <c r="O126" s="22">
        <v>0</v>
      </c>
    </row>
    <row r="127" spans="1:15" s="1" customFormat="1" x14ac:dyDescent="0.2">
      <c r="A127" s="177"/>
      <c r="B127" s="101"/>
      <c r="C127" s="97"/>
      <c r="D127" s="97"/>
      <c r="E127" s="97"/>
      <c r="F127" s="97"/>
      <c r="G127" s="97"/>
      <c r="H127" s="97"/>
      <c r="I127" s="97"/>
      <c r="J127" s="97"/>
      <c r="K127" s="16" t="s">
        <v>13</v>
      </c>
      <c r="L127" s="22">
        <v>0</v>
      </c>
      <c r="M127" s="22">
        <v>0</v>
      </c>
      <c r="N127" s="22">
        <v>0</v>
      </c>
      <c r="O127" s="22">
        <v>0</v>
      </c>
    </row>
    <row r="128" spans="1:15" s="1" customFormat="1" x14ac:dyDescent="0.2">
      <c r="A128" s="177"/>
      <c r="B128" s="101"/>
      <c r="C128" s="97"/>
      <c r="D128" s="97"/>
      <c r="E128" s="97"/>
      <c r="F128" s="97"/>
      <c r="G128" s="97"/>
      <c r="H128" s="97"/>
      <c r="I128" s="97"/>
      <c r="J128" s="97"/>
      <c r="K128" s="16" t="s">
        <v>14</v>
      </c>
      <c r="L128" s="22">
        <v>0</v>
      </c>
      <c r="M128" s="22">
        <v>0</v>
      </c>
      <c r="N128" s="22">
        <v>0</v>
      </c>
      <c r="O128" s="22">
        <v>0</v>
      </c>
    </row>
    <row r="129" spans="1:15" s="1" customFormat="1" x14ac:dyDescent="0.2">
      <c r="A129" s="177"/>
      <c r="B129" s="101"/>
      <c r="C129" s="97"/>
      <c r="D129" s="97"/>
      <c r="E129" s="97"/>
      <c r="F129" s="97"/>
      <c r="G129" s="97"/>
      <c r="H129" s="97"/>
      <c r="I129" s="97"/>
      <c r="J129" s="97"/>
      <c r="K129" s="16" t="s">
        <v>15</v>
      </c>
      <c r="L129" s="22">
        <v>0</v>
      </c>
      <c r="M129" s="22">
        <v>0</v>
      </c>
      <c r="N129" s="22">
        <v>0</v>
      </c>
      <c r="O129" s="22">
        <v>0</v>
      </c>
    </row>
    <row r="130" spans="1:15" s="1" customFormat="1" x14ac:dyDescent="0.2">
      <c r="A130" s="177"/>
      <c r="B130" s="101"/>
      <c r="C130" s="97"/>
      <c r="D130" s="97"/>
      <c r="E130" s="97"/>
      <c r="F130" s="97"/>
      <c r="G130" s="97"/>
      <c r="H130" s="97"/>
      <c r="I130" s="97"/>
      <c r="J130" s="97"/>
      <c r="K130" s="16" t="s">
        <v>16</v>
      </c>
      <c r="L130" s="22">
        <v>0</v>
      </c>
      <c r="M130" s="22">
        <v>0</v>
      </c>
      <c r="N130" s="22">
        <v>0</v>
      </c>
      <c r="O130" s="22">
        <v>0</v>
      </c>
    </row>
    <row r="131" spans="1:15" s="1" customFormat="1" x14ac:dyDescent="0.2">
      <c r="A131" s="177"/>
      <c r="B131" s="101"/>
      <c r="C131" s="97"/>
      <c r="D131" s="97"/>
      <c r="E131" s="97"/>
      <c r="F131" s="97"/>
      <c r="G131" s="97"/>
      <c r="H131" s="97"/>
      <c r="I131" s="97"/>
      <c r="J131" s="97"/>
      <c r="K131" s="16" t="s">
        <v>17</v>
      </c>
      <c r="L131" s="22">
        <v>0</v>
      </c>
      <c r="M131" s="22">
        <v>0</v>
      </c>
      <c r="N131" s="22">
        <v>0</v>
      </c>
      <c r="O131" s="22">
        <v>0</v>
      </c>
    </row>
    <row r="132" spans="1:15" s="1" customFormat="1" x14ac:dyDescent="0.2">
      <c r="A132" s="177"/>
      <c r="B132" s="101"/>
      <c r="C132" s="97"/>
      <c r="D132" s="97"/>
      <c r="E132" s="97"/>
      <c r="F132" s="97"/>
      <c r="G132" s="97"/>
      <c r="H132" s="97"/>
      <c r="I132" s="97"/>
      <c r="J132" s="97"/>
      <c r="K132" s="16" t="s">
        <v>18</v>
      </c>
      <c r="L132" s="22">
        <v>0</v>
      </c>
      <c r="M132" s="22">
        <v>0</v>
      </c>
      <c r="N132" s="22">
        <v>0</v>
      </c>
      <c r="O132" s="22">
        <v>0</v>
      </c>
    </row>
    <row r="133" spans="1:15" s="1" customFormat="1" x14ac:dyDescent="0.2">
      <c r="A133" s="177"/>
      <c r="B133" s="101"/>
      <c r="C133" s="97"/>
      <c r="D133" s="97"/>
      <c r="E133" s="97"/>
      <c r="F133" s="97"/>
      <c r="G133" s="97"/>
      <c r="H133" s="97"/>
      <c r="I133" s="97"/>
      <c r="J133" s="97"/>
      <c r="K133" s="16" t="s">
        <v>0</v>
      </c>
      <c r="L133" s="18">
        <f>SUM(L121:L132)</f>
        <v>0</v>
      </c>
      <c r="M133" s="18">
        <f t="shared" ref="M133" si="25">SUM(M121:M132)</f>
        <v>0</v>
      </c>
      <c r="N133" s="18">
        <f t="shared" ref="N133" si="26">SUM(N121:N132)</f>
        <v>0</v>
      </c>
      <c r="O133" s="18">
        <f t="shared" ref="O133" si="27">SUM(O121:O132)</f>
        <v>0</v>
      </c>
    </row>
    <row r="134" spans="1:15" s="1" customFormat="1" x14ac:dyDescent="0.2">
      <c r="A134" s="177"/>
      <c r="B134" s="101" t="s">
        <v>67</v>
      </c>
      <c r="C134" s="97" t="s">
        <v>201</v>
      </c>
      <c r="D134" s="97" t="s">
        <v>116</v>
      </c>
      <c r="E134" s="97"/>
      <c r="F134" s="97" t="s">
        <v>81</v>
      </c>
      <c r="G134" s="97"/>
      <c r="H134" s="97"/>
      <c r="I134" s="97"/>
      <c r="J134" s="97"/>
      <c r="K134" s="16" t="s">
        <v>7</v>
      </c>
      <c r="L134" s="22">
        <v>0</v>
      </c>
      <c r="M134" s="22">
        <v>0</v>
      </c>
      <c r="N134" s="22">
        <v>0</v>
      </c>
      <c r="O134" s="22">
        <v>0</v>
      </c>
    </row>
    <row r="135" spans="1:15" s="1" customFormat="1" x14ac:dyDescent="0.2">
      <c r="A135" s="177"/>
      <c r="B135" s="101"/>
      <c r="C135" s="97"/>
      <c r="D135" s="97"/>
      <c r="E135" s="97"/>
      <c r="F135" s="97"/>
      <c r="G135" s="97"/>
      <c r="H135" s="97"/>
      <c r="I135" s="97"/>
      <c r="J135" s="97"/>
      <c r="K135" s="16" t="s">
        <v>8</v>
      </c>
      <c r="L135" s="22">
        <v>0</v>
      </c>
      <c r="M135" s="22">
        <v>0</v>
      </c>
      <c r="N135" s="22">
        <v>0</v>
      </c>
      <c r="O135" s="22">
        <v>0</v>
      </c>
    </row>
    <row r="136" spans="1:15" s="1" customFormat="1" x14ac:dyDescent="0.2">
      <c r="A136" s="177"/>
      <c r="B136" s="101"/>
      <c r="C136" s="97"/>
      <c r="D136" s="97"/>
      <c r="E136" s="97"/>
      <c r="F136" s="97"/>
      <c r="G136" s="97"/>
      <c r="H136" s="97"/>
      <c r="I136" s="97"/>
      <c r="J136" s="97"/>
      <c r="K136" s="16" t="s">
        <v>9</v>
      </c>
      <c r="L136" s="22">
        <v>0</v>
      </c>
      <c r="M136" s="22">
        <v>0</v>
      </c>
      <c r="N136" s="22">
        <v>0</v>
      </c>
      <c r="O136" s="22">
        <v>0</v>
      </c>
    </row>
    <row r="137" spans="1:15" s="1" customFormat="1" x14ac:dyDescent="0.2">
      <c r="A137" s="177"/>
      <c r="B137" s="101"/>
      <c r="C137" s="97"/>
      <c r="D137" s="97"/>
      <c r="E137" s="97"/>
      <c r="F137" s="97"/>
      <c r="G137" s="97"/>
      <c r="H137" s="97"/>
      <c r="I137" s="97"/>
      <c r="J137" s="97"/>
      <c r="K137" s="16" t="s">
        <v>10</v>
      </c>
      <c r="L137" s="22">
        <v>0</v>
      </c>
      <c r="M137" s="22">
        <v>0</v>
      </c>
      <c r="N137" s="22">
        <v>0</v>
      </c>
      <c r="O137" s="22">
        <v>0</v>
      </c>
    </row>
    <row r="138" spans="1:15" s="1" customFormat="1" x14ac:dyDescent="0.2">
      <c r="A138" s="177"/>
      <c r="B138" s="101"/>
      <c r="C138" s="97"/>
      <c r="D138" s="97"/>
      <c r="E138" s="97"/>
      <c r="F138" s="97"/>
      <c r="G138" s="97"/>
      <c r="H138" s="97"/>
      <c r="I138" s="97"/>
      <c r="J138" s="97"/>
      <c r="K138" s="16" t="s">
        <v>11</v>
      </c>
      <c r="L138" s="22">
        <v>0</v>
      </c>
      <c r="M138" s="22">
        <v>0</v>
      </c>
      <c r="N138" s="22">
        <v>0</v>
      </c>
      <c r="O138" s="22">
        <v>0</v>
      </c>
    </row>
    <row r="139" spans="1:15" s="1" customFormat="1" x14ac:dyDescent="0.2">
      <c r="A139" s="177"/>
      <c r="B139" s="101"/>
      <c r="C139" s="97"/>
      <c r="D139" s="97"/>
      <c r="E139" s="97"/>
      <c r="F139" s="97"/>
      <c r="G139" s="97"/>
      <c r="H139" s="97"/>
      <c r="I139" s="97"/>
      <c r="J139" s="97"/>
      <c r="K139" s="16" t="s">
        <v>12</v>
      </c>
      <c r="L139" s="22">
        <v>0</v>
      </c>
      <c r="M139" s="22">
        <v>0</v>
      </c>
      <c r="N139" s="22">
        <v>0</v>
      </c>
      <c r="O139" s="22">
        <v>0</v>
      </c>
    </row>
    <row r="140" spans="1:15" s="1" customFormat="1" x14ac:dyDescent="0.2">
      <c r="A140" s="177"/>
      <c r="B140" s="101"/>
      <c r="C140" s="97"/>
      <c r="D140" s="97"/>
      <c r="E140" s="97"/>
      <c r="F140" s="97"/>
      <c r="G140" s="97"/>
      <c r="H140" s="97"/>
      <c r="I140" s="97"/>
      <c r="J140" s="97"/>
      <c r="K140" s="16" t="s">
        <v>13</v>
      </c>
      <c r="L140" s="22">
        <v>0</v>
      </c>
      <c r="M140" s="22">
        <v>0</v>
      </c>
      <c r="N140" s="22">
        <v>0</v>
      </c>
      <c r="O140" s="22">
        <v>0</v>
      </c>
    </row>
    <row r="141" spans="1:15" s="1" customFormat="1" x14ac:dyDescent="0.2">
      <c r="A141" s="177"/>
      <c r="B141" s="101"/>
      <c r="C141" s="97"/>
      <c r="D141" s="97"/>
      <c r="E141" s="97"/>
      <c r="F141" s="97"/>
      <c r="G141" s="97"/>
      <c r="H141" s="97"/>
      <c r="I141" s="97"/>
      <c r="J141" s="97"/>
      <c r="K141" s="16" t="s">
        <v>14</v>
      </c>
      <c r="L141" s="22">
        <v>0</v>
      </c>
      <c r="M141" s="22">
        <v>0</v>
      </c>
      <c r="N141" s="22">
        <v>0</v>
      </c>
      <c r="O141" s="22">
        <v>0</v>
      </c>
    </row>
    <row r="142" spans="1:15" s="1" customFormat="1" x14ac:dyDescent="0.2">
      <c r="A142" s="177"/>
      <c r="B142" s="101"/>
      <c r="C142" s="97"/>
      <c r="D142" s="97"/>
      <c r="E142" s="97"/>
      <c r="F142" s="97"/>
      <c r="G142" s="97"/>
      <c r="H142" s="97"/>
      <c r="I142" s="97"/>
      <c r="J142" s="97"/>
      <c r="K142" s="16" t="s">
        <v>15</v>
      </c>
      <c r="L142" s="22">
        <v>0</v>
      </c>
      <c r="M142" s="22">
        <v>0</v>
      </c>
      <c r="N142" s="22">
        <v>0</v>
      </c>
      <c r="O142" s="22">
        <v>0</v>
      </c>
    </row>
    <row r="143" spans="1:15" s="1" customFormat="1" x14ac:dyDescent="0.2">
      <c r="A143" s="177"/>
      <c r="B143" s="101"/>
      <c r="C143" s="97"/>
      <c r="D143" s="97"/>
      <c r="E143" s="97"/>
      <c r="F143" s="97"/>
      <c r="G143" s="97"/>
      <c r="H143" s="97"/>
      <c r="I143" s="97"/>
      <c r="J143" s="97"/>
      <c r="K143" s="16" t="s">
        <v>16</v>
      </c>
      <c r="L143" s="22">
        <v>0</v>
      </c>
      <c r="M143" s="22">
        <v>0</v>
      </c>
      <c r="N143" s="22">
        <v>0</v>
      </c>
      <c r="O143" s="22">
        <v>0</v>
      </c>
    </row>
    <row r="144" spans="1:15" s="1" customFormat="1" x14ac:dyDescent="0.2">
      <c r="A144" s="177"/>
      <c r="B144" s="101"/>
      <c r="C144" s="97"/>
      <c r="D144" s="97"/>
      <c r="E144" s="97"/>
      <c r="F144" s="97"/>
      <c r="G144" s="97"/>
      <c r="H144" s="97"/>
      <c r="I144" s="97"/>
      <c r="J144" s="97"/>
      <c r="K144" s="16" t="s">
        <v>17</v>
      </c>
      <c r="L144" s="22">
        <v>0</v>
      </c>
      <c r="M144" s="22">
        <v>0</v>
      </c>
      <c r="N144" s="22">
        <v>0</v>
      </c>
      <c r="O144" s="22">
        <v>0</v>
      </c>
    </row>
    <row r="145" spans="1:15" s="1" customFormat="1" x14ac:dyDescent="0.2">
      <c r="A145" s="177"/>
      <c r="B145" s="101"/>
      <c r="C145" s="97"/>
      <c r="D145" s="97"/>
      <c r="E145" s="97"/>
      <c r="F145" s="97"/>
      <c r="G145" s="97"/>
      <c r="H145" s="97"/>
      <c r="I145" s="97"/>
      <c r="J145" s="97"/>
      <c r="K145" s="16" t="s">
        <v>18</v>
      </c>
      <c r="L145" s="22">
        <v>0</v>
      </c>
      <c r="M145" s="22">
        <v>0</v>
      </c>
      <c r="N145" s="22">
        <v>0</v>
      </c>
      <c r="O145" s="22">
        <v>0</v>
      </c>
    </row>
    <row r="146" spans="1:15" s="1" customFormat="1" x14ac:dyDescent="0.2">
      <c r="A146" s="177"/>
      <c r="B146" s="101"/>
      <c r="C146" s="97"/>
      <c r="D146" s="97"/>
      <c r="E146" s="97"/>
      <c r="F146" s="97"/>
      <c r="G146" s="97"/>
      <c r="H146" s="97"/>
      <c r="I146" s="97"/>
      <c r="J146" s="97"/>
      <c r="K146" s="16" t="s">
        <v>0</v>
      </c>
      <c r="L146" s="18">
        <f>SUM(L134:L145)</f>
        <v>0</v>
      </c>
      <c r="M146" s="18">
        <f t="shared" ref="M146" si="28">SUM(M134:M145)</f>
        <v>0</v>
      </c>
      <c r="N146" s="18">
        <f t="shared" ref="N146" si="29">SUM(N134:N145)</f>
        <v>0</v>
      </c>
      <c r="O146" s="18">
        <f t="shared" ref="O146" si="30">SUM(O134:O145)</f>
        <v>0</v>
      </c>
    </row>
    <row r="147" spans="1:15" s="1" customFormat="1" ht="12.75" customHeight="1" x14ac:dyDescent="0.2">
      <c r="A147" s="177"/>
      <c r="B147" s="101" t="s">
        <v>69</v>
      </c>
      <c r="C147" s="97" t="s">
        <v>202</v>
      </c>
      <c r="D147" s="97" t="s">
        <v>72</v>
      </c>
      <c r="E147" s="97"/>
      <c r="F147" s="97" t="s">
        <v>82</v>
      </c>
      <c r="G147" s="97" t="s">
        <v>93</v>
      </c>
      <c r="H147" s="97"/>
      <c r="I147" s="97"/>
      <c r="J147" s="97"/>
      <c r="K147" s="16" t="s">
        <v>7</v>
      </c>
      <c r="L147" s="22">
        <v>0</v>
      </c>
      <c r="M147" s="22">
        <v>0</v>
      </c>
      <c r="N147" s="22">
        <v>4</v>
      </c>
      <c r="O147" s="22">
        <v>0</v>
      </c>
    </row>
    <row r="148" spans="1:15" s="1" customFormat="1" x14ac:dyDescent="0.2">
      <c r="A148" s="177"/>
      <c r="B148" s="101"/>
      <c r="C148" s="97"/>
      <c r="D148" s="97"/>
      <c r="E148" s="97"/>
      <c r="F148" s="97"/>
      <c r="G148" s="97"/>
      <c r="H148" s="97"/>
      <c r="I148" s="97"/>
      <c r="J148" s="97"/>
      <c r="K148" s="16" t="s">
        <v>8</v>
      </c>
      <c r="L148" s="22">
        <v>0</v>
      </c>
      <c r="M148" s="22">
        <v>0</v>
      </c>
      <c r="N148" s="22">
        <v>8</v>
      </c>
      <c r="O148" s="22">
        <v>0</v>
      </c>
    </row>
    <row r="149" spans="1:15" s="1" customFormat="1" x14ac:dyDescent="0.2">
      <c r="A149" s="177"/>
      <c r="B149" s="101"/>
      <c r="C149" s="97"/>
      <c r="D149" s="97"/>
      <c r="E149" s="97"/>
      <c r="F149" s="97"/>
      <c r="G149" s="97"/>
      <c r="H149" s="97"/>
      <c r="I149" s="97"/>
      <c r="J149" s="97"/>
      <c r="K149" s="16" t="s">
        <v>9</v>
      </c>
      <c r="L149" s="22">
        <v>0</v>
      </c>
      <c r="M149" s="22">
        <v>6</v>
      </c>
      <c r="N149" s="22">
        <v>7</v>
      </c>
      <c r="O149" s="22">
        <v>0</v>
      </c>
    </row>
    <row r="150" spans="1:15" s="1" customFormat="1" x14ac:dyDescent="0.2">
      <c r="A150" s="177"/>
      <c r="B150" s="101"/>
      <c r="C150" s="97"/>
      <c r="D150" s="97"/>
      <c r="E150" s="97"/>
      <c r="F150" s="97"/>
      <c r="G150" s="97"/>
      <c r="H150" s="97"/>
      <c r="I150" s="97"/>
      <c r="J150" s="97"/>
      <c r="K150" s="16" t="s">
        <v>10</v>
      </c>
      <c r="L150" s="22">
        <v>0</v>
      </c>
      <c r="M150" s="22">
        <v>4</v>
      </c>
      <c r="N150" s="22">
        <v>7</v>
      </c>
      <c r="O150" s="22">
        <v>0</v>
      </c>
    </row>
    <row r="151" spans="1:15" s="1" customFormat="1" x14ac:dyDescent="0.2">
      <c r="A151" s="177"/>
      <c r="B151" s="101"/>
      <c r="C151" s="97"/>
      <c r="D151" s="97"/>
      <c r="E151" s="97"/>
      <c r="F151" s="97"/>
      <c r="G151" s="97"/>
      <c r="H151" s="97"/>
      <c r="I151" s="97"/>
      <c r="J151" s="97"/>
      <c r="K151" s="16" t="s">
        <v>11</v>
      </c>
      <c r="L151" s="22">
        <v>0</v>
      </c>
      <c r="M151" s="22">
        <v>9</v>
      </c>
      <c r="N151" s="22">
        <v>6</v>
      </c>
      <c r="O151" s="22">
        <v>0</v>
      </c>
    </row>
    <row r="152" spans="1:15" s="1" customFormat="1" x14ac:dyDescent="0.2">
      <c r="A152" s="177"/>
      <c r="B152" s="101"/>
      <c r="C152" s="97"/>
      <c r="D152" s="97"/>
      <c r="E152" s="97"/>
      <c r="F152" s="97"/>
      <c r="G152" s="97"/>
      <c r="H152" s="97"/>
      <c r="I152" s="97"/>
      <c r="J152" s="97"/>
      <c r="K152" s="16" t="s">
        <v>12</v>
      </c>
      <c r="L152" s="22">
        <v>0</v>
      </c>
      <c r="M152" s="22">
        <v>11</v>
      </c>
      <c r="N152" s="22">
        <v>9</v>
      </c>
      <c r="O152" s="22">
        <v>0</v>
      </c>
    </row>
    <row r="153" spans="1:15" s="1" customFormat="1" x14ac:dyDescent="0.2">
      <c r="A153" s="177"/>
      <c r="B153" s="101"/>
      <c r="C153" s="97"/>
      <c r="D153" s="97"/>
      <c r="E153" s="97"/>
      <c r="F153" s="97"/>
      <c r="G153" s="97"/>
      <c r="H153" s="97"/>
      <c r="I153" s="97"/>
      <c r="J153" s="97"/>
      <c r="K153" s="16" t="s">
        <v>13</v>
      </c>
      <c r="L153" s="22">
        <v>0</v>
      </c>
      <c r="M153" s="22">
        <v>7</v>
      </c>
      <c r="N153" s="22">
        <v>5</v>
      </c>
      <c r="O153" s="22">
        <v>0</v>
      </c>
    </row>
    <row r="154" spans="1:15" s="1" customFormat="1" x14ac:dyDescent="0.2">
      <c r="A154" s="177"/>
      <c r="B154" s="101"/>
      <c r="C154" s="97"/>
      <c r="D154" s="97"/>
      <c r="E154" s="97"/>
      <c r="F154" s="97"/>
      <c r="G154" s="97"/>
      <c r="H154" s="97"/>
      <c r="I154" s="97"/>
      <c r="J154" s="97"/>
      <c r="K154" s="16" t="s">
        <v>14</v>
      </c>
      <c r="L154" s="22">
        <v>0</v>
      </c>
      <c r="M154" s="22">
        <v>3</v>
      </c>
      <c r="N154" s="22">
        <v>4</v>
      </c>
      <c r="O154" s="22">
        <v>0</v>
      </c>
    </row>
    <row r="155" spans="1:15" s="1" customFormat="1" x14ac:dyDescent="0.2">
      <c r="A155" s="177"/>
      <c r="B155" s="101"/>
      <c r="C155" s="97"/>
      <c r="D155" s="97"/>
      <c r="E155" s="97"/>
      <c r="F155" s="97"/>
      <c r="G155" s="97"/>
      <c r="H155" s="97"/>
      <c r="I155" s="97"/>
      <c r="J155" s="97"/>
      <c r="K155" s="16" t="s">
        <v>15</v>
      </c>
      <c r="L155" s="22">
        <v>0</v>
      </c>
      <c r="M155" s="22">
        <v>64</v>
      </c>
      <c r="N155" s="22">
        <v>4</v>
      </c>
      <c r="O155" s="22">
        <v>0</v>
      </c>
    </row>
    <row r="156" spans="1:15" s="1" customFormat="1" x14ac:dyDescent="0.2">
      <c r="A156" s="177"/>
      <c r="B156" s="101"/>
      <c r="C156" s="97"/>
      <c r="D156" s="97"/>
      <c r="E156" s="97"/>
      <c r="F156" s="97"/>
      <c r="G156" s="97"/>
      <c r="H156" s="97"/>
      <c r="I156" s="97"/>
      <c r="J156" s="97"/>
      <c r="K156" s="16" t="s">
        <v>16</v>
      </c>
      <c r="L156" s="22">
        <v>0</v>
      </c>
      <c r="M156" s="22">
        <v>3</v>
      </c>
      <c r="N156" s="22">
        <v>4</v>
      </c>
      <c r="O156" s="22">
        <v>0</v>
      </c>
    </row>
    <row r="157" spans="1:15" s="1" customFormat="1" x14ac:dyDescent="0.2">
      <c r="A157" s="177"/>
      <c r="B157" s="101"/>
      <c r="C157" s="97"/>
      <c r="D157" s="97"/>
      <c r="E157" s="97"/>
      <c r="F157" s="97"/>
      <c r="G157" s="97"/>
      <c r="H157" s="97"/>
      <c r="I157" s="97"/>
      <c r="J157" s="97"/>
      <c r="K157" s="16" t="s">
        <v>17</v>
      </c>
      <c r="L157" s="22">
        <v>0</v>
      </c>
      <c r="M157" s="22">
        <v>3</v>
      </c>
      <c r="N157" s="22">
        <v>4</v>
      </c>
      <c r="O157" s="22">
        <v>0</v>
      </c>
    </row>
    <row r="158" spans="1:15" s="1" customFormat="1" x14ac:dyDescent="0.2">
      <c r="A158" s="177"/>
      <c r="B158" s="101"/>
      <c r="C158" s="97"/>
      <c r="D158" s="97"/>
      <c r="E158" s="97"/>
      <c r="F158" s="97"/>
      <c r="G158" s="97"/>
      <c r="H158" s="97"/>
      <c r="I158" s="97"/>
      <c r="J158" s="97"/>
      <c r="K158" s="16" t="s">
        <v>18</v>
      </c>
      <c r="L158" s="22">
        <v>0</v>
      </c>
      <c r="M158" s="22">
        <v>3</v>
      </c>
      <c r="N158" s="22">
        <v>4</v>
      </c>
      <c r="O158" s="22">
        <v>0</v>
      </c>
    </row>
    <row r="159" spans="1:15" s="1" customFormat="1" x14ac:dyDescent="0.2">
      <c r="A159" s="177"/>
      <c r="B159" s="101"/>
      <c r="C159" s="97"/>
      <c r="D159" s="97"/>
      <c r="E159" s="97"/>
      <c r="F159" s="97"/>
      <c r="G159" s="97"/>
      <c r="H159" s="97"/>
      <c r="I159" s="97"/>
      <c r="J159" s="97"/>
      <c r="K159" s="16" t="s">
        <v>0</v>
      </c>
      <c r="L159" s="18">
        <f>SUM(L147:L158)</f>
        <v>0</v>
      </c>
      <c r="M159" s="18">
        <f t="shared" ref="M159" si="31">SUM(M147:M158)</f>
        <v>113</v>
      </c>
      <c r="N159" s="18">
        <f t="shared" ref="N159" si="32">SUM(N147:N158)</f>
        <v>66</v>
      </c>
      <c r="O159" s="18">
        <f t="shared" ref="O159" si="33">SUM(O147:O158)</f>
        <v>0</v>
      </c>
    </row>
    <row r="160" spans="1:15" s="1" customFormat="1" ht="12.75" customHeight="1" x14ac:dyDescent="0.2">
      <c r="A160" s="177"/>
      <c r="B160" s="101" t="s">
        <v>69</v>
      </c>
      <c r="C160" s="97" t="s">
        <v>162</v>
      </c>
      <c r="D160" s="97" t="s">
        <v>72</v>
      </c>
      <c r="E160" s="97"/>
      <c r="F160" s="97" t="s">
        <v>82</v>
      </c>
      <c r="G160" s="97" t="s">
        <v>93</v>
      </c>
      <c r="H160" s="97"/>
      <c r="I160" s="97"/>
      <c r="J160" s="97"/>
      <c r="K160" s="16" t="s">
        <v>7</v>
      </c>
      <c r="L160" s="22">
        <v>0</v>
      </c>
      <c r="M160" s="22">
        <v>0</v>
      </c>
      <c r="N160" s="22">
        <v>6</v>
      </c>
      <c r="O160" s="22">
        <v>0</v>
      </c>
    </row>
    <row r="161" spans="1:15" s="1" customFormat="1" x14ac:dyDescent="0.2">
      <c r="A161" s="177"/>
      <c r="B161" s="101"/>
      <c r="C161" s="97"/>
      <c r="D161" s="97"/>
      <c r="E161" s="97"/>
      <c r="F161" s="97"/>
      <c r="G161" s="97"/>
      <c r="H161" s="97"/>
      <c r="I161" s="97"/>
      <c r="J161" s="97"/>
      <c r="K161" s="16" t="s">
        <v>8</v>
      </c>
      <c r="L161" s="22">
        <v>0</v>
      </c>
      <c r="M161" s="22">
        <v>0</v>
      </c>
      <c r="N161" s="22">
        <v>6</v>
      </c>
      <c r="O161" s="22">
        <v>0</v>
      </c>
    </row>
    <row r="162" spans="1:15" s="1" customFormat="1" x14ac:dyDescent="0.2">
      <c r="A162" s="177"/>
      <c r="B162" s="101"/>
      <c r="C162" s="97"/>
      <c r="D162" s="97"/>
      <c r="E162" s="97"/>
      <c r="F162" s="97"/>
      <c r="G162" s="97"/>
      <c r="H162" s="97"/>
      <c r="I162" s="97"/>
      <c r="J162" s="97"/>
      <c r="K162" s="16" t="s">
        <v>9</v>
      </c>
      <c r="L162" s="22">
        <v>0</v>
      </c>
      <c r="M162" s="22">
        <v>0</v>
      </c>
      <c r="N162" s="22">
        <v>6</v>
      </c>
      <c r="O162" s="22">
        <v>0</v>
      </c>
    </row>
    <row r="163" spans="1:15" s="1" customFormat="1" x14ac:dyDescent="0.2">
      <c r="A163" s="177"/>
      <c r="B163" s="101"/>
      <c r="C163" s="97"/>
      <c r="D163" s="97"/>
      <c r="E163" s="97"/>
      <c r="F163" s="97"/>
      <c r="G163" s="97"/>
      <c r="H163" s="97"/>
      <c r="I163" s="97"/>
      <c r="J163" s="97"/>
      <c r="K163" s="16" t="s">
        <v>10</v>
      </c>
      <c r="L163" s="22">
        <v>0</v>
      </c>
      <c r="M163" s="22">
        <v>0</v>
      </c>
      <c r="N163" s="22">
        <v>6</v>
      </c>
      <c r="O163" s="22">
        <v>0</v>
      </c>
    </row>
    <row r="164" spans="1:15" s="1" customFormat="1" x14ac:dyDescent="0.2">
      <c r="A164" s="177"/>
      <c r="B164" s="101"/>
      <c r="C164" s="97"/>
      <c r="D164" s="97"/>
      <c r="E164" s="97"/>
      <c r="F164" s="97"/>
      <c r="G164" s="97"/>
      <c r="H164" s="97"/>
      <c r="I164" s="97"/>
      <c r="J164" s="97"/>
      <c r="K164" s="16" t="s">
        <v>11</v>
      </c>
      <c r="L164" s="22">
        <v>0</v>
      </c>
      <c r="M164" s="22">
        <v>0</v>
      </c>
      <c r="N164" s="22">
        <v>6</v>
      </c>
      <c r="O164" s="22">
        <v>0</v>
      </c>
    </row>
    <row r="165" spans="1:15" s="1" customFormat="1" x14ac:dyDescent="0.2">
      <c r="A165" s="177"/>
      <c r="B165" s="101"/>
      <c r="C165" s="97"/>
      <c r="D165" s="97"/>
      <c r="E165" s="97"/>
      <c r="F165" s="97"/>
      <c r="G165" s="97"/>
      <c r="H165" s="97"/>
      <c r="I165" s="97"/>
      <c r="J165" s="97"/>
      <c r="K165" s="16" t="s">
        <v>12</v>
      </c>
      <c r="L165" s="22">
        <v>0</v>
      </c>
      <c r="M165" s="22">
        <v>0</v>
      </c>
      <c r="N165" s="22">
        <v>6</v>
      </c>
      <c r="O165" s="22">
        <v>0</v>
      </c>
    </row>
    <row r="166" spans="1:15" s="1" customFormat="1" x14ac:dyDescent="0.2">
      <c r="A166" s="177"/>
      <c r="B166" s="101"/>
      <c r="C166" s="97"/>
      <c r="D166" s="97"/>
      <c r="E166" s="97"/>
      <c r="F166" s="97"/>
      <c r="G166" s="97"/>
      <c r="H166" s="97"/>
      <c r="I166" s="97"/>
      <c r="J166" s="97"/>
      <c r="K166" s="16" t="s">
        <v>13</v>
      </c>
      <c r="L166" s="22">
        <v>0</v>
      </c>
      <c r="M166" s="22">
        <v>0</v>
      </c>
      <c r="N166" s="22">
        <v>0</v>
      </c>
      <c r="O166" s="22">
        <v>0</v>
      </c>
    </row>
    <row r="167" spans="1:15" s="1" customFormat="1" x14ac:dyDescent="0.2">
      <c r="A167" s="177"/>
      <c r="B167" s="101"/>
      <c r="C167" s="97"/>
      <c r="D167" s="97"/>
      <c r="E167" s="97"/>
      <c r="F167" s="97"/>
      <c r="G167" s="97"/>
      <c r="H167" s="97"/>
      <c r="I167" s="97"/>
      <c r="J167" s="97"/>
      <c r="K167" s="16" t="s">
        <v>14</v>
      </c>
      <c r="L167" s="22">
        <v>0</v>
      </c>
      <c r="M167" s="22">
        <v>0</v>
      </c>
      <c r="N167" s="22">
        <v>0</v>
      </c>
      <c r="O167" s="22">
        <v>0</v>
      </c>
    </row>
    <row r="168" spans="1:15" s="1" customFormat="1" x14ac:dyDescent="0.2">
      <c r="A168" s="177"/>
      <c r="B168" s="101"/>
      <c r="C168" s="97"/>
      <c r="D168" s="97"/>
      <c r="E168" s="97"/>
      <c r="F168" s="97"/>
      <c r="G168" s="97"/>
      <c r="H168" s="97"/>
      <c r="I168" s="97"/>
      <c r="J168" s="97"/>
      <c r="K168" s="16" t="s">
        <v>15</v>
      </c>
      <c r="L168" s="22">
        <v>0</v>
      </c>
      <c r="M168" s="22">
        <v>0</v>
      </c>
      <c r="N168" s="22">
        <v>6</v>
      </c>
      <c r="O168" s="22">
        <v>0</v>
      </c>
    </row>
    <row r="169" spans="1:15" s="1" customFormat="1" x14ac:dyDescent="0.2">
      <c r="A169" s="177"/>
      <c r="B169" s="101"/>
      <c r="C169" s="97"/>
      <c r="D169" s="97"/>
      <c r="E169" s="97"/>
      <c r="F169" s="97"/>
      <c r="G169" s="97"/>
      <c r="H169" s="97"/>
      <c r="I169" s="97"/>
      <c r="J169" s="97"/>
      <c r="K169" s="16" t="s">
        <v>16</v>
      </c>
      <c r="L169" s="22">
        <v>0</v>
      </c>
      <c r="M169" s="22">
        <v>0</v>
      </c>
      <c r="N169" s="22">
        <v>6</v>
      </c>
      <c r="O169" s="22">
        <v>0</v>
      </c>
    </row>
    <row r="170" spans="1:15" s="1" customFormat="1" x14ac:dyDescent="0.2">
      <c r="A170" s="177"/>
      <c r="B170" s="101"/>
      <c r="C170" s="97"/>
      <c r="D170" s="97"/>
      <c r="E170" s="97"/>
      <c r="F170" s="97"/>
      <c r="G170" s="97"/>
      <c r="H170" s="97"/>
      <c r="I170" s="97"/>
      <c r="J170" s="97"/>
      <c r="K170" s="16" t="s">
        <v>17</v>
      </c>
      <c r="L170" s="22">
        <v>0</v>
      </c>
      <c r="M170" s="22">
        <v>0</v>
      </c>
      <c r="N170" s="22">
        <v>6</v>
      </c>
      <c r="O170" s="22">
        <v>0</v>
      </c>
    </row>
    <row r="171" spans="1:15" s="1" customFormat="1" x14ac:dyDescent="0.2">
      <c r="A171" s="177"/>
      <c r="B171" s="101"/>
      <c r="C171" s="97"/>
      <c r="D171" s="97"/>
      <c r="E171" s="97"/>
      <c r="F171" s="97"/>
      <c r="G171" s="97"/>
      <c r="H171" s="97"/>
      <c r="I171" s="97"/>
      <c r="J171" s="97"/>
      <c r="K171" s="16" t="s">
        <v>18</v>
      </c>
      <c r="L171" s="22">
        <v>0</v>
      </c>
      <c r="M171" s="22">
        <v>0</v>
      </c>
      <c r="N171" s="22">
        <v>6</v>
      </c>
      <c r="O171" s="22">
        <v>0</v>
      </c>
    </row>
    <row r="172" spans="1:15" s="1" customFormat="1" ht="19.5" customHeight="1" x14ac:dyDescent="0.2">
      <c r="A172" s="177"/>
      <c r="B172" s="101"/>
      <c r="C172" s="97"/>
      <c r="D172" s="97"/>
      <c r="E172" s="97"/>
      <c r="F172" s="97"/>
      <c r="G172" s="97"/>
      <c r="H172" s="97"/>
      <c r="I172" s="97"/>
      <c r="J172" s="97"/>
      <c r="K172" s="16" t="s">
        <v>0</v>
      </c>
      <c r="L172" s="18">
        <f>SUM(L160:L171)</f>
        <v>0</v>
      </c>
      <c r="M172" s="18">
        <f t="shared" ref="M172" si="34">SUM(M160:M171)</f>
        <v>0</v>
      </c>
      <c r="N172" s="18">
        <f t="shared" ref="N172" si="35">SUM(N160:N171)</f>
        <v>60</v>
      </c>
      <c r="O172" s="18">
        <f t="shared" ref="O172" si="36">SUM(O160:O171)</f>
        <v>0</v>
      </c>
    </row>
    <row r="173" spans="1:15" s="1" customFormat="1" x14ac:dyDescent="0.2">
      <c r="A173" s="177"/>
      <c r="B173" s="101" t="s">
        <v>69</v>
      </c>
      <c r="C173" s="97" t="s">
        <v>203</v>
      </c>
      <c r="D173" s="97" t="s">
        <v>71</v>
      </c>
      <c r="E173" s="97" t="s">
        <v>118</v>
      </c>
      <c r="F173" s="97" t="s">
        <v>83</v>
      </c>
      <c r="G173" s="97" t="s">
        <v>93</v>
      </c>
      <c r="H173" s="97"/>
      <c r="I173" s="97"/>
      <c r="J173" s="97"/>
      <c r="K173" s="16" t="s">
        <v>7</v>
      </c>
      <c r="L173" s="21">
        <v>0</v>
      </c>
      <c r="M173" s="21">
        <v>0</v>
      </c>
      <c r="N173" s="21">
        <v>0.10076923076923078</v>
      </c>
      <c r="O173" s="21">
        <v>0</v>
      </c>
    </row>
    <row r="174" spans="1:15" s="1" customFormat="1" x14ac:dyDescent="0.2">
      <c r="A174" s="177"/>
      <c r="B174" s="101"/>
      <c r="C174" s="97"/>
      <c r="D174" s="97"/>
      <c r="E174" s="97"/>
      <c r="F174" s="97"/>
      <c r="G174" s="97"/>
      <c r="H174" s="97"/>
      <c r="I174" s="97"/>
      <c r="J174" s="97"/>
      <c r="K174" s="16" t="s">
        <v>8</v>
      </c>
      <c r="L174" s="21">
        <v>0</v>
      </c>
      <c r="M174" s="21">
        <v>0</v>
      </c>
      <c r="N174" s="21">
        <v>0.13153846153846155</v>
      </c>
      <c r="O174" s="21">
        <v>0</v>
      </c>
    </row>
    <row r="175" spans="1:15" s="1" customFormat="1" x14ac:dyDescent="0.2">
      <c r="A175" s="177"/>
      <c r="B175" s="101"/>
      <c r="C175" s="97"/>
      <c r="D175" s="97"/>
      <c r="E175" s="97"/>
      <c r="F175" s="97"/>
      <c r="G175" s="97"/>
      <c r="H175" s="97"/>
      <c r="I175" s="97"/>
      <c r="J175" s="97"/>
      <c r="K175" s="16" t="s">
        <v>9</v>
      </c>
      <c r="L175" s="21">
        <v>0</v>
      </c>
      <c r="M175" s="21">
        <v>0</v>
      </c>
      <c r="N175" s="21">
        <v>0.12384615384615386</v>
      </c>
      <c r="O175" s="21">
        <v>0</v>
      </c>
    </row>
    <row r="176" spans="1:15" s="1" customFormat="1" x14ac:dyDescent="0.2">
      <c r="A176" s="177"/>
      <c r="B176" s="101"/>
      <c r="C176" s="97"/>
      <c r="D176" s="97"/>
      <c r="E176" s="97"/>
      <c r="F176" s="97"/>
      <c r="G176" s="97"/>
      <c r="H176" s="97"/>
      <c r="I176" s="97"/>
      <c r="J176" s="97"/>
      <c r="K176" s="16" t="s">
        <v>10</v>
      </c>
      <c r="L176" s="21">
        <v>0</v>
      </c>
      <c r="M176" s="21">
        <v>0</v>
      </c>
      <c r="N176" s="21">
        <v>0.12384615384615386</v>
      </c>
      <c r="O176" s="21">
        <v>0</v>
      </c>
    </row>
    <row r="177" spans="1:15" s="1" customFormat="1" x14ac:dyDescent="0.2">
      <c r="A177" s="177"/>
      <c r="B177" s="101"/>
      <c r="C177" s="97"/>
      <c r="D177" s="97"/>
      <c r="E177" s="97"/>
      <c r="F177" s="97"/>
      <c r="G177" s="97"/>
      <c r="H177" s="97"/>
      <c r="I177" s="97"/>
      <c r="J177" s="97"/>
      <c r="K177" s="16" t="s">
        <v>11</v>
      </c>
      <c r="L177" s="21">
        <v>0</v>
      </c>
      <c r="M177" s="21">
        <v>0</v>
      </c>
      <c r="N177" s="21">
        <v>0.11615384615384616</v>
      </c>
      <c r="O177" s="21">
        <v>0</v>
      </c>
    </row>
    <row r="178" spans="1:15" s="1" customFormat="1" x14ac:dyDescent="0.2">
      <c r="A178" s="177"/>
      <c r="B178" s="101"/>
      <c r="C178" s="97"/>
      <c r="D178" s="97"/>
      <c r="E178" s="97"/>
      <c r="F178" s="97"/>
      <c r="G178" s="97"/>
      <c r="H178" s="97"/>
      <c r="I178" s="97"/>
      <c r="J178" s="97"/>
      <c r="K178" s="16" t="s">
        <v>12</v>
      </c>
      <c r="L178" s="21">
        <v>0</v>
      </c>
      <c r="M178" s="21">
        <v>0</v>
      </c>
      <c r="N178" s="21">
        <v>0.10846153846153847</v>
      </c>
      <c r="O178" s="21">
        <v>0</v>
      </c>
    </row>
    <row r="179" spans="1:15" s="1" customFormat="1" x14ac:dyDescent="0.2">
      <c r="A179" s="177"/>
      <c r="B179" s="101"/>
      <c r="C179" s="97"/>
      <c r="D179" s="97"/>
      <c r="E179" s="97"/>
      <c r="F179" s="97"/>
      <c r="G179" s="97"/>
      <c r="H179" s="97"/>
      <c r="I179" s="97"/>
      <c r="J179" s="97"/>
      <c r="K179" s="16" t="s">
        <v>13</v>
      </c>
      <c r="L179" s="21">
        <v>0</v>
      </c>
      <c r="M179" s="21">
        <v>0</v>
      </c>
      <c r="N179" s="21">
        <v>0.10846153846153847</v>
      </c>
      <c r="O179" s="21">
        <v>0</v>
      </c>
    </row>
    <row r="180" spans="1:15" s="1" customFormat="1" x14ac:dyDescent="0.2">
      <c r="A180" s="177"/>
      <c r="B180" s="101"/>
      <c r="C180" s="97"/>
      <c r="D180" s="97"/>
      <c r="E180" s="97"/>
      <c r="F180" s="97"/>
      <c r="G180" s="97"/>
      <c r="H180" s="97"/>
      <c r="I180" s="97"/>
      <c r="J180" s="97"/>
      <c r="K180" s="16" t="s">
        <v>14</v>
      </c>
      <c r="L180" s="21">
        <v>0</v>
      </c>
      <c r="M180" s="21">
        <v>0</v>
      </c>
      <c r="N180" s="21">
        <v>9.0769230769230769E-2</v>
      </c>
      <c r="O180" s="21">
        <v>0</v>
      </c>
    </row>
    <row r="181" spans="1:15" s="1" customFormat="1" x14ac:dyDescent="0.2">
      <c r="A181" s="177"/>
      <c r="B181" s="101"/>
      <c r="C181" s="97"/>
      <c r="D181" s="97"/>
      <c r="E181" s="97"/>
      <c r="F181" s="97"/>
      <c r="G181" s="97"/>
      <c r="H181" s="97"/>
      <c r="I181" s="97"/>
      <c r="J181" s="97"/>
      <c r="K181" s="16" t="s">
        <v>15</v>
      </c>
      <c r="L181" s="21">
        <v>0</v>
      </c>
      <c r="M181" s="21">
        <v>0</v>
      </c>
      <c r="N181" s="21">
        <v>0.10076923076923078</v>
      </c>
      <c r="O181" s="21">
        <v>0</v>
      </c>
    </row>
    <row r="182" spans="1:15" s="1" customFormat="1" x14ac:dyDescent="0.2">
      <c r="A182" s="177"/>
      <c r="B182" s="101"/>
      <c r="C182" s="97"/>
      <c r="D182" s="97"/>
      <c r="E182" s="97"/>
      <c r="F182" s="97"/>
      <c r="G182" s="97"/>
      <c r="H182" s="97"/>
      <c r="I182" s="97"/>
      <c r="J182" s="97"/>
      <c r="K182" s="16" t="s">
        <v>16</v>
      </c>
      <c r="L182" s="21">
        <v>0</v>
      </c>
      <c r="M182" s="21">
        <v>0.55000000000000004</v>
      </c>
      <c r="N182" s="21">
        <v>0.89076923076923087</v>
      </c>
      <c r="O182" s="21">
        <v>0</v>
      </c>
    </row>
    <row r="183" spans="1:15" s="1" customFormat="1" x14ac:dyDescent="0.2">
      <c r="A183" s="177"/>
      <c r="B183" s="101"/>
      <c r="C183" s="97"/>
      <c r="D183" s="97"/>
      <c r="E183" s="97"/>
      <c r="F183" s="97"/>
      <c r="G183" s="97"/>
      <c r="H183" s="97"/>
      <c r="I183" s="97"/>
      <c r="J183" s="97"/>
      <c r="K183" s="16" t="s">
        <v>17</v>
      </c>
      <c r="L183" s="21">
        <v>0</v>
      </c>
      <c r="M183" s="21">
        <v>0</v>
      </c>
      <c r="N183" s="21">
        <v>3.0769230769230771E-2</v>
      </c>
      <c r="O183" s="21">
        <v>0</v>
      </c>
    </row>
    <row r="184" spans="1:15" s="1" customFormat="1" x14ac:dyDescent="0.2">
      <c r="A184" s="177"/>
      <c r="B184" s="101"/>
      <c r="C184" s="97"/>
      <c r="D184" s="97"/>
      <c r="E184" s="97"/>
      <c r="F184" s="97"/>
      <c r="G184" s="97"/>
      <c r="H184" s="97"/>
      <c r="I184" s="97"/>
      <c r="J184" s="97"/>
      <c r="K184" s="16" t="s">
        <v>18</v>
      </c>
      <c r="L184" s="21">
        <v>0</v>
      </c>
      <c r="M184" s="21">
        <v>0</v>
      </c>
      <c r="N184" s="21">
        <v>0.10076923076923078</v>
      </c>
      <c r="O184" s="21">
        <v>0</v>
      </c>
    </row>
    <row r="185" spans="1:15" s="1" customFormat="1" x14ac:dyDescent="0.2">
      <c r="A185" s="177"/>
      <c r="B185" s="101"/>
      <c r="C185" s="97"/>
      <c r="D185" s="97"/>
      <c r="E185" s="97"/>
      <c r="F185" s="97"/>
      <c r="G185" s="97"/>
      <c r="H185" s="97"/>
      <c r="I185" s="97"/>
      <c r="J185" s="97"/>
      <c r="K185" s="16" t="s">
        <v>0</v>
      </c>
      <c r="L185" s="17">
        <f>SUM(L173:L184)</f>
        <v>0</v>
      </c>
      <c r="M185" s="17">
        <f t="shared" ref="M185" si="37">SUM(M173:M184)</f>
        <v>0.55000000000000004</v>
      </c>
      <c r="N185" s="17">
        <f t="shared" ref="N185" si="38">SUM(N173:N184)</f>
        <v>2.0269230769230773</v>
      </c>
      <c r="O185" s="17">
        <f t="shared" ref="O185" si="39">SUM(O173:O184)</f>
        <v>0</v>
      </c>
    </row>
    <row r="186" spans="1:15" s="1" customFormat="1" x14ac:dyDescent="0.2">
      <c r="A186" s="177"/>
      <c r="B186" s="101" t="s">
        <v>69</v>
      </c>
      <c r="C186" s="97" t="s">
        <v>163</v>
      </c>
      <c r="D186" s="97" t="s">
        <v>71</v>
      </c>
      <c r="E186" s="97" t="s">
        <v>118</v>
      </c>
      <c r="F186" s="97" t="s">
        <v>83</v>
      </c>
      <c r="G186" s="97" t="s">
        <v>93</v>
      </c>
      <c r="H186" s="97"/>
      <c r="I186" s="97"/>
      <c r="J186" s="97"/>
      <c r="K186" s="16" t="s">
        <v>7</v>
      </c>
      <c r="L186" s="21">
        <v>0</v>
      </c>
      <c r="M186" s="21">
        <v>0</v>
      </c>
      <c r="N186" s="21">
        <v>6.59E-2</v>
      </c>
      <c r="O186" s="21">
        <v>0</v>
      </c>
    </row>
    <row r="187" spans="1:15" s="1" customFormat="1" x14ac:dyDescent="0.2">
      <c r="A187" s="177"/>
      <c r="B187" s="101"/>
      <c r="C187" s="97"/>
      <c r="D187" s="97"/>
      <c r="E187" s="97"/>
      <c r="F187" s="97"/>
      <c r="G187" s="97"/>
      <c r="H187" s="97"/>
      <c r="I187" s="97"/>
      <c r="J187" s="97"/>
      <c r="K187" s="16" t="s">
        <v>8</v>
      </c>
      <c r="L187" s="21">
        <v>0</v>
      </c>
      <c r="M187" s="21">
        <v>0</v>
      </c>
      <c r="N187" s="21">
        <v>6.59E-2</v>
      </c>
      <c r="O187" s="21">
        <v>0</v>
      </c>
    </row>
    <row r="188" spans="1:15" s="1" customFormat="1" x14ac:dyDescent="0.2">
      <c r="A188" s="177"/>
      <c r="B188" s="101"/>
      <c r="C188" s="97"/>
      <c r="D188" s="97"/>
      <c r="E188" s="97"/>
      <c r="F188" s="97"/>
      <c r="G188" s="97"/>
      <c r="H188" s="97"/>
      <c r="I188" s="97"/>
      <c r="J188" s="97"/>
      <c r="K188" s="16" t="s">
        <v>9</v>
      </c>
      <c r="L188" s="21">
        <v>0</v>
      </c>
      <c r="M188" s="21">
        <v>0</v>
      </c>
      <c r="N188" s="21">
        <v>6.59E-2</v>
      </c>
      <c r="O188" s="21">
        <v>0</v>
      </c>
    </row>
    <row r="189" spans="1:15" s="1" customFormat="1" x14ac:dyDescent="0.2">
      <c r="A189" s="177"/>
      <c r="B189" s="101"/>
      <c r="C189" s="97"/>
      <c r="D189" s="97"/>
      <c r="E189" s="97"/>
      <c r="F189" s="97"/>
      <c r="G189" s="97"/>
      <c r="H189" s="97"/>
      <c r="I189" s="97"/>
      <c r="J189" s="97"/>
      <c r="K189" s="16" t="s">
        <v>10</v>
      </c>
      <c r="L189" s="21">
        <v>0</v>
      </c>
      <c r="M189" s="21">
        <v>0</v>
      </c>
      <c r="N189" s="21">
        <v>6.59E-2</v>
      </c>
      <c r="O189" s="21">
        <v>0</v>
      </c>
    </row>
    <row r="190" spans="1:15" s="1" customFormat="1" x14ac:dyDescent="0.2">
      <c r="A190" s="177"/>
      <c r="B190" s="101"/>
      <c r="C190" s="97"/>
      <c r="D190" s="97"/>
      <c r="E190" s="97"/>
      <c r="F190" s="97"/>
      <c r="G190" s="97"/>
      <c r="H190" s="97"/>
      <c r="I190" s="97"/>
      <c r="J190" s="97"/>
      <c r="K190" s="16" t="s">
        <v>11</v>
      </c>
      <c r="L190" s="21">
        <v>0</v>
      </c>
      <c r="M190" s="21">
        <v>0</v>
      </c>
      <c r="N190" s="21">
        <v>6.59E-2</v>
      </c>
      <c r="O190" s="21">
        <v>0</v>
      </c>
    </row>
    <row r="191" spans="1:15" s="1" customFormat="1" x14ac:dyDescent="0.2">
      <c r="A191" s="177"/>
      <c r="B191" s="101"/>
      <c r="C191" s="97"/>
      <c r="D191" s="97"/>
      <c r="E191" s="97"/>
      <c r="F191" s="97"/>
      <c r="G191" s="97"/>
      <c r="H191" s="97"/>
      <c r="I191" s="97"/>
      <c r="J191" s="97"/>
      <c r="K191" s="16" t="s">
        <v>12</v>
      </c>
      <c r="L191" s="21">
        <v>0</v>
      </c>
      <c r="M191" s="21">
        <v>0</v>
      </c>
      <c r="N191" s="21">
        <v>6.59E-2</v>
      </c>
      <c r="O191" s="21">
        <v>0</v>
      </c>
    </row>
    <row r="192" spans="1:15" s="1" customFormat="1" x14ac:dyDescent="0.2">
      <c r="A192" s="177"/>
      <c r="B192" s="101"/>
      <c r="C192" s="97"/>
      <c r="D192" s="97"/>
      <c r="E192" s="97"/>
      <c r="F192" s="97"/>
      <c r="G192" s="97"/>
      <c r="H192" s="97"/>
      <c r="I192" s="97"/>
      <c r="J192" s="97"/>
      <c r="K192" s="16" t="s">
        <v>13</v>
      </c>
      <c r="L192" s="21">
        <v>0</v>
      </c>
      <c r="M192" s="21">
        <v>0</v>
      </c>
      <c r="N192" s="21">
        <v>5.8999999999999999E-3</v>
      </c>
      <c r="O192" s="21">
        <v>0</v>
      </c>
    </row>
    <row r="193" spans="1:15" s="1" customFormat="1" x14ac:dyDescent="0.2">
      <c r="A193" s="177"/>
      <c r="B193" s="101"/>
      <c r="C193" s="97"/>
      <c r="D193" s="97"/>
      <c r="E193" s="97"/>
      <c r="F193" s="97"/>
      <c r="G193" s="97"/>
      <c r="H193" s="97"/>
      <c r="I193" s="97"/>
      <c r="J193" s="97"/>
      <c r="K193" s="16" t="s">
        <v>14</v>
      </c>
      <c r="L193" s="21">
        <v>0</v>
      </c>
      <c r="M193" s="21">
        <v>0</v>
      </c>
      <c r="N193" s="21">
        <v>5.8999999999999999E-3</v>
      </c>
      <c r="O193" s="21">
        <v>0</v>
      </c>
    </row>
    <row r="194" spans="1:15" s="1" customFormat="1" x14ac:dyDescent="0.2">
      <c r="A194" s="177"/>
      <c r="B194" s="101"/>
      <c r="C194" s="97"/>
      <c r="D194" s="97"/>
      <c r="E194" s="97"/>
      <c r="F194" s="97"/>
      <c r="G194" s="97"/>
      <c r="H194" s="97"/>
      <c r="I194" s="97"/>
      <c r="J194" s="97"/>
      <c r="K194" s="16" t="s">
        <v>15</v>
      </c>
      <c r="L194" s="21">
        <v>0</v>
      </c>
      <c r="M194" s="21">
        <v>0</v>
      </c>
      <c r="N194" s="21">
        <v>6.59E-2</v>
      </c>
      <c r="O194" s="21">
        <v>0</v>
      </c>
    </row>
    <row r="195" spans="1:15" s="1" customFormat="1" x14ac:dyDescent="0.2">
      <c r="A195" s="177"/>
      <c r="B195" s="101"/>
      <c r="C195" s="97"/>
      <c r="D195" s="97"/>
      <c r="E195" s="97"/>
      <c r="F195" s="97"/>
      <c r="G195" s="97"/>
      <c r="H195" s="97"/>
      <c r="I195" s="97"/>
      <c r="J195" s="97"/>
      <c r="K195" s="16" t="s">
        <v>16</v>
      </c>
      <c r="L195" s="21">
        <v>0</v>
      </c>
      <c r="M195" s="21">
        <v>0</v>
      </c>
      <c r="N195" s="21">
        <v>6.59E-2</v>
      </c>
      <c r="O195" s="21">
        <v>0</v>
      </c>
    </row>
    <row r="196" spans="1:15" s="1" customFormat="1" x14ac:dyDescent="0.2">
      <c r="A196" s="177"/>
      <c r="B196" s="101"/>
      <c r="C196" s="97"/>
      <c r="D196" s="97"/>
      <c r="E196" s="97"/>
      <c r="F196" s="97"/>
      <c r="G196" s="97"/>
      <c r="H196" s="97"/>
      <c r="I196" s="97"/>
      <c r="J196" s="97"/>
      <c r="K196" s="16" t="s">
        <v>17</v>
      </c>
      <c r="L196" s="21">
        <v>0</v>
      </c>
      <c r="M196" s="21">
        <v>0</v>
      </c>
      <c r="N196" s="21">
        <v>6.59E-2</v>
      </c>
      <c r="O196" s="21">
        <v>0</v>
      </c>
    </row>
    <row r="197" spans="1:15" s="1" customFormat="1" x14ac:dyDescent="0.2">
      <c r="A197" s="177"/>
      <c r="B197" s="101"/>
      <c r="C197" s="97"/>
      <c r="D197" s="97"/>
      <c r="E197" s="97"/>
      <c r="F197" s="97"/>
      <c r="G197" s="97"/>
      <c r="H197" s="97"/>
      <c r="I197" s="97"/>
      <c r="J197" s="97"/>
      <c r="K197" s="16" t="s">
        <v>18</v>
      </c>
      <c r="L197" s="21">
        <v>0</v>
      </c>
      <c r="M197" s="21">
        <v>0</v>
      </c>
      <c r="N197" s="21">
        <v>6.59E-2</v>
      </c>
      <c r="O197" s="21">
        <v>0</v>
      </c>
    </row>
    <row r="198" spans="1:15" s="1" customFormat="1" x14ac:dyDescent="0.2">
      <c r="A198" s="177"/>
      <c r="B198" s="101"/>
      <c r="C198" s="97"/>
      <c r="D198" s="97"/>
      <c r="E198" s="97"/>
      <c r="F198" s="97"/>
      <c r="G198" s="97"/>
      <c r="H198" s="97"/>
      <c r="I198" s="97"/>
      <c r="J198" s="97"/>
      <c r="K198" s="16" t="s">
        <v>0</v>
      </c>
      <c r="L198" s="17">
        <f>SUM(L186:L197)</f>
        <v>0</v>
      </c>
      <c r="M198" s="17">
        <f t="shared" ref="M198" si="40">SUM(M186:M197)</f>
        <v>0</v>
      </c>
      <c r="N198" s="17">
        <f t="shared" ref="N198" si="41">SUM(N186:N197)</f>
        <v>0.67079999999999995</v>
      </c>
      <c r="O198" s="17">
        <f t="shared" ref="O198" si="42">SUM(O186:O197)</f>
        <v>0</v>
      </c>
    </row>
    <row r="199" spans="1:15" s="1" customFormat="1" x14ac:dyDescent="0.2">
      <c r="A199" s="177"/>
      <c r="B199" s="101" t="s">
        <v>69</v>
      </c>
      <c r="C199" s="97" t="s">
        <v>204</v>
      </c>
      <c r="D199" s="97" t="s">
        <v>70</v>
      </c>
      <c r="E199" s="97"/>
      <c r="F199" s="97" t="s">
        <v>83</v>
      </c>
      <c r="G199" s="97" t="s">
        <v>93</v>
      </c>
      <c r="H199" s="97"/>
      <c r="I199" s="97"/>
      <c r="J199" s="97"/>
      <c r="K199" s="16" t="s">
        <v>7</v>
      </c>
      <c r="L199" s="21">
        <v>0</v>
      </c>
      <c r="M199" s="21">
        <v>0</v>
      </c>
      <c r="N199" s="21">
        <v>0</v>
      </c>
      <c r="O199" s="21">
        <v>0</v>
      </c>
    </row>
    <row r="200" spans="1:15" s="1" customFormat="1" x14ac:dyDescent="0.2">
      <c r="A200" s="177"/>
      <c r="B200" s="101"/>
      <c r="C200" s="97"/>
      <c r="D200" s="97"/>
      <c r="E200" s="97"/>
      <c r="F200" s="97"/>
      <c r="G200" s="97"/>
      <c r="H200" s="97"/>
      <c r="I200" s="97"/>
      <c r="J200" s="97"/>
      <c r="K200" s="16" t="s">
        <v>8</v>
      </c>
      <c r="L200" s="21">
        <v>0</v>
      </c>
      <c r="M200" s="21">
        <v>0</v>
      </c>
      <c r="N200" s="21">
        <v>0</v>
      </c>
      <c r="O200" s="21">
        <v>0</v>
      </c>
    </row>
    <row r="201" spans="1:15" s="1" customFormat="1" x14ac:dyDescent="0.2">
      <c r="A201" s="177"/>
      <c r="B201" s="101"/>
      <c r="C201" s="97"/>
      <c r="D201" s="97"/>
      <c r="E201" s="97"/>
      <c r="F201" s="97"/>
      <c r="G201" s="97"/>
      <c r="H201" s="97"/>
      <c r="I201" s="97"/>
      <c r="J201" s="97"/>
      <c r="K201" s="16" t="s">
        <v>9</v>
      </c>
      <c r="L201" s="21">
        <v>0</v>
      </c>
      <c r="M201" s="21">
        <v>0</v>
      </c>
      <c r="N201" s="21">
        <v>0</v>
      </c>
      <c r="O201" s="21">
        <v>0</v>
      </c>
    </row>
    <row r="202" spans="1:15" s="1" customFormat="1" x14ac:dyDescent="0.2">
      <c r="A202" s="177"/>
      <c r="B202" s="101"/>
      <c r="C202" s="97"/>
      <c r="D202" s="97"/>
      <c r="E202" s="97"/>
      <c r="F202" s="97"/>
      <c r="G202" s="97"/>
      <c r="H202" s="97"/>
      <c r="I202" s="97"/>
      <c r="J202" s="97"/>
      <c r="K202" s="16" t="s">
        <v>10</v>
      </c>
      <c r="L202" s="21">
        <v>0</v>
      </c>
      <c r="M202" s="21">
        <v>0</v>
      </c>
      <c r="N202" s="21">
        <v>0</v>
      </c>
      <c r="O202" s="21">
        <v>0</v>
      </c>
    </row>
    <row r="203" spans="1:15" s="1" customFormat="1" x14ac:dyDescent="0.2">
      <c r="A203" s="177"/>
      <c r="B203" s="101"/>
      <c r="C203" s="97"/>
      <c r="D203" s="97"/>
      <c r="E203" s="97"/>
      <c r="F203" s="97"/>
      <c r="G203" s="97"/>
      <c r="H203" s="97"/>
      <c r="I203" s="97"/>
      <c r="J203" s="97"/>
      <c r="K203" s="16" t="s">
        <v>11</v>
      </c>
      <c r="L203" s="21">
        <v>0</v>
      </c>
      <c r="M203" s="21">
        <v>0</v>
      </c>
      <c r="N203" s="21">
        <v>0</v>
      </c>
      <c r="O203" s="21">
        <v>0</v>
      </c>
    </row>
    <row r="204" spans="1:15" s="1" customFormat="1" x14ac:dyDescent="0.2">
      <c r="A204" s="177"/>
      <c r="B204" s="101"/>
      <c r="C204" s="97"/>
      <c r="D204" s="97"/>
      <c r="E204" s="97"/>
      <c r="F204" s="97"/>
      <c r="G204" s="97"/>
      <c r="H204" s="97"/>
      <c r="I204" s="97"/>
      <c r="J204" s="97"/>
      <c r="K204" s="16" t="s">
        <v>12</v>
      </c>
      <c r="L204" s="21">
        <v>0</v>
      </c>
      <c r="M204" s="21">
        <v>0</v>
      </c>
      <c r="N204" s="21">
        <v>0</v>
      </c>
      <c r="O204" s="21">
        <v>0</v>
      </c>
    </row>
    <row r="205" spans="1:15" s="1" customFormat="1" x14ac:dyDescent="0.2">
      <c r="A205" s="177"/>
      <c r="B205" s="101"/>
      <c r="C205" s="97"/>
      <c r="D205" s="97"/>
      <c r="E205" s="97"/>
      <c r="F205" s="97"/>
      <c r="G205" s="97"/>
      <c r="H205" s="97"/>
      <c r="I205" s="97"/>
      <c r="J205" s="97"/>
      <c r="K205" s="16" t="s">
        <v>13</v>
      </c>
      <c r="L205" s="21">
        <v>0</v>
      </c>
      <c r="M205" s="21">
        <v>0</v>
      </c>
      <c r="N205" s="21">
        <v>0</v>
      </c>
      <c r="O205" s="21">
        <v>0</v>
      </c>
    </row>
    <row r="206" spans="1:15" s="1" customFormat="1" x14ac:dyDescent="0.2">
      <c r="A206" s="177"/>
      <c r="B206" s="101"/>
      <c r="C206" s="97"/>
      <c r="D206" s="97"/>
      <c r="E206" s="97"/>
      <c r="F206" s="97"/>
      <c r="G206" s="97"/>
      <c r="H206" s="97"/>
      <c r="I206" s="97"/>
      <c r="J206" s="97"/>
      <c r="K206" s="16" t="s">
        <v>14</v>
      </c>
      <c r="L206" s="21">
        <v>0</v>
      </c>
      <c r="M206" s="21">
        <v>0</v>
      </c>
      <c r="N206" s="21">
        <v>0</v>
      </c>
      <c r="O206" s="21">
        <v>0</v>
      </c>
    </row>
    <row r="207" spans="1:15" s="1" customFormat="1" x14ac:dyDescent="0.2">
      <c r="A207" s="177"/>
      <c r="B207" s="101"/>
      <c r="C207" s="97"/>
      <c r="D207" s="97"/>
      <c r="E207" s="97"/>
      <c r="F207" s="97"/>
      <c r="G207" s="97"/>
      <c r="H207" s="97"/>
      <c r="I207" s="97"/>
      <c r="J207" s="97"/>
      <c r="K207" s="16" t="s">
        <v>15</v>
      </c>
      <c r="L207" s="21">
        <v>0</v>
      </c>
      <c r="M207" s="21">
        <v>0</v>
      </c>
      <c r="N207" s="21">
        <v>0</v>
      </c>
      <c r="O207" s="21">
        <v>0</v>
      </c>
    </row>
    <row r="208" spans="1:15" s="1" customFormat="1" x14ac:dyDescent="0.2">
      <c r="A208" s="177"/>
      <c r="B208" s="101"/>
      <c r="C208" s="97"/>
      <c r="D208" s="97"/>
      <c r="E208" s="97"/>
      <c r="F208" s="97"/>
      <c r="G208" s="97"/>
      <c r="H208" s="97"/>
      <c r="I208" s="97"/>
      <c r="J208" s="97"/>
      <c r="K208" s="16" t="s">
        <v>16</v>
      </c>
      <c r="L208" s="21">
        <v>0</v>
      </c>
      <c r="M208" s="21">
        <v>0</v>
      </c>
      <c r="N208" s="21">
        <v>0</v>
      </c>
      <c r="O208" s="21">
        <v>0</v>
      </c>
    </row>
    <row r="209" spans="1:15" s="1" customFormat="1" x14ac:dyDescent="0.2">
      <c r="A209" s="177"/>
      <c r="B209" s="101"/>
      <c r="C209" s="97"/>
      <c r="D209" s="97"/>
      <c r="E209" s="97"/>
      <c r="F209" s="97"/>
      <c r="G209" s="97"/>
      <c r="H209" s="97"/>
      <c r="I209" s="97"/>
      <c r="J209" s="97"/>
      <c r="K209" s="16" t="s">
        <v>17</v>
      </c>
      <c r="L209" s="21">
        <v>0</v>
      </c>
      <c r="M209" s="21">
        <v>0</v>
      </c>
      <c r="N209" s="21">
        <v>0</v>
      </c>
      <c r="O209" s="21">
        <v>0</v>
      </c>
    </row>
    <row r="210" spans="1:15" s="1" customFormat="1" x14ac:dyDescent="0.2">
      <c r="A210" s="177"/>
      <c r="B210" s="101"/>
      <c r="C210" s="97"/>
      <c r="D210" s="97"/>
      <c r="E210" s="97"/>
      <c r="F210" s="97"/>
      <c r="G210" s="97"/>
      <c r="H210" s="97"/>
      <c r="I210" s="97"/>
      <c r="J210" s="97"/>
      <c r="K210" s="16" t="s">
        <v>18</v>
      </c>
      <c r="L210" s="21">
        <v>0</v>
      </c>
      <c r="M210" s="21">
        <v>0</v>
      </c>
      <c r="N210" s="21">
        <v>0</v>
      </c>
      <c r="O210" s="21">
        <v>0</v>
      </c>
    </row>
    <row r="211" spans="1:15" s="1" customFormat="1" x14ac:dyDescent="0.2">
      <c r="A211" s="177"/>
      <c r="B211" s="101"/>
      <c r="C211" s="97"/>
      <c r="D211" s="97"/>
      <c r="E211" s="97"/>
      <c r="F211" s="97"/>
      <c r="G211" s="97"/>
      <c r="H211" s="97"/>
      <c r="I211" s="97"/>
      <c r="J211" s="97"/>
      <c r="K211" s="16" t="s">
        <v>0</v>
      </c>
      <c r="L211" s="17">
        <f>SUM(L199:L210)</f>
        <v>0</v>
      </c>
      <c r="M211" s="17">
        <f t="shared" ref="M211" si="43">SUM(M199:M210)</f>
        <v>0</v>
      </c>
      <c r="N211" s="17">
        <f t="shared" ref="N211" si="44">SUM(N199:N210)</f>
        <v>0</v>
      </c>
      <c r="O211" s="17">
        <f t="shared" ref="O211" si="45">SUM(O199:O210)</f>
        <v>0</v>
      </c>
    </row>
    <row r="212" spans="1:15" s="1" customFormat="1" x14ac:dyDescent="0.2">
      <c r="A212" s="177"/>
      <c r="B212" s="101" t="s">
        <v>69</v>
      </c>
      <c r="C212" s="97" t="s">
        <v>164</v>
      </c>
      <c r="D212" s="97" t="s">
        <v>70</v>
      </c>
      <c r="E212" s="97"/>
      <c r="F212" s="97" t="s">
        <v>83</v>
      </c>
      <c r="G212" s="97" t="s">
        <v>93</v>
      </c>
      <c r="H212" s="97"/>
      <c r="I212" s="97"/>
      <c r="J212" s="97"/>
      <c r="K212" s="16" t="s">
        <v>7</v>
      </c>
      <c r="L212" s="21">
        <v>0</v>
      </c>
      <c r="M212" s="21">
        <v>0</v>
      </c>
      <c r="N212" s="21">
        <v>0</v>
      </c>
      <c r="O212" s="21">
        <v>0</v>
      </c>
    </row>
    <row r="213" spans="1:15" s="1" customFormat="1" x14ac:dyDescent="0.2">
      <c r="A213" s="177"/>
      <c r="B213" s="101"/>
      <c r="C213" s="97"/>
      <c r="D213" s="97"/>
      <c r="E213" s="97"/>
      <c r="F213" s="97"/>
      <c r="G213" s="97"/>
      <c r="H213" s="97"/>
      <c r="I213" s="97"/>
      <c r="J213" s="97"/>
      <c r="K213" s="16" t="s">
        <v>8</v>
      </c>
      <c r="L213" s="21">
        <v>0</v>
      </c>
      <c r="M213" s="21">
        <v>0</v>
      </c>
      <c r="N213" s="21">
        <v>0</v>
      </c>
      <c r="O213" s="21">
        <v>0</v>
      </c>
    </row>
    <row r="214" spans="1:15" s="1" customFormat="1" x14ac:dyDescent="0.2">
      <c r="A214" s="177"/>
      <c r="B214" s="101"/>
      <c r="C214" s="97"/>
      <c r="D214" s="97"/>
      <c r="E214" s="97"/>
      <c r="F214" s="97"/>
      <c r="G214" s="97"/>
      <c r="H214" s="97"/>
      <c r="I214" s="97"/>
      <c r="J214" s="97"/>
      <c r="K214" s="16" t="s">
        <v>9</v>
      </c>
      <c r="L214" s="21">
        <v>0</v>
      </c>
      <c r="M214" s="21">
        <v>0</v>
      </c>
      <c r="N214" s="21">
        <v>0</v>
      </c>
      <c r="O214" s="21">
        <v>0</v>
      </c>
    </row>
    <row r="215" spans="1:15" s="1" customFormat="1" x14ac:dyDescent="0.2">
      <c r="A215" s="177"/>
      <c r="B215" s="101"/>
      <c r="C215" s="97"/>
      <c r="D215" s="97"/>
      <c r="E215" s="97"/>
      <c r="F215" s="97"/>
      <c r="G215" s="97"/>
      <c r="H215" s="97"/>
      <c r="I215" s="97"/>
      <c r="J215" s="97"/>
      <c r="K215" s="16" t="s">
        <v>10</v>
      </c>
      <c r="L215" s="21">
        <v>0</v>
      </c>
      <c r="M215" s="21">
        <v>0</v>
      </c>
      <c r="N215" s="21">
        <v>0</v>
      </c>
      <c r="O215" s="21">
        <v>0</v>
      </c>
    </row>
    <row r="216" spans="1:15" s="1" customFormat="1" x14ac:dyDescent="0.2">
      <c r="A216" s="177"/>
      <c r="B216" s="101"/>
      <c r="C216" s="97"/>
      <c r="D216" s="97"/>
      <c r="E216" s="97"/>
      <c r="F216" s="97"/>
      <c r="G216" s="97"/>
      <c r="H216" s="97"/>
      <c r="I216" s="97"/>
      <c r="J216" s="97"/>
      <c r="K216" s="16" t="s">
        <v>11</v>
      </c>
      <c r="L216" s="21">
        <v>0</v>
      </c>
      <c r="M216" s="21">
        <v>0</v>
      </c>
      <c r="N216" s="21">
        <v>0</v>
      </c>
      <c r="O216" s="21">
        <v>0</v>
      </c>
    </row>
    <row r="217" spans="1:15" s="1" customFormat="1" x14ac:dyDescent="0.2">
      <c r="A217" s="177"/>
      <c r="B217" s="101"/>
      <c r="C217" s="97"/>
      <c r="D217" s="97"/>
      <c r="E217" s="97"/>
      <c r="F217" s="97"/>
      <c r="G217" s="97"/>
      <c r="H217" s="97"/>
      <c r="I217" s="97"/>
      <c r="J217" s="97"/>
      <c r="K217" s="16" t="s">
        <v>12</v>
      </c>
      <c r="L217" s="21">
        <v>0</v>
      </c>
      <c r="M217" s="21">
        <v>0</v>
      </c>
      <c r="N217" s="21">
        <v>0</v>
      </c>
      <c r="O217" s="21">
        <v>0</v>
      </c>
    </row>
    <row r="218" spans="1:15" s="1" customFormat="1" x14ac:dyDescent="0.2">
      <c r="A218" s="177"/>
      <c r="B218" s="101"/>
      <c r="C218" s="97"/>
      <c r="D218" s="97"/>
      <c r="E218" s="97"/>
      <c r="F218" s="97"/>
      <c r="G218" s="97"/>
      <c r="H218" s="97"/>
      <c r="I218" s="97"/>
      <c r="J218" s="97"/>
      <c r="K218" s="16" t="s">
        <v>13</v>
      </c>
      <c r="L218" s="21">
        <v>0</v>
      </c>
      <c r="M218" s="21">
        <v>0</v>
      </c>
      <c r="N218" s="21">
        <v>0</v>
      </c>
      <c r="O218" s="21">
        <v>0</v>
      </c>
    </row>
    <row r="219" spans="1:15" s="1" customFormat="1" x14ac:dyDescent="0.2">
      <c r="A219" s="177"/>
      <c r="B219" s="101"/>
      <c r="C219" s="97"/>
      <c r="D219" s="97"/>
      <c r="E219" s="97"/>
      <c r="F219" s="97"/>
      <c r="G219" s="97"/>
      <c r="H219" s="97"/>
      <c r="I219" s="97"/>
      <c r="J219" s="97"/>
      <c r="K219" s="16" t="s">
        <v>14</v>
      </c>
      <c r="L219" s="21">
        <v>0</v>
      </c>
      <c r="M219" s="21">
        <v>0</v>
      </c>
      <c r="N219" s="21">
        <v>0</v>
      </c>
      <c r="O219" s="21">
        <v>0</v>
      </c>
    </row>
    <row r="220" spans="1:15" s="1" customFormat="1" x14ac:dyDescent="0.2">
      <c r="A220" s="177"/>
      <c r="B220" s="101"/>
      <c r="C220" s="97"/>
      <c r="D220" s="97"/>
      <c r="E220" s="97"/>
      <c r="F220" s="97"/>
      <c r="G220" s="97"/>
      <c r="H220" s="97"/>
      <c r="I220" s="97"/>
      <c r="J220" s="97"/>
      <c r="K220" s="16" t="s">
        <v>15</v>
      </c>
      <c r="L220" s="21">
        <v>0</v>
      </c>
      <c r="M220" s="21">
        <v>0</v>
      </c>
      <c r="N220" s="21">
        <v>0</v>
      </c>
      <c r="O220" s="21">
        <v>0</v>
      </c>
    </row>
    <row r="221" spans="1:15" s="1" customFormat="1" x14ac:dyDescent="0.2">
      <c r="A221" s="177"/>
      <c r="B221" s="101"/>
      <c r="C221" s="97"/>
      <c r="D221" s="97"/>
      <c r="E221" s="97"/>
      <c r="F221" s="97"/>
      <c r="G221" s="97"/>
      <c r="H221" s="97"/>
      <c r="I221" s="97"/>
      <c r="J221" s="97"/>
      <c r="K221" s="16" t="s">
        <v>16</v>
      </c>
      <c r="L221" s="21">
        <v>0</v>
      </c>
      <c r="M221" s="21">
        <v>0</v>
      </c>
      <c r="N221" s="21">
        <v>0</v>
      </c>
      <c r="O221" s="21">
        <v>0</v>
      </c>
    </row>
    <row r="222" spans="1:15" s="1" customFormat="1" x14ac:dyDescent="0.2">
      <c r="A222" s="177"/>
      <c r="B222" s="101"/>
      <c r="C222" s="97"/>
      <c r="D222" s="97"/>
      <c r="E222" s="97"/>
      <c r="F222" s="97"/>
      <c r="G222" s="97"/>
      <c r="H222" s="97"/>
      <c r="I222" s="97"/>
      <c r="J222" s="97"/>
      <c r="K222" s="16" t="s">
        <v>17</v>
      </c>
      <c r="L222" s="21">
        <v>0</v>
      </c>
      <c r="M222" s="21">
        <v>0</v>
      </c>
      <c r="N222" s="21">
        <v>0</v>
      </c>
      <c r="O222" s="21">
        <v>0</v>
      </c>
    </row>
    <row r="223" spans="1:15" s="1" customFormat="1" x14ac:dyDescent="0.2">
      <c r="A223" s="177"/>
      <c r="B223" s="101"/>
      <c r="C223" s="97"/>
      <c r="D223" s="97"/>
      <c r="E223" s="97"/>
      <c r="F223" s="97"/>
      <c r="G223" s="97"/>
      <c r="H223" s="97"/>
      <c r="I223" s="97"/>
      <c r="J223" s="97"/>
      <c r="K223" s="16" t="s">
        <v>18</v>
      </c>
      <c r="L223" s="21">
        <v>0</v>
      </c>
      <c r="M223" s="21">
        <v>0</v>
      </c>
      <c r="N223" s="21">
        <v>0</v>
      </c>
      <c r="O223" s="21">
        <v>0</v>
      </c>
    </row>
    <row r="224" spans="1:15" s="1" customFormat="1" x14ac:dyDescent="0.2">
      <c r="A224" s="177"/>
      <c r="B224" s="101"/>
      <c r="C224" s="97"/>
      <c r="D224" s="97"/>
      <c r="E224" s="97"/>
      <c r="F224" s="97"/>
      <c r="G224" s="97"/>
      <c r="H224" s="97"/>
      <c r="I224" s="97"/>
      <c r="J224" s="97"/>
      <c r="K224" s="16" t="s">
        <v>0</v>
      </c>
      <c r="L224" s="17">
        <f>SUM(L212:L223)</f>
        <v>0</v>
      </c>
      <c r="M224" s="17">
        <f t="shared" ref="M224" si="46">SUM(M212:M223)</f>
        <v>0</v>
      </c>
      <c r="N224" s="17">
        <f t="shared" ref="N224" si="47">SUM(N212:N223)</f>
        <v>0</v>
      </c>
      <c r="O224" s="17">
        <f t="shared" ref="O224" si="48">SUM(O212:O223)</f>
        <v>0</v>
      </c>
    </row>
    <row r="225" spans="1:15" s="1" customFormat="1" x14ac:dyDescent="0.2">
      <c r="A225" s="177"/>
      <c r="B225" s="101" t="s">
        <v>69</v>
      </c>
      <c r="C225" s="97" t="s">
        <v>205</v>
      </c>
      <c r="D225" s="97" t="s">
        <v>73</v>
      </c>
      <c r="E225" s="97"/>
      <c r="F225" s="97" t="s">
        <v>82</v>
      </c>
      <c r="G225" s="97" t="s">
        <v>93</v>
      </c>
      <c r="H225" s="97"/>
      <c r="I225" s="97"/>
      <c r="J225" s="97"/>
      <c r="K225" s="16" t="s">
        <v>7</v>
      </c>
      <c r="L225" s="22">
        <v>0</v>
      </c>
      <c r="M225" s="22">
        <v>0</v>
      </c>
      <c r="N225" s="22">
        <v>0</v>
      </c>
      <c r="O225" s="22">
        <v>0</v>
      </c>
    </row>
    <row r="226" spans="1:15" s="1" customFormat="1" x14ac:dyDescent="0.2">
      <c r="A226" s="177"/>
      <c r="B226" s="101"/>
      <c r="C226" s="97"/>
      <c r="D226" s="97"/>
      <c r="E226" s="97"/>
      <c r="F226" s="97"/>
      <c r="G226" s="97"/>
      <c r="H226" s="97"/>
      <c r="I226" s="97"/>
      <c r="J226" s="97"/>
      <c r="K226" s="16" t="s">
        <v>8</v>
      </c>
      <c r="L226" s="22">
        <v>0</v>
      </c>
      <c r="M226" s="22">
        <v>0</v>
      </c>
      <c r="N226" s="22">
        <v>0</v>
      </c>
      <c r="O226" s="22">
        <v>0</v>
      </c>
    </row>
    <row r="227" spans="1:15" s="1" customFormat="1" x14ac:dyDescent="0.2">
      <c r="A227" s="177"/>
      <c r="B227" s="101"/>
      <c r="C227" s="97"/>
      <c r="D227" s="97"/>
      <c r="E227" s="97"/>
      <c r="F227" s="97"/>
      <c r="G227" s="97"/>
      <c r="H227" s="97"/>
      <c r="I227" s="97"/>
      <c r="J227" s="97"/>
      <c r="K227" s="16" t="s">
        <v>9</v>
      </c>
      <c r="L227" s="22">
        <v>0</v>
      </c>
      <c r="M227" s="22">
        <v>0</v>
      </c>
      <c r="N227" s="22">
        <v>0</v>
      </c>
      <c r="O227" s="22">
        <v>0</v>
      </c>
    </row>
    <row r="228" spans="1:15" s="1" customFormat="1" x14ac:dyDescent="0.2">
      <c r="A228" s="177"/>
      <c r="B228" s="101"/>
      <c r="C228" s="97"/>
      <c r="D228" s="97"/>
      <c r="E228" s="97"/>
      <c r="F228" s="97"/>
      <c r="G228" s="97"/>
      <c r="H228" s="97"/>
      <c r="I228" s="97"/>
      <c r="J228" s="97"/>
      <c r="K228" s="16" t="s">
        <v>10</v>
      </c>
      <c r="L228" s="22">
        <v>0</v>
      </c>
      <c r="M228" s="22">
        <v>0</v>
      </c>
      <c r="N228" s="22">
        <v>0</v>
      </c>
      <c r="O228" s="22">
        <v>0</v>
      </c>
    </row>
    <row r="229" spans="1:15" s="1" customFormat="1" x14ac:dyDescent="0.2">
      <c r="A229" s="177"/>
      <c r="B229" s="101"/>
      <c r="C229" s="97"/>
      <c r="D229" s="97"/>
      <c r="E229" s="97"/>
      <c r="F229" s="97"/>
      <c r="G229" s="97"/>
      <c r="H229" s="97"/>
      <c r="I229" s="97"/>
      <c r="J229" s="97"/>
      <c r="K229" s="16" t="s">
        <v>11</v>
      </c>
      <c r="L229" s="22">
        <v>0</v>
      </c>
      <c r="M229" s="22">
        <v>0</v>
      </c>
      <c r="N229" s="22">
        <v>0</v>
      </c>
      <c r="O229" s="22">
        <v>0</v>
      </c>
    </row>
    <row r="230" spans="1:15" s="1" customFormat="1" x14ac:dyDescent="0.2">
      <c r="A230" s="177"/>
      <c r="B230" s="101"/>
      <c r="C230" s="97"/>
      <c r="D230" s="97"/>
      <c r="E230" s="97"/>
      <c r="F230" s="97"/>
      <c r="G230" s="97"/>
      <c r="H230" s="97"/>
      <c r="I230" s="97"/>
      <c r="J230" s="97"/>
      <c r="K230" s="16" t="s">
        <v>12</v>
      </c>
      <c r="L230" s="22">
        <v>0</v>
      </c>
      <c r="M230" s="22">
        <v>0</v>
      </c>
      <c r="N230" s="22">
        <v>0</v>
      </c>
      <c r="O230" s="22">
        <v>0</v>
      </c>
    </row>
    <row r="231" spans="1:15" s="1" customFormat="1" x14ac:dyDescent="0.2">
      <c r="A231" s="177"/>
      <c r="B231" s="101"/>
      <c r="C231" s="97"/>
      <c r="D231" s="97"/>
      <c r="E231" s="97"/>
      <c r="F231" s="97"/>
      <c r="G231" s="97"/>
      <c r="H231" s="97"/>
      <c r="I231" s="97"/>
      <c r="J231" s="97"/>
      <c r="K231" s="16" t="s">
        <v>13</v>
      </c>
      <c r="L231" s="22">
        <v>0</v>
      </c>
      <c r="M231" s="22">
        <v>0</v>
      </c>
      <c r="N231" s="22">
        <v>0</v>
      </c>
      <c r="O231" s="22">
        <v>0</v>
      </c>
    </row>
    <row r="232" spans="1:15" s="1" customFormat="1" x14ac:dyDescent="0.2">
      <c r="A232" s="177"/>
      <c r="B232" s="101"/>
      <c r="C232" s="97"/>
      <c r="D232" s="97"/>
      <c r="E232" s="97"/>
      <c r="F232" s="97"/>
      <c r="G232" s="97"/>
      <c r="H232" s="97"/>
      <c r="I232" s="97"/>
      <c r="J232" s="97"/>
      <c r="K232" s="16" t="s">
        <v>14</v>
      </c>
      <c r="L232" s="22">
        <v>0</v>
      </c>
      <c r="M232" s="22">
        <v>30</v>
      </c>
      <c r="N232" s="22">
        <v>0</v>
      </c>
      <c r="O232" s="22">
        <v>0</v>
      </c>
    </row>
    <row r="233" spans="1:15" s="1" customFormat="1" x14ac:dyDescent="0.2">
      <c r="A233" s="177"/>
      <c r="B233" s="101"/>
      <c r="C233" s="97"/>
      <c r="D233" s="97"/>
      <c r="E233" s="97"/>
      <c r="F233" s="97"/>
      <c r="G233" s="97"/>
      <c r="H233" s="97"/>
      <c r="I233" s="97"/>
      <c r="J233" s="97"/>
      <c r="K233" s="16" t="s">
        <v>15</v>
      </c>
      <c r="L233" s="22">
        <v>0</v>
      </c>
      <c r="M233" s="22">
        <v>0</v>
      </c>
      <c r="N233" s="22">
        <v>0</v>
      </c>
      <c r="O233" s="22">
        <v>0</v>
      </c>
    </row>
    <row r="234" spans="1:15" s="1" customFormat="1" x14ac:dyDescent="0.2">
      <c r="A234" s="177"/>
      <c r="B234" s="101"/>
      <c r="C234" s="97"/>
      <c r="D234" s="97"/>
      <c r="E234" s="97"/>
      <c r="F234" s="97"/>
      <c r="G234" s="97"/>
      <c r="H234" s="97"/>
      <c r="I234" s="97"/>
      <c r="J234" s="97"/>
      <c r="K234" s="16" t="s">
        <v>16</v>
      </c>
      <c r="L234" s="22">
        <v>0</v>
      </c>
      <c r="M234" s="22">
        <v>0</v>
      </c>
      <c r="N234" s="22">
        <v>0</v>
      </c>
      <c r="O234" s="22">
        <v>0</v>
      </c>
    </row>
    <row r="235" spans="1:15" s="1" customFormat="1" x14ac:dyDescent="0.2">
      <c r="A235" s="177"/>
      <c r="B235" s="101"/>
      <c r="C235" s="97"/>
      <c r="D235" s="97"/>
      <c r="E235" s="97"/>
      <c r="F235" s="97"/>
      <c r="G235" s="97"/>
      <c r="H235" s="97"/>
      <c r="I235" s="97"/>
      <c r="J235" s="97"/>
      <c r="K235" s="16" t="s">
        <v>17</v>
      </c>
      <c r="L235" s="22">
        <v>0</v>
      </c>
      <c r="M235" s="22">
        <v>0</v>
      </c>
      <c r="N235" s="22">
        <v>0</v>
      </c>
      <c r="O235" s="22">
        <v>0</v>
      </c>
    </row>
    <row r="236" spans="1:15" s="1" customFormat="1" x14ac:dyDescent="0.2">
      <c r="A236" s="177"/>
      <c r="B236" s="101"/>
      <c r="C236" s="97"/>
      <c r="D236" s="97"/>
      <c r="E236" s="97"/>
      <c r="F236" s="97"/>
      <c r="G236" s="97"/>
      <c r="H236" s="97"/>
      <c r="I236" s="97"/>
      <c r="J236" s="97"/>
      <c r="K236" s="16" t="s">
        <v>18</v>
      </c>
      <c r="L236" s="22">
        <v>0</v>
      </c>
      <c r="M236" s="22">
        <v>0</v>
      </c>
      <c r="N236" s="22">
        <v>0</v>
      </c>
      <c r="O236" s="22">
        <v>0</v>
      </c>
    </row>
    <row r="237" spans="1:15" s="1" customFormat="1" x14ac:dyDescent="0.2">
      <c r="A237" s="177"/>
      <c r="B237" s="101"/>
      <c r="C237" s="97"/>
      <c r="D237" s="97"/>
      <c r="E237" s="97"/>
      <c r="F237" s="97"/>
      <c r="G237" s="97"/>
      <c r="H237" s="97"/>
      <c r="I237" s="97"/>
      <c r="J237" s="97"/>
      <c r="K237" s="16" t="s">
        <v>0</v>
      </c>
      <c r="L237" s="18">
        <f>SUM(L225:L236)</f>
        <v>0</v>
      </c>
      <c r="M237" s="18">
        <f t="shared" ref="M237" si="49">SUM(M225:M236)</f>
        <v>30</v>
      </c>
      <c r="N237" s="18">
        <f t="shared" ref="N237" si="50">SUM(N225:N236)</f>
        <v>0</v>
      </c>
      <c r="O237" s="18">
        <f t="shared" ref="O237" si="51">SUM(O225:O236)</f>
        <v>0</v>
      </c>
    </row>
    <row r="238" spans="1:15" s="1" customFormat="1" x14ac:dyDescent="0.2">
      <c r="A238" s="177"/>
      <c r="B238" s="101" t="s">
        <v>69</v>
      </c>
      <c r="C238" s="97" t="s">
        <v>206</v>
      </c>
      <c r="D238" s="97" t="s">
        <v>74</v>
      </c>
      <c r="E238" s="97"/>
      <c r="F238" s="97" t="s">
        <v>82</v>
      </c>
      <c r="G238" s="97" t="s">
        <v>93</v>
      </c>
      <c r="H238" s="97"/>
      <c r="I238" s="97"/>
      <c r="J238" s="97"/>
      <c r="K238" s="16" t="s">
        <v>7</v>
      </c>
      <c r="L238" s="22">
        <v>0</v>
      </c>
      <c r="M238" s="22">
        <v>0</v>
      </c>
      <c r="N238" s="22">
        <v>0</v>
      </c>
      <c r="O238" s="22">
        <v>0</v>
      </c>
    </row>
    <row r="239" spans="1:15" s="1" customFormat="1" x14ac:dyDescent="0.2">
      <c r="A239" s="177"/>
      <c r="B239" s="101"/>
      <c r="C239" s="97"/>
      <c r="D239" s="97"/>
      <c r="E239" s="97"/>
      <c r="F239" s="97"/>
      <c r="G239" s="97"/>
      <c r="H239" s="97"/>
      <c r="I239" s="97"/>
      <c r="J239" s="97"/>
      <c r="K239" s="16" t="s">
        <v>8</v>
      </c>
      <c r="L239" s="22">
        <v>0</v>
      </c>
      <c r="M239" s="22">
        <v>0</v>
      </c>
      <c r="N239" s="22">
        <v>0</v>
      </c>
      <c r="O239" s="22">
        <v>0</v>
      </c>
    </row>
    <row r="240" spans="1:15" s="1" customFormat="1" x14ac:dyDescent="0.2">
      <c r="A240" s="177"/>
      <c r="B240" s="101"/>
      <c r="C240" s="97"/>
      <c r="D240" s="97"/>
      <c r="E240" s="97"/>
      <c r="F240" s="97"/>
      <c r="G240" s="97"/>
      <c r="H240" s="97"/>
      <c r="I240" s="97"/>
      <c r="J240" s="97"/>
      <c r="K240" s="16" t="s">
        <v>9</v>
      </c>
      <c r="L240" s="22">
        <v>0</v>
      </c>
      <c r="M240" s="22">
        <v>0</v>
      </c>
      <c r="N240" s="22">
        <v>0</v>
      </c>
      <c r="O240" s="22">
        <v>0</v>
      </c>
    </row>
    <row r="241" spans="1:15" s="1" customFormat="1" x14ac:dyDescent="0.2">
      <c r="A241" s="177"/>
      <c r="B241" s="101"/>
      <c r="C241" s="97"/>
      <c r="D241" s="97"/>
      <c r="E241" s="97"/>
      <c r="F241" s="97"/>
      <c r="G241" s="97"/>
      <c r="H241" s="97"/>
      <c r="I241" s="97"/>
      <c r="J241" s="97"/>
      <c r="K241" s="16" t="s">
        <v>10</v>
      </c>
      <c r="L241" s="22">
        <v>0</v>
      </c>
      <c r="M241" s="22">
        <v>0</v>
      </c>
      <c r="N241" s="22">
        <v>0</v>
      </c>
      <c r="O241" s="22">
        <v>0</v>
      </c>
    </row>
    <row r="242" spans="1:15" s="1" customFormat="1" x14ac:dyDescent="0.2">
      <c r="A242" s="177"/>
      <c r="B242" s="101"/>
      <c r="C242" s="97"/>
      <c r="D242" s="97"/>
      <c r="E242" s="97"/>
      <c r="F242" s="97"/>
      <c r="G242" s="97"/>
      <c r="H242" s="97"/>
      <c r="I242" s="97"/>
      <c r="J242" s="97"/>
      <c r="K242" s="16" t="s">
        <v>11</v>
      </c>
      <c r="L242" s="22">
        <v>0</v>
      </c>
      <c r="M242" s="22">
        <v>0</v>
      </c>
      <c r="N242" s="22">
        <v>0</v>
      </c>
      <c r="O242" s="22">
        <v>0</v>
      </c>
    </row>
    <row r="243" spans="1:15" s="1" customFormat="1" x14ac:dyDescent="0.2">
      <c r="A243" s="177"/>
      <c r="B243" s="101"/>
      <c r="C243" s="97"/>
      <c r="D243" s="97"/>
      <c r="E243" s="97"/>
      <c r="F243" s="97"/>
      <c r="G243" s="97"/>
      <c r="H243" s="97"/>
      <c r="I243" s="97"/>
      <c r="J243" s="97"/>
      <c r="K243" s="16" t="s">
        <v>12</v>
      </c>
      <c r="L243" s="22">
        <v>0</v>
      </c>
      <c r="M243" s="22">
        <v>0</v>
      </c>
      <c r="N243" s="22">
        <v>0</v>
      </c>
      <c r="O243" s="22">
        <v>0</v>
      </c>
    </row>
    <row r="244" spans="1:15" s="1" customFormat="1" x14ac:dyDescent="0.2">
      <c r="A244" s="177"/>
      <c r="B244" s="101"/>
      <c r="C244" s="97"/>
      <c r="D244" s="97"/>
      <c r="E244" s="97"/>
      <c r="F244" s="97"/>
      <c r="G244" s="97"/>
      <c r="H244" s="97"/>
      <c r="I244" s="97"/>
      <c r="J244" s="97"/>
      <c r="K244" s="16" t="s">
        <v>13</v>
      </c>
      <c r="L244" s="22">
        <v>0</v>
      </c>
      <c r="M244" s="22">
        <v>0</v>
      </c>
      <c r="N244" s="22">
        <v>0</v>
      </c>
      <c r="O244" s="22">
        <v>0</v>
      </c>
    </row>
    <row r="245" spans="1:15" s="1" customFormat="1" x14ac:dyDescent="0.2">
      <c r="A245" s="177"/>
      <c r="B245" s="101"/>
      <c r="C245" s="97"/>
      <c r="D245" s="97"/>
      <c r="E245" s="97"/>
      <c r="F245" s="97"/>
      <c r="G245" s="97"/>
      <c r="H245" s="97"/>
      <c r="I245" s="97"/>
      <c r="J245" s="97"/>
      <c r="K245" s="16" t="s">
        <v>14</v>
      </c>
      <c r="L245" s="22">
        <v>0</v>
      </c>
      <c r="M245" s="22">
        <v>0</v>
      </c>
      <c r="N245" s="22">
        <v>0</v>
      </c>
      <c r="O245" s="22">
        <v>0</v>
      </c>
    </row>
    <row r="246" spans="1:15" s="1" customFormat="1" x14ac:dyDescent="0.2">
      <c r="A246" s="177"/>
      <c r="B246" s="101"/>
      <c r="C246" s="97"/>
      <c r="D246" s="97"/>
      <c r="E246" s="97"/>
      <c r="F246" s="97"/>
      <c r="G246" s="97"/>
      <c r="H246" s="97"/>
      <c r="I246" s="97"/>
      <c r="J246" s="97"/>
      <c r="K246" s="16" t="s">
        <v>15</v>
      </c>
      <c r="L246" s="22">
        <v>0</v>
      </c>
      <c r="M246" s="22">
        <v>0</v>
      </c>
      <c r="N246" s="22">
        <v>0</v>
      </c>
      <c r="O246" s="22">
        <v>0</v>
      </c>
    </row>
    <row r="247" spans="1:15" s="1" customFormat="1" x14ac:dyDescent="0.2">
      <c r="A247" s="177"/>
      <c r="B247" s="101"/>
      <c r="C247" s="97"/>
      <c r="D247" s="97"/>
      <c r="E247" s="97"/>
      <c r="F247" s="97"/>
      <c r="G247" s="97"/>
      <c r="H247" s="97"/>
      <c r="I247" s="97"/>
      <c r="J247" s="97"/>
      <c r="K247" s="16" t="s">
        <v>16</v>
      </c>
      <c r="L247" s="22">
        <v>0</v>
      </c>
      <c r="M247" s="22">
        <v>14</v>
      </c>
      <c r="N247" s="22">
        <v>0</v>
      </c>
      <c r="O247" s="22">
        <v>0</v>
      </c>
    </row>
    <row r="248" spans="1:15" s="1" customFormat="1" x14ac:dyDescent="0.2">
      <c r="A248" s="177"/>
      <c r="B248" s="101"/>
      <c r="C248" s="97"/>
      <c r="D248" s="97"/>
      <c r="E248" s="97"/>
      <c r="F248" s="97"/>
      <c r="G248" s="97"/>
      <c r="H248" s="97"/>
      <c r="I248" s="97"/>
      <c r="J248" s="97"/>
      <c r="K248" s="16" t="s">
        <v>17</v>
      </c>
      <c r="L248" s="22">
        <v>0</v>
      </c>
      <c r="M248" s="22">
        <v>0</v>
      </c>
      <c r="N248" s="22">
        <v>0</v>
      </c>
      <c r="O248" s="22">
        <v>0</v>
      </c>
    </row>
    <row r="249" spans="1:15" s="1" customFormat="1" x14ac:dyDescent="0.2">
      <c r="A249" s="177"/>
      <c r="B249" s="101"/>
      <c r="C249" s="97"/>
      <c r="D249" s="97"/>
      <c r="E249" s="97"/>
      <c r="F249" s="97"/>
      <c r="G249" s="97"/>
      <c r="H249" s="97"/>
      <c r="I249" s="97"/>
      <c r="J249" s="97"/>
      <c r="K249" s="16" t="s">
        <v>18</v>
      </c>
      <c r="L249" s="22">
        <v>0</v>
      </c>
      <c r="M249" s="22">
        <v>0</v>
      </c>
      <c r="N249" s="22">
        <v>0</v>
      </c>
      <c r="O249" s="22">
        <v>0</v>
      </c>
    </row>
    <row r="250" spans="1:15" s="1" customFormat="1" x14ac:dyDescent="0.2">
      <c r="A250" s="177"/>
      <c r="B250" s="101"/>
      <c r="C250" s="97"/>
      <c r="D250" s="97"/>
      <c r="E250" s="97"/>
      <c r="F250" s="97"/>
      <c r="G250" s="97"/>
      <c r="H250" s="97"/>
      <c r="I250" s="97"/>
      <c r="J250" s="97"/>
      <c r="K250" s="16" t="s">
        <v>0</v>
      </c>
      <c r="L250" s="18">
        <f>SUM(L238:L249)</f>
        <v>0</v>
      </c>
      <c r="M250" s="18">
        <f t="shared" ref="M250" si="52">SUM(M238:M249)</f>
        <v>14</v>
      </c>
      <c r="N250" s="18">
        <f t="shared" ref="N250" si="53">SUM(N238:N249)</f>
        <v>0</v>
      </c>
      <c r="O250" s="18">
        <f t="shared" ref="O250" si="54">SUM(O238:O249)</f>
        <v>0</v>
      </c>
    </row>
    <row r="251" spans="1:15" s="1" customFormat="1" x14ac:dyDescent="0.2">
      <c r="A251" s="177"/>
      <c r="B251" s="101" t="s">
        <v>69</v>
      </c>
      <c r="C251" s="97" t="s">
        <v>207</v>
      </c>
      <c r="D251" s="97" t="s">
        <v>75</v>
      </c>
      <c r="E251" s="97"/>
      <c r="F251" s="97" t="s">
        <v>82</v>
      </c>
      <c r="G251" s="97" t="s">
        <v>93</v>
      </c>
      <c r="H251" s="97"/>
      <c r="I251" s="97"/>
      <c r="J251" s="97"/>
      <c r="K251" s="16" t="s">
        <v>7</v>
      </c>
      <c r="L251" s="22">
        <v>0</v>
      </c>
      <c r="M251" s="22">
        <v>0</v>
      </c>
      <c r="N251" s="22">
        <v>0</v>
      </c>
      <c r="O251" s="22">
        <v>0</v>
      </c>
    </row>
    <row r="252" spans="1:15" s="1" customFormat="1" x14ac:dyDescent="0.2">
      <c r="A252" s="177"/>
      <c r="B252" s="101"/>
      <c r="C252" s="97"/>
      <c r="D252" s="97"/>
      <c r="E252" s="97"/>
      <c r="F252" s="97"/>
      <c r="G252" s="97"/>
      <c r="H252" s="97"/>
      <c r="I252" s="97"/>
      <c r="J252" s="97"/>
      <c r="K252" s="16" t="s">
        <v>8</v>
      </c>
      <c r="L252" s="22">
        <v>0</v>
      </c>
      <c r="M252" s="22">
        <v>0</v>
      </c>
      <c r="N252" s="22">
        <v>1</v>
      </c>
      <c r="O252" s="22">
        <v>0</v>
      </c>
    </row>
    <row r="253" spans="1:15" s="1" customFormat="1" x14ac:dyDescent="0.2">
      <c r="A253" s="177"/>
      <c r="B253" s="101"/>
      <c r="C253" s="97"/>
      <c r="D253" s="97"/>
      <c r="E253" s="97"/>
      <c r="F253" s="97"/>
      <c r="G253" s="97"/>
      <c r="H253" s="97"/>
      <c r="I253" s="97"/>
      <c r="J253" s="97"/>
      <c r="K253" s="16" t="s">
        <v>9</v>
      </c>
      <c r="L253" s="22">
        <v>0</v>
      </c>
      <c r="M253" s="22">
        <v>0</v>
      </c>
      <c r="N253" s="22">
        <v>0</v>
      </c>
      <c r="O253" s="22">
        <v>0</v>
      </c>
    </row>
    <row r="254" spans="1:15" s="1" customFormat="1" x14ac:dyDescent="0.2">
      <c r="A254" s="177"/>
      <c r="B254" s="101"/>
      <c r="C254" s="97"/>
      <c r="D254" s="97"/>
      <c r="E254" s="97"/>
      <c r="F254" s="97"/>
      <c r="G254" s="97"/>
      <c r="H254" s="97"/>
      <c r="I254" s="97"/>
      <c r="J254" s="97"/>
      <c r="K254" s="16" t="s">
        <v>10</v>
      </c>
      <c r="L254" s="22">
        <v>0</v>
      </c>
      <c r="M254" s="22">
        <v>0</v>
      </c>
      <c r="N254" s="22">
        <v>0</v>
      </c>
      <c r="O254" s="22">
        <v>0</v>
      </c>
    </row>
    <row r="255" spans="1:15" s="1" customFormat="1" x14ac:dyDescent="0.2">
      <c r="A255" s="177"/>
      <c r="B255" s="101"/>
      <c r="C255" s="97"/>
      <c r="D255" s="97"/>
      <c r="E255" s="97"/>
      <c r="F255" s="97"/>
      <c r="G255" s="97"/>
      <c r="H255" s="97"/>
      <c r="I255" s="97"/>
      <c r="J255" s="97"/>
      <c r="K255" s="16" t="s">
        <v>11</v>
      </c>
      <c r="L255" s="22">
        <v>0</v>
      </c>
      <c r="M255" s="22">
        <v>0</v>
      </c>
      <c r="N255" s="22">
        <v>0</v>
      </c>
      <c r="O255" s="22">
        <v>0</v>
      </c>
    </row>
    <row r="256" spans="1:15" s="1" customFormat="1" x14ac:dyDescent="0.2">
      <c r="A256" s="177"/>
      <c r="B256" s="101"/>
      <c r="C256" s="97"/>
      <c r="D256" s="97"/>
      <c r="E256" s="97"/>
      <c r="F256" s="97"/>
      <c r="G256" s="97"/>
      <c r="H256" s="97"/>
      <c r="I256" s="97"/>
      <c r="J256" s="97"/>
      <c r="K256" s="16" t="s">
        <v>12</v>
      </c>
      <c r="L256" s="22">
        <v>0</v>
      </c>
      <c r="M256" s="22">
        <v>0</v>
      </c>
      <c r="N256" s="22">
        <v>0</v>
      </c>
      <c r="O256" s="22">
        <v>0</v>
      </c>
    </row>
    <row r="257" spans="1:15" s="1" customFormat="1" x14ac:dyDescent="0.2">
      <c r="A257" s="177"/>
      <c r="B257" s="101"/>
      <c r="C257" s="97"/>
      <c r="D257" s="97"/>
      <c r="E257" s="97"/>
      <c r="F257" s="97"/>
      <c r="G257" s="97"/>
      <c r="H257" s="97"/>
      <c r="I257" s="97"/>
      <c r="J257" s="97"/>
      <c r="K257" s="16" t="s">
        <v>13</v>
      </c>
      <c r="L257" s="22">
        <v>0</v>
      </c>
      <c r="M257" s="22">
        <v>0</v>
      </c>
      <c r="N257" s="22">
        <v>0</v>
      </c>
      <c r="O257" s="22">
        <v>0</v>
      </c>
    </row>
    <row r="258" spans="1:15" s="1" customFormat="1" x14ac:dyDescent="0.2">
      <c r="A258" s="177"/>
      <c r="B258" s="101"/>
      <c r="C258" s="97"/>
      <c r="D258" s="97"/>
      <c r="E258" s="97"/>
      <c r="F258" s="97"/>
      <c r="G258" s="97"/>
      <c r="H258" s="97"/>
      <c r="I258" s="97"/>
      <c r="J258" s="97"/>
      <c r="K258" s="16" t="s">
        <v>14</v>
      </c>
      <c r="L258" s="22">
        <v>0</v>
      </c>
      <c r="M258" s="22">
        <v>0</v>
      </c>
      <c r="N258" s="22">
        <v>0</v>
      </c>
      <c r="O258" s="22">
        <v>0</v>
      </c>
    </row>
    <row r="259" spans="1:15" s="1" customFormat="1" x14ac:dyDescent="0.2">
      <c r="A259" s="177"/>
      <c r="B259" s="101"/>
      <c r="C259" s="97"/>
      <c r="D259" s="97"/>
      <c r="E259" s="97"/>
      <c r="F259" s="97"/>
      <c r="G259" s="97"/>
      <c r="H259" s="97"/>
      <c r="I259" s="97"/>
      <c r="J259" s="97"/>
      <c r="K259" s="16" t="s">
        <v>15</v>
      </c>
      <c r="L259" s="22">
        <v>0</v>
      </c>
      <c r="M259" s="22">
        <v>0</v>
      </c>
      <c r="N259" s="22">
        <v>0</v>
      </c>
      <c r="O259" s="22">
        <v>0</v>
      </c>
    </row>
    <row r="260" spans="1:15" s="1" customFormat="1" x14ac:dyDescent="0.2">
      <c r="A260" s="177"/>
      <c r="B260" s="101"/>
      <c r="C260" s="97"/>
      <c r="D260" s="97"/>
      <c r="E260" s="97"/>
      <c r="F260" s="97"/>
      <c r="G260" s="97"/>
      <c r="H260" s="97"/>
      <c r="I260" s="97"/>
      <c r="J260" s="97"/>
      <c r="K260" s="16" t="s">
        <v>16</v>
      </c>
      <c r="L260" s="22">
        <v>0</v>
      </c>
      <c r="M260" s="22">
        <v>0</v>
      </c>
      <c r="N260" s="22">
        <v>0</v>
      </c>
      <c r="O260" s="22">
        <v>0</v>
      </c>
    </row>
    <row r="261" spans="1:15" s="1" customFormat="1" x14ac:dyDescent="0.2">
      <c r="A261" s="177"/>
      <c r="B261" s="101"/>
      <c r="C261" s="97"/>
      <c r="D261" s="97"/>
      <c r="E261" s="97"/>
      <c r="F261" s="97"/>
      <c r="G261" s="97"/>
      <c r="H261" s="97"/>
      <c r="I261" s="97"/>
      <c r="J261" s="97"/>
      <c r="K261" s="16" t="s">
        <v>17</v>
      </c>
      <c r="L261" s="22">
        <v>1</v>
      </c>
      <c r="M261" s="22">
        <v>1</v>
      </c>
      <c r="N261" s="22">
        <v>1</v>
      </c>
      <c r="O261" s="22">
        <v>0</v>
      </c>
    </row>
    <row r="262" spans="1:15" s="1" customFormat="1" x14ac:dyDescent="0.2">
      <c r="A262" s="177"/>
      <c r="B262" s="101"/>
      <c r="C262" s="97"/>
      <c r="D262" s="97"/>
      <c r="E262" s="97"/>
      <c r="F262" s="97"/>
      <c r="G262" s="97"/>
      <c r="H262" s="97"/>
      <c r="I262" s="97"/>
      <c r="J262" s="97"/>
      <c r="K262" s="16" t="s">
        <v>18</v>
      </c>
      <c r="L262" s="22">
        <v>0</v>
      </c>
      <c r="M262" s="22">
        <v>0</v>
      </c>
      <c r="N262" s="22">
        <v>0</v>
      </c>
      <c r="O262" s="22">
        <v>0</v>
      </c>
    </row>
    <row r="263" spans="1:15" s="1" customFormat="1" x14ac:dyDescent="0.2">
      <c r="A263" s="177"/>
      <c r="B263" s="101"/>
      <c r="C263" s="97"/>
      <c r="D263" s="97"/>
      <c r="E263" s="97"/>
      <c r="F263" s="97"/>
      <c r="G263" s="97"/>
      <c r="H263" s="97"/>
      <c r="I263" s="97"/>
      <c r="J263" s="97"/>
      <c r="K263" s="16" t="s">
        <v>0</v>
      </c>
      <c r="L263" s="18">
        <f>SUM(L251:L262)</f>
        <v>1</v>
      </c>
      <c r="M263" s="18">
        <f t="shared" ref="M263" si="55">SUM(M251:M262)</f>
        <v>1</v>
      </c>
      <c r="N263" s="18">
        <f t="shared" ref="N263" si="56">SUM(N251:N262)</f>
        <v>2</v>
      </c>
      <c r="O263" s="18">
        <f t="shared" ref="O263" si="57">SUM(O251:O262)</f>
        <v>0</v>
      </c>
    </row>
    <row r="264" spans="1:15" s="1" customFormat="1" x14ac:dyDescent="0.2">
      <c r="A264" s="177"/>
      <c r="B264" s="101" t="s">
        <v>69</v>
      </c>
      <c r="C264" s="97" t="s">
        <v>208</v>
      </c>
      <c r="D264" s="97" t="s">
        <v>76</v>
      </c>
      <c r="E264" s="97"/>
      <c r="F264" s="97" t="s">
        <v>82</v>
      </c>
      <c r="G264" s="97" t="s">
        <v>93</v>
      </c>
      <c r="H264" s="97"/>
      <c r="I264" s="97"/>
      <c r="J264" s="97"/>
      <c r="K264" s="16" t="s">
        <v>7</v>
      </c>
      <c r="L264" s="22">
        <v>0</v>
      </c>
      <c r="M264" s="22">
        <v>0</v>
      </c>
      <c r="N264" s="22">
        <v>2</v>
      </c>
      <c r="O264" s="22">
        <v>0</v>
      </c>
    </row>
    <row r="265" spans="1:15" s="1" customFormat="1" x14ac:dyDescent="0.2">
      <c r="A265" s="177"/>
      <c r="B265" s="101"/>
      <c r="C265" s="97"/>
      <c r="D265" s="97"/>
      <c r="E265" s="97"/>
      <c r="F265" s="97"/>
      <c r="G265" s="97"/>
      <c r="H265" s="97"/>
      <c r="I265" s="97"/>
      <c r="J265" s="97"/>
      <c r="K265" s="16" t="s">
        <v>8</v>
      </c>
      <c r="L265" s="22">
        <v>0</v>
      </c>
      <c r="M265" s="22">
        <v>0</v>
      </c>
      <c r="N265" s="22">
        <v>4</v>
      </c>
      <c r="O265" s="22">
        <v>0</v>
      </c>
    </row>
    <row r="266" spans="1:15" s="1" customFormat="1" x14ac:dyDescent="0.2">
      <c r="A266" s="177"/>
      <c r="B266" s="101"/>
      <c r="C266" s="97"/>
      <c r="D266" s="97"/>
      <c r="E266" s="97"/>
      <c r="F266" s="97"/>
      <c r="G266" s="97"/>
      <c r="H266" s="97"/>
      <c r="I266" s="97"/>
      <c r="J266" s="97"/>
      <c r="K266" s="16" t="s">
        <v>9</v>
      </c>
      <c r="L266" s="22">
        <v>0</v>
      </c>
      <c r="M266" s="22">
        <v>0</v>
      </c>
      <c r="N266" s="22">
        <v>6</v>
      </c>
      <c r="O266" s="22">
        <v>0</v>
      </c>
    </row>
    <row r="267" spans="1:15" s="1" customFormat="1" x14ac:dyDescent="0.2">
      <c r="A267" s="177"/>
      <c r="B267" s="101"/>
      <c r="C267" s="97"/>
      <c r="D267" s="97"/>
      <c r="E267" s="97"/>
      <c r="F267" s="97"/>
      <c r="G267" s="97"/>
      <c r="H267" s="97"/>
      <c r="I267" s="97"/>
      <c r="J267" s="97"/>
      <c r="K267" s="16" t="s">
        <v>10</v>
      </c>
      <c r="L267" s="22">
        <v>0</v>
      </c>
      <c r="M267" s="22">
        <v>0</v>
      </c>
      <c r="N267" s="22">
        <v>6</v>
      </c>
      <c r="O267" s="22">
        <v>0</v>
      </c>
    </row>
    <row r="268" spans="1:15" s="1" customFormat="1" x14ac:dyDescent="0.2">
      <c r="A268" s="177"/>
      <c r="B268" s="101"/>
      <c r="C268" s="97"/>
      <c r="D268" s="97"/>
      <c r="E268" s="97"/>
      <c r="F268" s="97"/>
      <c r="G268" s="97"/>
      <c r="H268" s="97"/>
      <c r="I268" s="97"/>
      <c r="J268" s="97"/>
      <c r="K268" s="16" t="s">
        <v>11</v>
      </c>
      <c r="L268" s="22">
        <v>0</v>
      </c>
      <c r="M268" s="22">
        <v>0</v>
      </c>
      <c r="N268" s="22">
        <v>7</v>
      </c>
      <c r="O268" s="22">
        <v>0</v>
      </c>
    </row>
    <row r="269" spans="1:15" s="1" customFormat="1" x14ac:dyDescent="0.2">
      <c r="A269" s="177"/>
      <c r="B269" s="101"/>
      <c r="C269" s="97"/>
      <c r="D269" s="97"/>
      <c r="E269" s="97"/>
      <c r="F269" s="97"/>
      <c r="G269" s="97"/>
      <c r="H269" s="97"/>
      <c r="I269" s="97"/>
      <c r="J269" s="97"/>
      <c r="K269" s="16" t="s">
        <v>12</v>
      </c>
      <c r="L269" s="22">
        <v>0</v>
      </c>
      <c r="M269" s="22">
        <v>0</v>
      </c>
      <c r="N269" s="22">
        <v>5</v>
      </c>
      <c r="O269" s="22">
        <v>0</v>
      </c>
    </row>
    <row r="270" spans="1:15" s="1" customFormat="1" x14ac:dyDescent="0.2">
      <c r="A270" s="177"/>
      <c r="B270" s="101"/>
      <c r="C270" s="97"/>
      <c r="D270" s="97"/>
      <c r="E270" s="97"/>
      <c r="F270" s="97"/>
      <c r="G270" s="97"/>
      <c r="H270" s="97"/>
      <c r="I270" s="97"/>
      <c r="J270" s="97"/>
      <c r="K270" s="16" t="s">
        <v>13</v>
      </c>
      <c r="L270" s="22">
        <v>0</v>
      </c>
      <c r="M270" s="22">
        <v>0</v>
      </c>
      <c r="N270" s="22">
        <v>1</v>
      </c>
      <c r="O270" s="22">
        <v>0</v>
      </c>
    </row>
    <row r="271" spans="1:15" s="1" customFormat="1" x14ac:dyDescent="0.2">
      <c r="A271" s="177"/>
      <c r="B271" s="101"/>
      <c r="C271" s="97"/>
      <c r="D271" s="97"/>
      <c r="E271" s="97"/>
      <c r="F271" s="97"/>
      <c r="G271" s="97"/>
      <c r="H271" s="97"/>
      <c r="I271" s="97"/>
      <c r="J271" s="97"/>
      <c r="K271" s="16" t="s">
        <v>14</v>
      </c>
      <c r="L271" s="22">
        <v>0</v>
      </c>
      <c r="M271" s="22">
        <v>0</v>
      </c>
      <c r="N271" s="22">
        <v>1</v>
      </c>
      <c r="O271" s="22">
        <v>0</v>
      </c>
    </row>
    <row r="272" spans="1:15" s="1" customFormat="1" x14ac:dyDescent="0.2">
      <c r="A272" s="177"/>
      <c r="B272" s="101"/>
      <c r="C272" s="97"/>
      <c r="D272" s="97"/>
      <c r="E272" s="97"/>
      <c r="F272" s="97"/>
      <c r="G272" s="97"/>
      <c r="H272" s="97"/>
      <c r="I272" s="97"/>
      <c r="J272" s="97"/>
      <c r="K272" s="16" t="s">
        <v>15</v>
      </c>
      <c r="L272" s="22">
        <v>0</v>
      </c>
      <c r="M272" s="22">
        <v>0</v>
      </c>
      <c r="N272" s="22">
        <v>7</v>
      </c>
      <c r="O272" s="22">
        <v>0</v>
      </c>
    </row>
    <row r="273" spans="1:15" s="1" customFormat="1" x14ac:dyDescent="0.2">
      <c r="A273" s="177"/>
      <c r="B273" s="101"/>
      <c r="C273" s="97"/>
      <c r="D273" s="97"/>
      <c r="E273" s="97"/>
      <c r="F273" s="97"/>
      <c r="G273" s="97"/>
      <c r="H273" s="97"/>
      <c r="I273" s="97"/>
      <c r="J273" s="97"/>
      <c r="K273" s="16" t="s">
        <v>16</v>
      </c>
      <c r="L273" s="22">
        <v>0</v>
      </c>
      <c r="M273" s="22">
        <v>0</v>
      </c>
      <c r="N273" s="22">
        <v>7</v>
      </c>
      <c r="O273" s="22">
        <v>0</v>
      </c>
    </row>
    <row r="274" spans="1:15" s="1" customFormat="1" x14ac:dyDescent="0.2">
      <c r="A274" s="177"/>
      <c r="B274" s="101"/>
      <c r="C274" s="97"/>
      <c r="D274" s="97"/>
      <c r="E274" s="97"/>
      <c r="F274" s="97"/>
      <c r="G274" s="97"/>
      <c r="H274" s="97"/>
      <c r="I274" s="97"/>
      <c r="J274" s="97"/>
      <c r="K274" s="16" t="s">
        <v>17</v>
      </c>
      <c r="L274" s="22">
        <v>0</v>
      </c>
      <c r="M274" s="22">
        <v>0</v>
      </c>
      <c r="N274" s="22">
        <v>7</v>
      </c>
      <c r="O274" s="22">
        <v>0</v>
      </c>
    </row>
    <row r="275" spans="1:15" s="1" customFormat="1" x14ac:dyDescent="0.2">
      <c r="A275" s="177"/>
      <c r="B275" s="101"/>
      <c r="C275" s="97"/>
      <c r="D275" s="97"/>
      <c r="E275" s="97"/>
      <c r="F275" s="97"/>
      <c r="G275" s="97"/>
      <c r="H275" s="97"/>
      <c r="I275" s="97"/>
      <c r="J275" s="97"/>
      <c r="K275" s="16" t="s">
        <v>18</v>
      </c>
      <c r="L275" s="22">
        <v>0</v>
      </c>
      <c r="M275" s="22">
        <v>0</v>
      </c>
      <c r="N275" s="22">
        <v>7</v>
      </c>
      <c r="O275" s="22">
        <v>0</v>
      </c>
    </row>
    <row r="276" spans="1:15" s="1" customFormat="1" x14ac:dyDescent="0.2">
      <c r="A276" s="177"/>
      <c r="B276" s="101"/>
      <c r="C276" s="97"/>
      <c r="D276" s="97"/>
      <c r="E276" s="97"/>
      <c r="F276" s="97"/>
      <c r="G276" s="97"/>
      <c r="H276" s="97"/>
      <c r="I276" s="97"/>
      <c r="J276" s="97"/>
      <c r="K276" s="16" t="s">
        <v>0</v>
      </c>
      <c r="L276" s="18">
        <f>SUM(L264:L275)</f>
        <v>0</v>
      </c>
      <c r="M276" s="18">
        <f t="shared" ref="M276" si="58">SUM(M264:M275)</f>
        <v>0</v>
      </c>
      <c r="N276" s="18">
        <f t="shared" ref="N276" si="59">SUM(N264:N275)</f>
        <v>60</v>
      </c>
      <c r="O276" s="18">
        <f t="shared" ref="O276" si="60">SUM(O264:O275)</f>
        <v>0</v>
      </c>
    </row>
    <row r="277" spans="1:15" s="1" customFormat="1" x14ac:dyDescent="0.2">
      <c r="A277" s="177"/>
      <c r="B277" s="101" t="s">
        <v>69</v>
      </c>
      <c r="C277" s="97" t="s">
        <v>209</v>
      </c>
      <c r="D277" s="97" t="s">
        <v>139</v>
      </c>
      <c r="E277" s="97"/>
      <c r="F277" s="97" t="s">
        <v>82</v>
      </c>
      <c r="G277" s="97" t="s">
        <v>93</v>
      </c>
      <c r="H277" s="97"/>
      <c r="I277" s="97"/>
      <c r="J277" s="97"/>
      <c r="K277" s="16" t="s">
        <v>7</v>
      </c>
      <c r="L277" s="22">
        <v>0</v>
      </c>
      <c r="M277" s="22">
        <v>0</v>
      </c>
      <c r="N277" s="22">
        <v>9</v>
      </c>
      <c r="O277" s="22">
        <v>0</v>
      </c>
    </row>
    <row r="278" spans="1:15" s="1" customFormat="1" x14ac:dyDescent="0.2">
      <c r="A278" s="177"/>
      <c r="B278" s="101"/>
      <c r="C278" s="97"/>
      <c r="D278" s="97"/>
      <c r="E278" s="97"/>
      <c r="F278" s="97"/>
      <c r="G278" s="97"/>
      <c r="H278" s="97"/>
      <c r="I278" s="97"/>
      <c r="J278" s="97"/>
      <c r="K278" s="16" t="s">
        <v>8</v>
      </c>
      <c r="L278" s="22">
        <v>0</v>
      </c>
      <c r="M278" s="22">
        <v>0</v>
      </c>
      <c r="N278" s="22">
        <v>11</v>
      </c>
      <c r="O278" s="22">
        <v>0</v>
      </c>
    </row>
    <row r="279" spans="1:15" s="1" customFormat="1" x14ac:dyDescent="0.2">
      <c r="A279" s="177"/>
      <c r="B279" s="101"/>
      <c r="C279" s="97"/>
      <c r="D279" s="97"/>
      <c r="E279" s="97"/>
      <c r="F279" s="97"/>
      <c r="G279" s="97"/>
      <c r="H279" s="97"/>
      <c r="I279" s="97"/>
      <c r="J279" s="97"/>
      <c r="K279" s="16" t="s">
        <v>9</v>
      </c>
      <c r="L279" s="22">
        <v>0</v>
      </c>
      <c r="M279" s="22">
        <v>0</v>
      </c>
      <c r="N279" s="22">
        <v>13</v>
      </c>
      <c r="O279" s="22">
        <v>0</v>
      </c>
    </row>
    <row r="280" spans="1:15" s="1" customFormat="1" x14ac:dyDescent="0.2">
      <c r="A280" s="177"/>
      <c r="B280" s="101"/>
      <c r="C280" s="97"/>
      <c r="D280" s="97"/>
      <c r="E280" s="97"/>
      <c r="F280" s="97"/>
      <c r="G280" s="97"/>
      <c r="H280" s="97"/>
      <c r="I280" s="97"/>
      <c r="J280" s="97"/>
      <c r="K280" s="16" t="s">
        <v>10</v>
      </c>
      <c r="L280" s="22">
        <v>0</v>
      </c>
      <c r="M280" s="22">
        <v>0</v>
      </c>
      <c r="N280" s="22">
        <v>10</v>
      </c>
      <c r="O280" s="22">
        <v>0</v>
      </c>
    </row>
    <row r="281" spans="1:15" s="1" customFormat="1" x14ac:dyDescent="0.2">
      <c r="A281" s="177"/>
      <c r="B281" s="101"/>
      <c r="C281" s="97"/>
      <c r="D281" s="97"/>
      <c r="E281" s="97"/>
      <c r="F281" s="97"/>
      <c r="G281" s="97"/>
      <c r="H281" s="97"/>
      <c r="I281" s="97"/>
      <c r="J281" s="97"/>
      <c r="K281" s="16" t="s">
        <v>11</v>
      </c>
      <c r="L281" s="22">
        <v>0</v>
      </c>
      <c r="M281" s="22">
        <v>0</v>
      </c>
      <c r="N281" s="22">
        <v>9</v>
      </c>
      <c r="O281" s="22">
        <v>0</v>
      </c>
    </row>
    <row r="282" spans="1:15" s="1" customFormat="1" x14ac:dyDescent="0.2">
      <c r="A282" s="177"/>
      <c r="B282" s="101"/>
      <c r="C282" s="97"/>
      <c r="D282" s="97"/>
      <c r="E282" s="97"/>
      <c r="F282" s="97"/>
      <c r="G282" s="97"/>
      <c r="H282" s="97"/>
      <c r="I282" s="97"/>
      <c r="J282" s="97"/>
      <c r="K282" s="16" t="s">
        <v>12</v>
      </c>
      <c r="L282" s="22">
        <v>0</v>
      </c>
      <c r="M282" s="22">
        <v>0</v>
      </c>
      <c r="N282" s="22">
        <v>13</v>
      </c>
      <c r="O282" s="22">
        <v>0</v>
      </c>
    </row>
    <row r="283" spans="1:15" s="1" customFormat="1" x14ac:dyDescent="0.2">
      <c r="A283" s="177"/>
      <c r="B283" s="101"/>
      <c r="C283" s="97"/>
      <c r="D283" s="97"/>
      <c r="E283" s="97"/>
      <c r="F283" s="97"/>
      <c r="G283" s="97"/>
      <c r="H283" s="97"/>
      <c r="I283" s="97"/>
      <c r="J283" s="97"/>
      <c r="K283" s="16" t="s">
        <v>13</v>
      </c>
      <c r="L283" s="22">
        <v>0</v>
      </c>
      <c r="M283" s="22">
        <v>0</v>
      </c>
      <c r="N283" s="22">
        <v>2</v>
      </c>
      <c r="O283" s="22">
        <v>0</v>
      </c>
    </row>
    <row r="284" spans="1:15" s="1" customFormat="1" x14ac:dyDescent="0.2">
      <c r="A284" s="177"/>
      <c r="B284" s="101"/>
      <c r="C284" s="97"/>
      <c r="D284" s="97"/>
      <c r="E284" s="97"/>
      <c r="F284" s="97"/>
      <c r="G284" s="97"/>
      <c r="H284" s="97"/>
      <c r="I284" s="97"/>
      <c r="J284" s="97"/>
      <c r="K284" s="16" t="s">
        <v>14</v>
      </c>
      <c r="L284" s="22">
        <v>0</v>
      </c>
      <c r="M284" s="22">
        <v>0</v>
      </c>
      <c r="N284" s="22">
        <v>4</v>
      </c>
      <c r="O284" s="22">
        <v>0</v>
      </c>
    </row>
    <row r="285" spans="1:15" s="1" customFormat="1" x14ac:dyDescent="0.2">
      <c r="A285" s="177"/>
      <c r="B285" s="101"/>
      <c r="C285" s="97"/>
      <c r="D285" s="97"/>
      <c r="E285" s="97"/>
      <c r="F285" s="97"/>
      <c r="G285" s="97"/>
      <c r="H285" s="97"/>
      <c r="I285" s="97"/>
      <c r="J285" s="97"/>
      <c r="K285" s="16" t="s">
        <v>15</v>
      </c>
      <c r="L285" s="22">
        <v>0</v>
      </c>
      <c r="M285" s="22">
        <v>0</v>
      </c>
      <c r="N285" s="22">
        <v>15</v>
      </c>
      <c r="O285" s="22">
        <v>0</v>
      </c>
    </row>
    <row r="286" spans="1:15" s="1" customFormat="1" x14ac:dyDescent="0.2">
      <c r="A286" s="177"/>
      <c r="B286" s="101"/>
      <c r="C286" s="97"/>
      <c r="D286" s="97"/>
      <c r="E286" s="97"/>
      <c r="F286" s="97"/>
      <c r="G286" s="97"/>
      <c r="H286" s="97"/>
      <c r="I286" s="97"/>
      <c r="J286" s="97"/>
      <c r="K286" s="16" t="s">
        <v>16</v>
      </c>
      <c r="L286" s="22">
        <v>0</v>
      </c>
      <c r="M286" s="22">
        <v>50</v>
      </c>
      <c r="N286" s="22">
        <v>12</v>
      </c>
      <c r="O286" s="22">
        <v>0</v>
      </c>
    </row>
    <row r="287" spans="1:15" s="1" customFormat="1" x14ac:dyDescent="0.2">
      <c r="A287" s="177"/>
      <c r="B287" s="101"/>
      <c r="C287" s="97"/>
      <c r="D287" s="97"/>
      <c r="E287" s="97"/>
      <c r="F287" s="97"/>
      <c r="G287" s="97"/>
      <c r="H287" s="97"/>
      <c r="I287" s="97"/>
      <c r="J287" s="97"/>
      <c r="K287" s="16" t="s">
        <v>17</v>
      </c>
      <c r="L287" s="22">
        <v>0</v>
      </c>
      <c r="M287" s="22">
        <v>0</v>
      </c>
      <c r="N287" s="22">
        <v>12</v>
      </c>
      <c r="O287" s="22">
        <v>0</v>
      </c>
    </row>
    <row r="288" spans="1:15" s="1" customFormat="1" x14ac:dyDescent="0.2">
      <c r="A288" s="177"/>
      <c r="B288" s="101"/>
      <c r="C288" s="97"/>
      <c r="D288" s="97"/>
      <c r="E288" s="97"/>
      <c r="F288" s="97"/>
      <c r="G288" s="97"/>
      <c r="H288" s="97"/>
      <c r="I288" s="97"/>
      <c r="J288" s="97"/>
      <c r="K288" s="16" t="s">
        <v>18</v>
      </c>
      <c r="L288" s="22">
        <v>0</v>
      </c>
      <c r="M288" s="22">
        <v>0</v>
      </c>
      <c r="N288" s="22">
        <v>13</v>
      </c>
      <c r="O288" s="22">
        <v>0</v>
      </c>
    </row>
    <row r="289" spans="1:15" s="1" customFormat="1" x14ac:dyDescent="0.2">
      <c r="A289" s="177"/>
      <c r="B289" s="101"/>
      <c r="C289" s="97"/>
      <c r="D289" s="97"/>
      <c r="E289" s="97"/>
      <c r="F289" s="97"/>
      <c r="G289" s="97"/>
      <c r="H289" s="97"/>
      <c r="I289" s="97"/>
      <c r="J289" s="97"/>
      <c r="K289" s="16" t="s">
        <v>0</v>
      </c>
      <c r="L289" s="18">
        <f>SUM(L277:L288)</f>
        <v>0</v>
      </c>
      <c r="M289" s="18">
        <f t="shared" ref="M289" si="61">SUM(M277:M288)</f>
        <v>50</v>
      </c>
      <c r="N289" s="18">
        <f t="shared" ref="N289" si="62">SUM(N277:N288)</f>
        <v>123</v>
      </c>
      <c r="O289" s="18">
        <f t="shared" ref="O289" si="63">SUM(O277:O288)</f>
        <v>0</v>
      </c>
    </row>
    <row r="290" spans="1:15" s="1" customFormat="1" x14ac:dyDescent="0.2">
      <c r="A290" s="177"/>
      <c r="B290" s="101" t="s">
        <v>69</v>
      </c>
      <c r="C290" s="97" t="s">
        <v>210</v>
      </c>
      <c r="D290" s="97" t="s">
        <v>77</v>
      </c>
      <c r="E290" s="97"/>
      <c r="F290" s="97" t="s">
        <v>82</v>
      </c>
      <c r="G290" s="97" t="s">
        <v>93</v>
      </c>
      <c r="H290" s="97"/>
      <c r="I290" s="97"/>
      <c r="J290" s="97"/>
      <c r="K290" s="16" t="s">
        <v>7</v>
      </c>
      <c r="L290" s="22">
        <v>0</v>
      </c>
      <c r="M290" s="22">
        <v>0</v>
      </c>
      <c r="N290" s="22">
        <v>0</v>
      </c>
      <c r="O290" s="22">
        <v>0</v>
      </c>
    </row>
    <row r="291" spans="1:15" s="1" customFormat="1" x14ac:dyDescent="0.2">
      <c r="A291" s="177"/>
      <c r="B291" s="101"/>
      <c r="C291" s="97"/>
      <c r="D291" s="97"/>
      <c r="E291" s="97"/>
      <c r="F291" s="97"/>
      <c r="G291" s="97"/>
      <c r="H291" s="97"/>
      <c r="I291" s="97"/>
      <c r="J291" s="97"/>
      <c r="K291" s="16" t="s">
        <v>8</v>
      </c>
      <c r="L291" s="22">
        <v>0</v>
      </c>
      <c r="M291" s="22">
        <v>0</v>
      </c>
      <c r="N291" s="22">
        <v>0</v>
      </c>
      <c r="O291" s="22">
        <v>0</v>
      </c>
    </row>
    <row r="292" spans="1:15" s="1" customFormat="1" x14ac:dyDescent="0.2">
      <c r="A292" s="177"/>
      <c r="B292" s="101"/>
      <c r="C292" s="97"/>
      <c r="D292" s="97"/>
      <c r="E292" s="97"/>
      <c r="F292" s="97"/>
      <c r="G292" s="97"/>
      <c r="H292" s="97"/>
      <c r="I292" s="97"/>
      <c r="J292" s="97"/>
      <c r="K292" s="16" t="s">
        <v>9</v>
      </c>
      <c r="L292" s="22">
        <v>0</v>
      </c>
      <c r="M292" s="22">
        <v>0</v>
      </c>
      <c r="N292" s="22">
        <v>0</v>
      </c>
      <c r="O292" s="22">
        <v>0</v>
      </c>
    </row>
    <row r="293" spans="1:15" s="1" customFormat="1" x14ac:dyDescent="0.2">
      <c r="A293" s="177"/>
      <c r="B293" s="101"/>
      <c r="C293" s="97"/>
      <c r="D293" s="97"/>
      <c r="E293" s="97"/>
      <c r="F293" s="97"/>
      <c r="G293" s="97"/>
      <c r="H293" s="97"/>
      <c r="I293" s="97"/>
      <c r="J293" s="97"/>
      <c r="K293" s="16" t="s">
        <v>10</v>
      </c>
      <c r="L293" s="22">
        <v>0</v>
      </c>
      <c r="M293" s="22">
        <v>0</v>
      </c>
      <c r="N293" s="22">
        <v>0</v>
      </c>
      <c r="O293" s="22">
        <v>0</v>
      </c>
    </row>
    <row r="294" spans="1:15" s="1" customFormat="1" x14ac:dyDescent="0.2">
      <c r="A294" s="177"/>
      <c r="B294" s="101"/>
      <c r="C294" s="97"/>
      <c r="D294" s="97"/>
      <c r="E294" s="97"/>
      <c r="F294" s="97"/>
      <c r="G294" s="97"/>
      <c r="H294" s="97"/>
      <c r="I294" s="97"/>
      <c r="J294" s="97"/>
      <c r="K294" s="16" t="s">
        <v>11</v>
      </c>
      <c r="L294" s="22">
        <v>0</v>
      </c>
      <c r="M294" s="22">
        <v>0</v>
      </c>
      <c r="N294" s="22">
        <v>0</v>
      </c>
      <c r="O294" s="22">
        <v>0</v>
      </c>
    </row>
    <row r="295" spans="1:15" s="1" customFormat="1" x14ac:dyDescent="0.2">
      <c r="A295" s="177"/>
      <c r="B295" s="101"/>
      <c r="C295" s="97"/>
      <c r="D295" s="97"/>
      <c r="E295" s="97"/>
      <c r="F295" s="97"/>
      <c r="G295" s="97"/>
      <c r="H295" s="97"/>
      <c r="I295" s="97"/>
      <c r="J295" s="97"/>
      <c r="K295" s="16" t="s">
        <v>12</v>
      </c>
      <c r="L295" s="22">
        <v>0</v>
      </c>
      <c r="M295" s="22">
        <v>0</v>
      </c>
      <c r="N295" s="22">
        <v>0</v>
      </c>
      <c r="O295" s="22">
        <v>0</v>
      </c>
    </row>
    <row r="296" spans="1:15" s="1" customFormat="1" x14ac:dyDescent="0.2">
      <c r="A296" s="177"/>
      <c r="B296" s="101"/>
      <c r="C296" s="97"/>
      <c r="D296" s="97"/>
      <c r="E296" s="97"/>
      <c r="F296" s="97"/>
      <c r="G296" s="97"/>
      <c r="H296" s="97"/>
      <c r="I296" s="97"/>
      <c r="J296" s="97"/>
      <c r="K296" s="16" t="s">
        <v>13</v>
      </c>
      <c r="L296" s="22">
        <v>0</v>
      </c>
      <c r="M296" s="22">
        <v>0</v>
      </c>
      <c r="N296" s="22">
        <v>0</v>
      </c>
      <c r="O296" s="22">
        <v>0</v>
      </c>
    </row>
    <row r="297" spans="1:15" s="1" customFormat="1" x14ac:dyDescent="0.2">
      <c r="A297" s="177"/>
      <c r="B297" s="101"/>
      <c r="C297" s="97"/>
      <c r="D297" s="97"/>
      <c r="E297" s="97"/>
      <c r="F297" s="97"/>
      <c r="G297" s="97"/>
      <c r="H297" s="97"/>
      <c r="I297" s="97"/>
      <c r="J297" s="97"/>
      <c r="K297" s="16" t="s">
        <v>14</v>
      </c>
      <c r="L297" s="22">
        <v>0</v>
      </c>
      <c r="M297" s="22">
        <v>0</v>
      </c>
      <c r="N297" s="22">
        <v>0</v>
      </c>
      <c r="O297" s="22">
        <v>0</v>
      </c>
    </row>
    <row r="298" spans="1:15" s="1" customFormat="1" x14ac:dyDescent="0.2">
      <c r="A298" s="177"/>
      <c r="B298" s="101"/>
      <c r="C298" s="97"/>
      <c r="D298" s="97"/>
      <c r="E298" s="97"/>
      <c r="F298" s="97"/>
      <c r="G298" s="97"/>
      <c r="H298" s="97"/>
      <c r="I298" s="97"/>
      <c r="J298" s="97"/>
      <c r="K298" s="16" t="s">
        <v>15</v>
      </c>
      <c r="L298" s="22">
        <v>0</v>
      </c>
      <c r="M298" s="22">
        <v>0</v>
      </c>
      <c r="N298" s="22">
        <v>0</v>
      </c>
      <c r="O298" s="22">
        <v>0</v>
      </c>
    </row>
    <row r="299" spans="1:15" s="1" customFormat="1" x14ac:dyDescent="0.2">
      <c r="A299" s="177"/>
      <c r="B299" s="101"/>
      <c r="C299" s="97"/>
      <c r="D299" s="97"/>
      <c r="E299" s="97"/>
      <c r="F299" s="97"/>
      <c r="G299" s="97"/>
      <c r="H299" s="97"/>
      <c r="I299" s="97"/>
      <c r="J299" s="97"/>
      <c r="K299" s="16" t="s">
        <v>16</v>
      </c>
      <c r="L299" s="22">
        <v>0</v>
      </c>
      <c r="M299" s="22">
        <v>0</v>
      </c>
      <c r="N299" s="22">
        <v>0</v>
      </c>
      <c r="O299" s="22">
        <v>0</v>
      </c>
    </row>
    <row r="300" spans="1:15" s="1" customFormat="1" x14ac:dyDescent="0.2">
      <c r="A300" s="177"/>
      <c r="B300" s="101"/>
      <c r="C300" s="97"/>
      <c r="D300" s="97"/>
      <c r="E300" s="97"/>
      <c r="F300" s="97"/>
      <c r="G300" s="97"/>
      <c r="H300" s="97"/>
      <c r="I300" s="97"/>
      <c r="J300" s="97"/>
      <c r="K300" s="16" t="s">
        <v>17</v>
      </c>
      <c r="L300" s="22">
        <v>0</v>
      </c>
      <c r="M300" s="22">
        <v>0</v>
      </c>
      <c r="N300" s="22">
        <v>0</v>
      </c>
      <c r="O300" s="22">
        <v>0</v>
      </c>
    </row>
    <row r="301" spans="1:15" s="1" customFormat="1" x14ac:dyDescent="0.2">
      <c r="A301" s="177"/>
      <c r="B301" s="101"/>
      <c r="C301" s="97"/>
      <c r="D301" s="97"/>
      <c r="E301" s="97"/>
      <c r="F301" s="97"/>
      <c r="G301" s="97"/>
      <c r="H301" s="97"/>
      <c r="I301" s="97"/>
      <c r="J301" s="97"/>
      <c r="K301" s="16" t="s">
        <v>18</v>
      </c>
      <c r="L301" s="22">
        <v>0</v>
      </c>
      <c r="M301" s="22">
        <v>0</v>
      </c>
      <c r="N301" s="22">
        <v>0</v>
      </c>
      <c r="O301" s="22">
        <v>0</v>
      </c>
    </row>
    <row r="302" spans="1:15" s="1" customFormat="1" x14ac:dyDescent="0.2">
      <c r="A302" s="177"/>
      <c r="B302" s="101"/>
      <c r="C302" s="97"/>
      <c r="D302" s="97"/>
      <c r="E302" s="97"/>
      <c r="F302" s="97"/>
      <c r="G302" s="97"/>
      <c r="H302" s="97"/>
      <c r="I302" s="97"/>
      <c r="J302" s="97"/>
      <c r="K302" s="16" t="s">
        <v>0</v>
      </c>
      <c r="L302" s="18">
        <f>SUM(L290:L301)</f>
        <v>0</v>
      </c>
      <c r="M302" s="18">
        <f t="shared" ref="M302" si="64">SUM(M290:M301)</f>
        <v>0</v>
      </c>
      <c r="N302" s="18">
        <f t="shared" ref="N302" si="65">SUM(N290:N301)</f>
        <v>0</v>
      </c>
      <c r="O302" s="18">
        <f t="shared" ref="O302" si="66">SUM(O290:O301)</f>
        <v>0</v>
      </c>
    </row>
    <row r="303" spans="1:15" s="1" customFormat="1" x14ac:dyDescent="0.2">
      <c r="A303" s="177"/>
      <c r="B303" s="101" t="s">
        <v>69</v>
      </c>
      <c r="C303" s="97" t="s">
        <v>211</v>
      </c>
      <c r="D303" s="97" t="s">
        <v>78</v>
      </c>
      <c r="E303" s="97"/>
      <c r="F303" s="97" t="s">
        <v>82</v>
      </c>
      <c r="G303" s="97" t="s">
        <v>93</v>
      </c>
      <c r="H303" s="97"/>
      <c r="I303" s="97"/>
      <c r="J303" s="97"/>
      <c r="K303" s="16" t="s">
        <v>7</v>
      </c>
      <c r="L303" s="22">
        <v>0</v>
      </c>
      <c r="M303" s="22">
        <v>0</v>
      </c>
      <c r="N303" s="22">
        <v>0</v>
      </c>
      <c r="O303" s="22">
        <v>0</v>
      </c>
    </row>
    <row r="304" spans="1:15" s="1" customFormat="1" x14ac:dyDescent="0.2">
      <c r="A304" s="177"/>
      <c r="B304" s="101"/>
      <c r="C304" s="97"/>
      <c r="D304" s="97"/>
      <c r="E304" s="97"/>
      <c r="F304" s="97"/>
      <c r="G304" s="97"/>
      <c r="H304" s="97"/>
      <c r="I304" s="97"/>
      <c r="J304" s="97"/>
      <c r="K304" s="16" t="s">
        <v>8</v>
      </c>
      <c r="L304" s="22">
        <v>0</v>
      </c>
      <c r="M304" s="22">
        <v>0</v>
      </c>
      <c r="N304" s="22">
        <v>0</v>
      </c>
      <c r="O304" s="22">
        <v>0</v>
      </c>
    </row>
    <row r="305" spans="1:15" s="1" customFormat="1" x14ac:dyDescent="0.2">
      <c r="A305" s="177"/>
      <c r="B305" s="101"/>
      <c r="C305" s="97"/>
      <c r="D305" s="97"/>
      <c r="E305" s="97"/>
      <c r="F305" s="97"/>
      <c r="G305" s="97"/>
      <c r="H305" s="97"/>
      <c r="I305" s="97"/>
      <c r="J305" s="97"/>
      <c r="K305" s="16" t="s">
        <v>9</v>
      </c>
      <c r="L305" s="22">
        <v>0</v>
      </c>
      <c r="M305" s="22">
        <v>0</v>
      </c>
      <c r="N305" s="22">
        <v>0</v>
      </c>
      <c r="O305" s="22">
        <v>0</v>
      </c>
    </row>
    <row r="306" spans="1:15" s="1" customFormat="1" x14ac:dyDescent="0.2">
      <c r="A306" s="177"/>
      <c r="B306" s="101"/>
      <c r="C306" s="97"/>
      <c r="D306" s="97"/>
      <c r="E306" s="97"/>
      <c r="F306" s="97"/>
      <c r="G306" s="97"/>
      <c r="H306" s="97"/>
      <c r="I306" s="97"/>
      <c r="J306" s="97"/>
      <c r="K306" s="16" t="s">
        <v>10</v>
      </c>
      <c r="L306" s="22">
        <v>0</v>
      </c>
      <c r="M306" s="22">
        <v>0</v>
      </c>
      <c r="N306" s="22">
        <v>0</v>
      </c>
      <c r="O306" s="22">
        <v>0</v>
      </c>
    </row>
    <row r="307" spans="1:15" s="1" customFormat="1" x14ac:dyDescent="0.2">
      <c r="A307" s="177"/>
      <c r="B307" s="101"/>
      <c r="C307" s="97"/>
      <c r="D307" s="97"/>
      <c r="E307" s="97"/>
      <c r="F307" s="97"/>
      <c r="G307" s="97"/>
      <c r="H307" s="97"/>
      <c r="I307" s="97"/>
      <c r="J307" s="97"/>
      <c r="K307" s="16" t="s">
        <v>11</v>
      </c>
      <c r="L307" s="22">
        <v>0</v>
      </c>
      <c r="M307" s="22">
        <v>0</v>
      </c>
      <c r="N307" s="22">
        <v>0</v>
      </c>
      <c r="O307" s="22">
        <v>0</v>
      </c>
    </row>
    <row r="308" spans="1:15" s="1" customFormat="1" x14ac:dyDescent="0.2">
      <c r="A308" s="177"/>
      <c r="B308" s="101"/>
      <c r="C308" s="97"/>
      <c r="D308" s="97"/>
      <c r="E308" s="97"/>
      <c r="F308" s="97"/>
      <c r="G308" s="97"/>
      <c r="H308" s="97"/>
      <c r="I308" s="97"/>
      <c r="J308" s="97"/>
      <c r="K308" s="16" t="s">
        <v>12</v>
      </c>
      <c r="L308" s="22">
        <v>0</v>
      </c>
      <c r="M308" s="22">
        <v>0</v>
      </c>
      <c r="N308" s="22">
        <v>0</v>
      </c>
      <c r="O308" s="22">
        <v>0</v>
      </c>
    </row>
    <row r="309" spans="1:15" s="1" customFormat="1" x14ac:dyDescent="0.2">
      <c r="A309" s="177"/>
      <c r="B309" s="101"/>
      <c r="C309" s="97"/>
      <c r="D309" s="97"/>
      <c r="E309" s="97"/>
      <c r="F309" s="97"/>
      <c r="G309" s="97"/>
      <c r="H309" s="97"/>
      <c r="I309" s="97"/>
      <c r="J309" s="97"/>
      <c r="K309" s="16" t="s">
        <v>13</v>
      </c>
      <c r="L309" s="22">
        <v>0</v>
      </c>
      <c r="M309" s="22">
        <v>0</v>
      </c>
      <c r="N309" s="22">
        <v>0</v>
      </c>
      <c r="O309" s="22">
        <v>0</v>
      </c>
    </row>
    <row r="310" spans="1:15" s="1" customFormat="1" x14ac:dyDescent="0.2">
      <c r="A310" s="177"/>
      <c r="B310" s="101"/>
      <c r="C310" s="97"/>
      <c r="D310" s="97"/>
      <c r="E310" s="97"/>
      <c r="F310" s="97"/>
      <c r="G310" s="97"/>
      <c r="H310" s="97"/>
      <c r="I310" s="97"/>
      <c r="J310" s="97"/>
      <c r="K310" s="16" t="s">
        <v>14</v>
      </c>
      <c r="L310" s="22">
        <v>0</v>
      </c>
      <c r="M310" s="22">
        <v>0</v>
      </c>
      <c r="N310" s="22">
        <v>0</v>
      </c>
      <c r="O310" s="22">
        <v>0</v>
      </c>
    </row>
    <row r="311" spans="1:15" s="1" customFormat="1" x14ac:dyDescent="0.2">
      <c r="A311" s="177"/>
      <c r="B311" s="101"/>
      <c r="C311" s="97"/>
      <c r="D311" s="97"/>
      <c r="E311" s="97"/>
      <c r="F311" s="97"/>
      <c r="G311" s="97"/>
      <c r="H311" s="97"/>
      <c r="I311" s="97"/>
      <c r="J311" s="97"/>
      <c r="K311" s="16" t="s">
        <v>15</v>
      </c>
      <c r="L311" s="22">
        <v>0</v>
      </c>
      <c r="M311" s="22">
        <v>0</v>
      </c>
      <c r="N311" s="22">
        <v>0</v>
      </c>
      <c r="O311" s="22">
        <v>0</v>
      </c>
    </row>
    <row r="312" spans="1:15" s="1" customFormat="1" x14ac:dyDescent="0.2">
      <c r="A312" s="177"/>
      <c r="B312" s="101"/>
      <c r="C312" s="97"/>
      <c r="D312" s="97"/>
      <c r="E312" s="97"/>
      <c r="F312" s="97"/>
      <c r="G312" s="97"/>
      <c r="H312" s="97"/>
      <c r="I312" s="97"/>
      <c r="J312" s="97"/>
      <c r="K312" s="16" t="s">
        <v>16</v>
      </c>
      <c r="L312" s="22">
        <v>0</v>
      </c>
      <c r="M312" s="22">
        <v>0</v>
      </c>
      <c r="N312" s="22">
        <v>0</v>
      </c>
      <c r="O312" s="22">
        <v>0</v>
      </c>
    </row>
    <row r="313" spans="1:15" s="1" customFormat="1" x14ac:dyDescent="0.2">
      <c r="A313" s="177"/>
      <c r="B313" s="101"/>
      <c r="C313" s="97"/>
      <c r="D313" s="97"/>
      <c r="E313" s="97"/>
      <c r="F313" s="97"/>
      <c r="G313" s="97"/>
      <c r="H313" s="97"/>
      <c r="I313" s="97"/>
      <c r="J313" s="97"/>
      <c r="K313" s="16" t="s">
        <v>17</v>
      </c>
      <c r="L313" s="22">
        <v>0</v>
      </c>
      <c r="M313" s="22">
        <v>0</v>
      </c>
      <c r="N313" s="22">
        <v>0</v>
      </c>
      <c r="O313" s="22">
        <v>0</v>
      </c>
    </row>
    <row r="314" spans="1:15" s="1" customFormat="1" x14ac:dyDescent="0.2">
      <c r="A314" s="177"/>
      <c r="B314" s="101"/>
      <c r="C314" s="97"/>
      <c r="D314" s="97"/>
      <c r="E314" s="97"/>
      <c r="F314" s="97"/>
      <c r="G314" s="97"/>
      <c r="H314" s="97"/>
      <c r="I314" s="97"/>
      <c r="J314" s="97"/>
      <c r="K314" s="16" t="s">
        <v>18</v>
      </c>
      <c r="L314" s="22">
        <v>0</v>
      </c>
      <c r="M314" s="22">
        <v>0</v>
      </c>
      <c r="N314" s="22">
        <v>0</v>
      </c>
      <c r="O314" s="22">
        <v>0</v>
      </c>
    </row>
    <row r="315" spans="1:15" s="1" customFormat="1" x14ac:dyDescent="0.2">
      <c r="A315" s="177"/>
      <c r="B315" s="101"/>
      <c r="C315" s="97"/>
      <c r="D315" s="97"/>
      <c r="E315" s="97"/>
      <c r="F315" s="97"/>
      <c r="G315" s="97"/>
      <c r="H315" s="97"/>
      <c r="I315" s="97"/>
      <c r="J315" s="97"/>
      <c r="K315" s="16" t="s">
        <v>0</v>
      </c>
      <c r="L315" s="18">
        <f>SUM(L303:L314)</f>
        <v>0</v>
      </c>
      <c r="M315" s="18">
        <f t="shared" ref="M315" si="67">SUM(M303:M314)</f>
        <v>0</v>
      </c>
      <c r="N315" s="18">
        <f t="shared" ref="N315" si="68">SUM(N303:N314)</f>
        <v>0</v>
      </c>
      <c r="O315" s="18">
        <f t="shared" ref="O315" si="69">SUM(O303:O314)</f>
        <v>0</v>
      </c>
    </row>
    <row r="316" spans="1:15" s="1" customFormat="1" x14ac:dyDescent="0.2">
      <c r="A316" s="177"/>
      <c r="B316" s="101" t="s">
        <v>69</v>
      </c>
      <c r="C316" s="97" t="s">
        <v>212</v>
      </c>
      <c r="D316" s="97" t="s">
        <v>79</v>
      </c>
      <c r="E316" s="97"/>
      <c r="F316" s="97" t="s">
        <v>82</v>
      </c>
      <c r="G316" s="97" t="s">
        <v>93</v>
      </c>
      <c r="H316" s="97"/>
      <c r="I316" s="97"/>
      <c r="J316" s="97"/>
      <c r="K316" s="16" t="s">
        <v>7</v>
      </c>
      <c r="L316" s="22">
        <v>0</v>
      </c>
      <c r="M316" s="22">
        <v>0</v>
      </c>
      <c r="N316" s="22">
        <v>0</v>
      </c>
      <c r="O316" s="22">
        <v>0</v>
      </c>
    </row>
    <row r="317" spans="1:15" s="1" customFormat="1" x14ac:dyDescent="0.2">
      <c r="A317" s="177"/>
      <c r="B317" s="101"/>
      <c r="C317" s="97"/>
      <c r="D317" s="97"/>
      <c r="E317" s="97"/>
      <c r="F317" s="97"/>
      <c r="G317" s="97"/>
      <c r="H317" s="97"/>
      <c r="I317" s="97"/>
      <c r="J317" s="97"/>
      <c r="K317" s="16" t="s">
        <v>8</v>
      </c>
      <c r="L317" s="22">
        <v>0</v>
      </c>
      <c r="M317" s="22">
        <v>0</v>
      </c>
      <c r="N317" s="22">
        <v>0</v>
      </c>
      <c r="O317" s="22">
        <v>0</v>
      </c>
    </row>
    <row r="318" spans="1:15" s="1" customFormat="1" x14ac:dyDescent="0.2">
      <c r="A318" s="177"/>
      <c r="B318" s="101"/>
      <c r="C318" s="97"/>
      <c r="D318" s="97"/>
      <c r="E318" s="97"/>
      <c r="F318" s="97"/>
      <c r="G318" s="97"/>
      <c r="H318" s="97"/>
      <c r="I318" s="97"/>
      <c r="J318" s="97"/>
      <c r="K318" s="16" t="s">
        <v>9</v>
      </c>
      <c r="L318" s="22">
        <v>0</v>
      </c>
      <c r="M318" s="22">
        <v>0</v>
      </c>
      <c r="N318" s="22">
        <v>0</v>
      </c>
      <c r="O318" s="22">
        <v>0</v>
      </c>
    </row>
    <row r="319" spans="1:15" s="1" customFormat="1" x14ac:dyDescent="0.2">
      <c r="A319" s="177"/>
      <c r="B319" s="101"/>
      <c r="C319" s="97"/>
      <c r="D319" s="97"/>
      <c r="E319" s="97"/>
      <c r="F319" s="97"/>
      <c r="G319" s="97"/>
      <c r="H319" s="97"/>
      <c r="I319" s="97"/>
      <c r="J319" s="97"/>
      <c r="K319" s="16" t="s">
        <v>10</v>
      </c>
      <c r="L319" s="22">
        <v>0</v>
      </c>
      <c r="M319" s="22">
        <v>0</v>
      </c>
      <c r="N319" s="22">
        <v>0</v>
      </c>
      <c r="O319" s="22">
        <v>0</v>
      </c>
    </row>
    <row r="320" spans="1:15" s="1" customFormat="1" x14ac:dyDescent="0.2">
      <c r="A320" s="177"/>
      <c r="B320" s="101"/>
      <c r="C320" s="97"/>
      <c r="D320" s="97"/>
      <c r="E320" s="97"/>
      <c r="F320" s="97"/>
      <c r="G320" s="97"/>
      <c r="H320" s="97"/>
      <c r="I320" s="97"/>
      <c r="J320" s="97"/>
      <c r="K320" s="16" t="s">
        <v>11</v>
      </c>
      <c r="L320" s="22">
        <v>0</v>
      </c>
      <c r="M320" s="22">
        <v>0</v>
      </c>
      <c r="N320" s="22">
        <v>0</v>
      </c>
      <c r="O320" s="22">
        <v>0</v>
      </c>
    </row>
    <row r="321" spans="1:15" s="1" customFormat="1" x14ac:dyDescent="0.2">
      <c r="A321" s="177"/>
      <c r="B321" s="101"/>
      <c r="C321" s="97"/>
      <c r="D321" s="97"/>
      <c r="E321" s="97"/>
      <c r="F321" s="97"/>
      <c r="G321" s="97"/>
      <c r="H321" s="97"/>
      <c r="I321" s="97"/>
      <c r="J321" s="97"/>
      <c r="K321" s="16" t="s">
        <v>12</v>
      </c>
      <c r="L321" s="22">
        <v>0</v>
      </c>
      <c r="M321" s="22">
        <v>0</v>
      </c>
      <c r="N321" s="22">
        <v>0</v>
      </c>
      <c r="O321" s="22">
        <v>0</v>
      </c>
    </row>
    <row r="322" spans="1:15" s="1" customFormat="1" x14ac:dyDescent="0.2">
      <c r="A322" s="177"/>
      <c r="B322" s="101"/>
      <c r="C322" s="97"/>
      <c r="D322" s="97"/>
      <c r="E322" s="97"/>
      <c r="F322" s="97"/>
      <c r="G322" s="97"/>
      <c r="H322" s="97"/>
      <c r="I322" s="97"/>
      <c r="J322" s="97"/>
      <c r="K322" s="16" t="s">
        <v>13</v>
      </c>
      <c r="L322" s="22">
        <v>0</v>
      </c>
      <c r="M322" s="22">
        <v>0</v>
      </c>
      <c r="N322" s="22">
        <v>0</v>
      </c>
      <c r="O322" s="22">
        <v>0</v>
      </c>
    </row>
    <row r="323" spans="1:15" s="1" customFormat="1" x14ac:dyDescent="0.2">
      <c r="A323" s="177"/>
      <c r="B323" s="101"/>
      <c r="C323" s="97"/>
      <c r="D323" s="97"/>
      <c r="E323" s="97"/>
      <c r="F323" s="97"/>
      <c r="G323" s="97"/>
      <c r="H323" s="97"/>
      <c r="I323" s="97"/>
      <c r="J323" s="97"/>
      <c r="K323" s="16" t="s">
        <v>14</v>
      </c>
      <c r="L323" s="22">
        <v>0</v>
      </c>
      <c r="M323" s="22">
        <v>0</v>
      </c>
      <c r="N323" s="22">
        <v>0</v>
      </c>
      <c r="O323" s="22">
        <v>0</v>
      </c>
    </row>
    <row r="324" spans="1:15" s="1" customFormat="1" x14ac:dyDescent="0.2">
      <c r="A324" s="177"/>
      <c r="B324" s="101"/>
      <c r="C324" s="97"/>
      <c r="D324" s="97"/>
      <c r="E324" s="97"/>
      <c r="F324" s="97"/>
      <c r="G324" s="97"/>
      <c r="H324" s="97"/>
      <c r="I324" s="97"/>
      <c r="J324" s="97"/>
      <c r="K324" s="16" t="s">
        <v>15</v>
      </c>
      <c r="L324" s="22">
        <v>0</v>
      </c>
      <c r="M324" s="22">
        <v>0</v>
      </c>
      <c r="N324" s="22">
        <v>0</v>
      </c>
      <c r="O324" s="22">
        <v>0</v>
      </c>
    </row>
    <row r="325" spans="1:15" s="1" customFormat="1" x14ac:dyDescent="0.2">
      <c r="A325" s="177"/>
      <c r="B325" s="101"/>
      <c r="C325" s="97"/>
      <c r="D325" s="97"/>
      <c r="E325" s="97"/>
      <c r="F325" s="97"/>
      <c r="G325" s="97"/>
      <c r="H325" s="97"/>
      <c r="I325" s="97"/>
      <c r="J325" s="97"/>
      <c r="K325" s="16" t="s">
        <v>16</v>
      </c>
      <c r="L325" s="22">
        <v>0</v>
      </c>
      <c r="M325" s="22">
        <v>0</v>
      </c>
      <c r="N325" s="22">
        <v>0</v>
      </c>
      <c r="O325" s="22">
        <v>0</v>
      </c>
    </row>
    <row r="326" spans="1:15" s="1" customFormat="1" x14ac:dyDescent="0.2">
      <c r="A326" s="177"/>
      <c r="B326" s="101"/>
      <c r="C326" s="97"/>
      <c r="D326" s="97"/>
      <c r="E326" s="97"/>
      <c r="F326" s="97"/>
      <c r="G326" s="97"/>
      <c r="H326" s="97"/>
      <c r="I326" s="97"/>
      <c r="J326" s="97"/>
      <c r="K326" s="16" t="s">
        <v>17</v>
      </c>
      <c r="L326" s="22">
        <v>0</v>
      </c>
      <c r="M326" s="22">
        <v>20</v>
      </c>
      <c r="N326" s="22">
        <v>0</v>
      </c>
      <c r="O326" s="22">
        <v>0</v>
      </c>
    </row>
    <row r="327" spans="1:15" s="1" customFormat="1" x14ac:dyDescent="0.2">
      <c r="A327" s="177"/>
      <c r="B327" s="101"/>
      <c r="C327" s="97"/>
      <c r="D327" s="97"/>
      <c r="E327" s="97"/>
      <c r="F327" s="97"/>
      <c r="G327" s="97"/>
      <c r="H327" s="97"/>
      <c r="I327" s="97"/>
      <c r="J327" s="97"/>
      <c r="K327" s="16" t="s">
        <v>18</v>
      </c>
      <c r="L327" s="22">
        <v>0</v>
      </c>
      <c r="M327" s="22">
        <v>0</v>
      </c>
      <c r="N327" s="22">
        <v>0</v>
      </c>
      <c r="O327" s="22">
        <v>0</v>
      </c>
    </row>
    <row r="328" spans="1:15" s="1" customFormat="1" x14ac:dyDescent="0.2">
      <c r="A328" s="177"/>
      <c r="B328" s="101"/>
      <c r="C328" s="97"/>
      <c r="D328" s="97"/>
      <c r="E328" s="97"/>
      <c r="F328" s="97"/>
      <c r="G328" s="97"/>
      <c r="H328" s="97"/>
      <c r="I328" s="97"/>
      <c r="J328" s="97"/>
      <c r="K328" s="16" t="s">
        <v>0</v>
      </c>
      <c r="L328" s="18">
        <f>SUM(L316:L327)</f>
        <v>0</v>
      </c>
      <c r="M328" s="18">
        <f t="shared" ref="M328" si="70">SUM(M316:M327)</f>
        <v>20</v>
      </c>
      <c r="N328" s="18">
        <f t="shared" ref="N328" si="71">SUM(N316:N327)</f>
        <v>0</v>
      </c>
      <c r="O328" s="18">
        <f t="shared" ref="O328" si="72">SUM(O316:O327)</f>
        <v>0</v>
      </c>
    </row>
    <row r="329" spans="1:15" s="1" customFormat="1" ht="12.75" customHeight="1" x14ac:dyDescent="0.2">
      <c r="A329" s="177"/>
      <c r="B329" s="101" t="s">
        <v>69</v>
      </c>
      <c r="C329" s="97" t="s">
        <v>213</v>
      </c>
      <c r="D329" s="97" t="s">
        <v>80</v>
      </c>
      <c r="E329" s="97"/>
      <c r="F329" s="97" t="s">
        <v>82</v>
      </c>
      <c r="G329" s="97" t="s">
        <v>93</v>
      </c>
      <c r="H329" s="97"/>
      <c r="I329" s="97"/>
      <c r="J329" s="97"/>
      <c r="K329" s="16" t="s">
        <v>7</v>
      </c>
      <c r="L329" s="22">
        <v>0</v>
      </c>
      <c r="M329" s="22">
        <v>0</v>
      </c>
      <c r="N329" s="22">
        <v>2</v>
      </c>
      <c r="O329" s="22">
        <v>0</v>
      </c>
    </row>
    <row r="330" spans="1:15" s="1" customFormat="1" x14ac:dyDescent="0.2">
      <c r="A330" s="177"/>
      <c r="B330" s="101"/>
      <c r="C330" s="97"/>
      <c r="D330" s="97"/>
      <c r="E330" s="97"/>
      <c r="F330" s="97"/>
      <c r="G330" s="97"/>
      <c r="H330" s="97"/>
      <c r="I330" s="97"/>
      <c r="J330" s="97"/>
      <c r="K330" s="16" t="s">
        <v>8</v>
      </c>
      <c r="L330" s="22">
        <v>0</v>
      </c>
      <c r="M330" s="22">
        <v>0</v>
      </c>
      <c r="N330" s="22">
        <v>6</v>
      </c>
      <c r="O330" s="22">
        <v>0</v>
      </c>
    </row>
    <row r="331" spans="1:15" s="1" customFormat="1" x14ac:dyDescent="0.2">
      <c r="A331" s="177"/>
      <c r="B331" s="101"/>
      <c r="C331" s="97"/>
      <c r="D331" s="97"/>
      <c r="E331" s="97"/>
      <c r="F331" s="97"/>
      <c r="G331" s="97"/>
      <c r="H331" s="97"/>
      <c r="I331" s="97"/>
      <c r="J331" s="97"/>
      <c r="K331" s="16" t="s">
        <v>9</v>
      </c>
      <c r="L331" s="22">
        <v>0</v>
      </c>
      <c r="M331" s="22">
        <v>0</v>
      </c>
      <c r="N331" s="22">
        <v>4</v>
      </c>
      <c r="O331" s="22">
        <v>0</v>
      </c>
    </row>
    <row r="332" spans="1:15" s="1" customFormat="1" x14ac:dyDescent="0.2">
      <c r="A332" s="177"/>
      <c r="B332" s="101"/>
      <c r="C332" s="97"/>
      <c r="D332" s="97"/>
      <c r="E332" s="97"/>
      <c r="F332" s="97"/>
      <c r="G332" s="97"/>
      <c r="H332" s="97"/>
      <c r="I332" s="97"/>
      <c r="J332" s="97"/>
      <c r="K332" s="16" t="s">
        <v>10</v>
      </c>
      <c r="L332" s="22">
        <v>0</v>
      </c>
      <c r="M332" s="22">
        <v>0</v>
      </c>
      <c r="N332" s="22">
        <v>4</v>
      </c>
      <c r="O332" s="22">
        <v>0</v>
      </c>
    </row>
    <row r="333" spans="1:15" s="1" customFormat="1" x14ac:dyDescent="0.2">
      <c r="A333" s="177"/>
      <c r="B333" s="101"/>
      <c r="C333" s="97"/>
      <c r="D333" s="97"/>
      <c r="E333" s="97"/>
      <c r="F333" s="97"/>
      <c r="G333" s="97"/>
      <c r="H333" s="97"/>
      <c r="I333" s="97"/>
      <c r="J333" s="97"/>
      <c r="K333" s="16" t="s">
        <v>11</v>
      </c>
      <c r="L333" s="22">
        <v>0</v>
      </c>
      <c r="M333" s="22">
        <v>0</v>
      </c>
      <c r="N333" s="22">
        <v>3</v>
      </c>
      <c r="O333" s="22">
        <v>0</v>
      </c>
    </row>
    <row r="334" spans="1:15" s="1" customFormat="1" x14ac:dyDescent="0.2">
      <c r="A334" s="177"/>
      <c r="B334" s="101"/>
      <c r="C334" s="97"/>
      <c r="D334" s="97"/>
      <c r="E334" s="97"/>
      <c r="F334" s="97"/>
      <c r="G334" s="97"/>
      <c r="H334" s="97"/>
      <c r="I334" s="97"/>
      <c r="J334" s="97"/>
      <c r="K334" s="16" t="s">
        <v>12</v>
      </c>
      <c r="L334" s="22">
        <v>0</v>
      </c>
      <c r="M334" s="22">
        <v>0</v>
      </c>
      <c r="N334" s="22">
        <v>2</v>
      </c>
      <c r="O334" s="22">
        <v>0</v>
      </c>
    </row>
    <row r="335" spans="1:15" s="1" customFormat="1" x14ac:dyDescent="0.2">
      <c r="A335" s="177"/>
      <c r="B335" s="101"/>
      <c r="C335" s="97"/>
      <c r="D335" s="97"/>
      <c r="E335" s="97"/>
      <c r="F335" s="97"/>
      <c r="G335" s="97"/>
      <c r="H335" s="97"/>
      <c r="I335" s="97"/>
      <c r="J335" s="97"/>
      <c r="K335" s="16" t="s">
        <v>13</v>
      </c>
      <c r="L335" s="22">
        <v>0</v>
      </c>
      <c r="M335" s="22">
        <v>0</v>
      </c>
      <c r="N335" s="22">
        <v>2</v>
      </c>
      <c r="O335" s="22">
        <v>0</v>
      </c>
    </row>
    <row r="336" spans="1:15" s="1" customFormat="1" x14ac:dyDescent="0.2">
      <c r="A336" s="177"/>
      <c r="B336" s="101"/>
      <c r="C336" s="97"/>
      <c r="D336" s="97"/>
      <c r="E336" s="97"/>
      <c r="F336" s="97"/>
      <c r="G336" s="97"/>
      <c r="H336" s="97"/>
      <c r="I336" s="97"/>
      <c r="J336" s="97"/>
      <c r="K336" s="16" t="s">
        <v>14</v>
      </c>
      <c r="L336" s="22">
        <v>0</v>
      </c>
      <c r="M336" s="22">
        <v>0</v>
      </c>
      <c r="N336" s="22">
        <v>2</v>
      </c>
      <c r="O336" s="22">
        <v>0</v>
      </c>
    </row>
    <row r="337" spans="1:15" s="1" customFormat="1" x14ac:dyDescent="0.2">
      <c r="A337" s="177"/>
      <c r="B337" s="101"/>
      <c r="C337" s="97"/>
      <c r="D337" s="97"/>
      <c r="E337" s="97"/>
      <c r="F337" s="97"/>
      <c r="G337" s="97"/>
      <c r="H337" s="97"/>
      <c r="I337" s="97"/>
      <c r="J337" s="97"/>
      <c r="K337" s="16" t="s">
        <v>15</v>
      </c>
      <c r="L337" s="22">
        <v>0</v>
      </c>
      <c r="M337" s="22">
        <v>0</v>
      </c>
      <c r="N337" s="22">
        <v>2</v>
      </c>
      <c r="O337" s="22">
        <v>0</v>
      </c>
    </row>
    <row r="338" spans="1:15" s="1" customFormat="1" x14ac:dyDescent="0.2">
      <c r="A338" s="177"/>
      <c r="B338" s="101"/>
      <c r="C338" s="97"/>
      <c r="D338" s="97"/>
      <c r="E338" s="97"/>
      <c r="F338" s="97"/>
      <c r="G338" s="97"/>
      <c r="H338" s="97"/>
      <c r="I338" s="97"/>
      <c r="J338" s="97"/>
      <c r="K338" s="16" t="s">
        <v>16</v>
      </c>
      <c r="L338" s="22">
        <v>0</v>
      </c>
      <c r="M338" s="22">
        <v>0</v>
      </c>
      <c r="N338" s="22">
        <v>2</v>
      </c>
      <c r="O338" s="22">
        <v>0</v>
      </c>
    </row>
    <row r="339" spans="1:15" s="1" customFormat="1" x14ac:dyDescent="0.2">
      <c r="A339" s="177"/>
      <c r="B339" s="101"/>
      <c r="C339" s="97"/>
      <c r="D339" s="97"/>
      <c r="E339" s="97"/>
      <c r="F339" s="97"/>
      <c r="G339" s="97"/>
      <c r="H339" s="97"/>
      <c r="I339" s="97"/>
      <c r="J339" s="97"/>
      <c r="K339" s="16" t="s">
        <v>17</v>
      </c>
      <c r="L339" s="22">
        <v>0</v>
      </c>
      <c r="M339" s="22">
        <v>0</v>
      </c>
      <c r="N339" s="22">
        <v>2</v>
      </c>
      <c r="O339" s="22">
        <v>0</v>
      </c>
    </row>
    <row r="340" spans="1:15" s="1" customFormat="1" x14ac:dyDescent="0.2">
      <c r="A340" s="177"/>
      <c r="B340" s="101"/>
      <c r="C340" s="97"/>
      <c r="D340" s="97"/>
      <c r="E340" s="97"/>
      <c r="F340" s="97"/>
      <c r="G340" s="97"/>
      <c r="H340" s="97"/>
      <c r="I340" s="97"/>
      <c r="J340" s="97"/>
      <c r="K340" s="16" t="s">
        <v>18</v>
      </c>
      <c r="L340" s="22">
        <v>0</v>
      </c>
      <c r="M340" s="22">
        <v>0</v>
      </c>
      <c r="N340" s="22">
        <v>1</v>
      </c>
      <c r="O340" s="22">
        <v>0</v>
      </c>
    </row>
    <row r="341" spans="1:15" s="1" customFormat="1" x14ac:dyDescent="0.2">
      <c r="A341" s="177"/>
      <c r="B341" s="101"/>
      <c r="C341" s="97"/>
      <c r="D341" s="97"/>
      <c r="E341" s="97"/>
      <c r="F341" s="97"/>
      <c r="G341" s="97"/>
      <c r="H341" s="97"/>
      <c r="I341" s="97"/>
      <c r="J341" s="97"/>
      <c r="K341" s="16" t="s">
        <v>0</v>
      </c>
      <c r="L341" s="18">
        <f>SUM(L329:L340)</f>
        <v>0</v>
      </c>
      <c r="M341" s="18">
        <f t="shared" ref="M341" si="73">SUM(M329:M340)</f>
        <v>0</v>
      </c>
      <c r="N341" s="18">
        <f t="shared" ref="N341" si="74">SUM(N329:N340)</f>
        <v>32</v>
      </c>
      <c r="O341" s="18">
        <f t="shared" ref="O341" si="75">SUM(O329:O340)</f>
        <v>0</v>
      </c>
    </row>
    <row r="342" spans="1:15" s="1" customFormat="1" ht="12.75" customHeight="1" x14ac:dyDescent="0.2">
      <c r="A342" s="177"/>
      <c r="B342" s="101" t="s">
        <v>69</v>
      </c>
      <c r="C342" s="97" t="s">
        <v>214</v>
      </c>
      <c r="D342" s="97" t="s">
        <v>119</v>
      </c>
      <c r="E342" s="97" t="s">
        <v>120</v>
      </c>
      <c r="F342" s="97" t="s">
        <v>82</v>
      </c>
      <c r="G342" s="97" t="s">
        <v>95</v>
      </c>
      <c r="H342" s="97"/>
      <c r="I342" s="97"/>
      <c r="J342" s="97"/>
      <c r="K342" s="16" t="s">
        <v>7</v>
      </c>
      <c r="L342" s="22">
        <v>0</v>
      </c>
      <c r="M342" s="22">
        <v>0</v>
      </c>
      <c r="N342" s="22">
        <v>6.75</v>
      </c>
      <c r="O342" s="22">
        <v>0</v>
      </c>
    </row>
    <row r="343" spans="1:15" s="1" customFormat="1" x14ac:dyDescent="0.2">
      <c r="A343" s="177"/>
      <c r="B343" s="101"/>
      <c r="C343" s="97"/>
      <c r="D343" s="97"/>
      <c r="E343" s="97"/>
      <c r="F343" s="97"/>
      <c r="G343" s="97"/>
      <c r="H343" s="97"/>
      <c r="I343" s="97"/>
      <c r="J343" s="97"/>
      <c r="K343" s="16" t="s">
        <v>8</v>
      </c>
      <c r="L343" s="22">
        <v>0</v>
      </c>
      <c r="M343" s="22">
        <v>0</v>
      </c>
      <c r="N343" s="22">
        <v>8.25</v>
      </c>
      <c r="O343" s="22">
        <v>0</v>
      </c>
    </row>
    <row r="344" spans="1:15" s="1" customFormat="1" x14ac:dyDescent="0.2">
      <c r="A344" s="177"/>
      <c r="B344" s="101"/>
      <c r="C344" s="97"/>
      <c r="D344" s="97"/>
      <c r="E344" s="97"/>
      <c r="F344" s="97"/>
      <c r="G344" s="97"/>
      <c r="H344" s="97"/>
      <c r="I344" s="97"/>
      <c r="J344" s="97"/>
      <c r="K344" s="16" t="s">
        <v>9</v>
      </c>
      <c r="L344" s="22">
        <v>0</v>
      </c>
      <c r="M344" s="22">
        <v>0</v>
      </c>
      <c r="N344" s="22">
        <v>9.75</v>
      </c>
      <c r="O344" s="22">
        <v>0</v>
      </c>
    </row>
    <row r="345" spans="1:15" s="1" customFormat="1" x14ac:dyDescent="0.2">
      <c r="A345" s="177"/>
      <c r="B345" s="101"/>
      <c r="C345" s="97"/>
      <c r="D345" s="97"/>
      <c r="E345" s="97"/>
      <c r="F345" s="97"/>
      <c r="G345" s="97"/>
      <c r="H345" s="97"/>
      <c r="I345" s="97"/>
      <c r="J345" s="97"/>
      <c r="K345" s="16" t="s">
        <v>10</v>
      </c>
      <c r="L345" s="22">
        <v>0</v>
      </c>
      <c r="M345" s="22">
        <v>0</v>
      </c>
      <c r="N345" s="22">
        <v>7.5</v>
      </c>
      <c r="O345" s="22">
        <v>0</v>
      </c>
    </row>
    <row r="346" spans="1:15" s="1" customFormat="1" x14ac:dyDescent="0.2">
      <c r="A346" s="177"/>
      <c r="B346" s="101"/>
      <c r="C346" s="97"/>
      <c r="D346" s="97"/>
      <c r="E346" s="97"/>
      <c r="F346" s="97"/>
      <c r="G346" s="97"/>
      <c r="H346" s="97"/>
      <c r="I346" s="97"/>
      <c r="J346" s="97"/>
      <c r="K346" s="16" t="s">
        <v>11</v>
      </c>
      <c r="L346" s="22">
        <v>0</v>
      </c>
      <c r="M346" s="22">
        <v>0</v>
      </c>
      <c r="N346" s="22">
        <v>6.75</v>
      </c>
      <c r="O346" s="22">
        <v>0</v>
      </c>
    </row>
    <row r="347" spans="1:15" s="1" customFormat="1" x14ac:dyDescent="0.2">
      <c r="A347" s="177"/>
      <c r="B347" s="101"/>
      <c r="C347" s="97"/>
      <c r="D347" s="97"/>
      <c r="E347" s="97"/>
      <c r="F347" s="97"/>
      <c r="G347" s="97"/>
      <c r="H347" s="97"/>
      <c r="I347" s="97"/>
      <c r="J347" s="97"/>
      <c r="K347" s="16" t="s">
        <v>12</v>
      </c>
      <c r="L347" s="22">
        <v>0</v>
      </c>
      <c r="M347" s="22">
        <v>0</v>
      </c>
      <c r="N347" s="22">
        <v>9.75</v>
      </c>
      <c r="O347" s="22">
        <v>0</v>
      </c>
    </row>
    <row r="348" spans="1:15" s="1" customFormat="1" x14ac:dyDescent="0.2">
      <c r="A348" s="177"/>
      <c r="B348" s="101"/>
      <c r="C348" s="97"/>
      <c r="D348" s="97"/>
      <c r="E348" s="97"/>
      <c r="F348" s="97"/>
      <c r="G348" s="97"/>
      <c r="H348" s="97"/>
      <c r="I348" s="97"/>
      <c r="J348" s="97"/>
      <c r="K348" s="16" t="s">
        <v>13</v>
      </c>
      <c r="L348" s="22">
        <v>0</v>
      </c>
      <c r="M348" s="22">
        <v>0</v>
      </c>
      <c r="N348" s="22">
        <v>1.5</v>
      </c>
      <c r="O348" s="22">
        <v>0</v>
      </c>
    </row>
    <row r="349" spans="1:15" s="1" customFormat="1" x14ac:dyDescent="0.2">
      <c r="A349" s="177"/>
      <c r="B349" s="101"/>
      <c r="C349" s="97"/>
      <c r="D349" s="97"/>
      <c r="E349" s="97"/>
      <c r="F349" s="97"/>
      <c r="G349" s="97"/>
      <c r="H349" s="97"/>
      <c r="I349" s="97"/>
      <c r="J349" s="97"/>
      <c r="K349" s="16" t="s">
        <v>14</v>
      </c>
      <c r="L349" s="22">
        <v>0</v>
      </c>
      <c r="M349" s="22">
        <v>0</v>
      </c>
      <c r="N349" s="22">
        <v>3</v>
      </c>
      <c r="O349" s="22">
        <v>0</v>
      </c>
    </row>
    <row r="350" spans="1:15" s="1" customFormat="1" x14ac:dyDescent="0.2">
      <c r="A350" s="177"/>
      <c r="B350" s="101"/>
      <c r="C350" s="97"/>
      <c r="D350" s="97"/>
      <c r="E350" s="97"/>
      <c r="F350" s="97"/>
      <c r="G350" s="97"/>
      <c r="H350" s="97"/>
      <c r="I350" s="97"/>
      <c r="J350" s="97"/>
      <c r="K350" s="16" t="s">
        <v>15</v>
      </c>
      <c r="L350" s="22">
        <v>0</v>
      </c>
      <c r="M350" s="22">
        <v>0</v>
      </c>
      <c r="N350" s="22">
        <v>11.25</v>
      </c>
      <c r="O350" s="22">
        <v>0</v>
      </c>
    </row>
    <row r="351" spans="1:15" s="1" customFormat="1" x14ac:dyDescent="0.2">
      <c r="A351" s="177"/>
      <c r="B351" s="101"/>
      <c r="C351" s="97"/>
      <c r="D351" s="97"/>
      <c r="E351" s="97"/>
      <c r="F351" s="97"/>
      <c r="G351" s="97"/>
      <c r="H351" s="97"/>
      <c r="I351" s="97"/>
      <c r="J351" s="97"/>
      <c r="K351" s="16" t="s">
        <v>16</v>
      </c>
      <c r="L351" s="22">
        <v>0</v>
      </c>
      <c r="M351" s="22">
        <v>0</v>
      </c>
      <c r="N351" s="22">
        <v>9</v>
      </c>
      <c r="O351" s="22">
        <v>0</v>
      </c>
    </row>
    <row r="352" spans="1:15" s="1" customFormat="1" x14ac:dyDescent="0.2">
      <c r="A352" s="177"/>
      <c r="B352" s="101"/>
      <c r="C352" s="97"/>
      <c r="D352" s="97"/>
      <c r="E352" s="97"/>
      <c r="F352" s="97"/>
      <c r="G352" s="97"/>
      <c r="H352" s="97"/>
      <c r="I352" s="97"/>
      <c r="J352" s="97"/>
      <c r="K352" s="16" t="s">
        <v>17</v>
      </c>
      <c r="L352" s="22">
        <v>0</v>
      </c>
      <c r="M352" s="22">
        <v>75</v>
      </c>
      <c r="N352" s="22">
        <v>9</v>
      </c>
      <c r="O352" s="22">
        <v>0</v>
      </c>
    </row>
    <row r="353" spans="1:21" x14ac:dyDescent="0.2">
      <c r="A353" s="177"/>
      <c r="B353" s="101"/>
      <c r="C353" s="97"/>
      <c r="D353" s="97"/>
      <c r="E353" s="97"/>
      <c r="F353" s="97"/>
      <c r="G353" s="97"/>
      <c r="H353" s="97"/>
      <c r="I353" s="97"/>
      <c r="J353" s="97"/>
      <c r="K353" s="16" t="s">
        <v>18</v>
      </c>
      <c r="L353" s="22">
        <v>0</v>
      </c>
      <c r="M353" s="22">
        <v>0</v>
      </c>
      <c r="N353" s="22">
        <v>9.75</v>
      </c>
      <c r="O353" s="22">
        <v>0</v>
      </c>
      <c r="P353" s="1"/>
      <c r="Q353" s="1"/>
      <c r="R353" s="1"/>
      <c r="S353" s="1"/>
      <c r="T353" s="1"/>
      <c r="U353" s="1"/>
    </row>
    <row r="354" spans="1:21" x14ac:dyDescent="0.2">
      <c r="A354" s="177"/>
      <c r="B354" s="101"/>
      <c r="C354" s="97"/>
      <c r="D354" s="97"/>
      <c r="E354" s="97"/>
      <c r="F354" s="97"/>
      <c r="G354" s="97"/>
      <c r="H354" s="97"/>
      <c r="I354" s="97"/>
      <c r="J354" s="97"/>
      <c r="K354" s="16" t="s">
        <v>0</v>
      </c>
      <c r="L354" s="18">
        <f>SUM(L342:L353)</f>
        <v>0</v>
      </c>
      <c r="M354" s="18">
        <f t="shared" ref="M354" si="76">SUM(M342:M353)</f>
        <v>75</v>
      </c>
      <c r="N354" s="18">
        <f t="shared" ref="N354" si="77">SUM(N342:N353)</f>
        <v>92.25</v>
      </c>
      <c r="O354" s="18">
        <f t="shared" ref="O354" si="78">SUM(O342:O353)</f>
        <v>0</v>
      </c>
      <c r="P354" s="1"/>
      <c r="Q354" s="1"/>
      <c r="R354" s="1"/>
      <c r="S354" s="1"/>
      <c r="T354" s="1"/>
      <c r="U354" s="1"/>
    </row>
    <row r="355" spans="1:21" ht="12.75" customHeight="1" x14ac:dyDescent="0.2">
      <c r="P355" s="1"/>
      <c r="Q355" s="1"/>
      <c r="R355" s="1"/>
      <c r="S355" s="1"/>
      <c r="T355" s="1"/>
      <c r="U355" s="1"/>
    </row>
    <row r="356" spans="1:21" x14ac:dyDescent="0.2">
      <c r="P356" s="1"/>
      <c r="Q356" s="1"/>
      <c r="R356" s="1"/>
      <c r="S356" s="1"/>
      <c r="T356" s="1"/>
      <c r="U356" s="1"/>
    </row>
    <row r="357" spans="1:21" x14ac:dyDescent="0.2">
      <c r="P357" s="1"/>
      <c r="Q357" s="1"/>
      <c r="R357" s="1"/>
      <c r="S357" s="1"/>
      <c r="T357" s="1"/>
      <c r="U357" s="1"/>
    </row>
    <row r="358" spans="1:21" x14ac:dyDescent="0.2">
      <c r="P358" s="1"/>
      <c r="Q358" s="1"/>
      <c r="R358" s="1"/>
      <c r="S358" s="1"/>
      <c r="T358" s="1"/>
      <c r="U358" s="1"/>
    </row>
    <row r="359" spans="1:21" x14ac:dyDescent="0.2">
      <c r="P359" s="1"/>
      <c r="Q359" s="1"/>
      <c r="R359" s="1"/>
      <c r="S359" s="1"/>
      <c r="T359" s="1"/>
      <c r="U359" s="1"/>
    </row>
    <row r="360" spans="1:21" x14ac:dyDescent="0.2">
      <c r="P360" s="1"/>
      <c r="Q360" s="1"/>
      <c r="R360" s="1"/>
      <c r="S360" s="1"/>
      <c r="T360" s="1"/>
      <c r="U360" s="1"/>
    </row>
    <row r="361" spans="1:21" x14ac:dyDescent="0.2">
      <c r="P361" s="1"/>
      <c r="Q361" s="1"/>
      <c r="R361" s="1"/>
      <c r="S361" s="1"/>
      <c r="T361" s="1"/>
      <c r="U361" s="1"/>
    </row>
    <row r="362" spans="1:21" x14ac:dyDescent="0.2">
      <c r="P362" s="1"/>
      <c r="Q362" s="1"/>
      <c r="R362" s="1"/>
      <c r="S362" s="1"/>
      <c r="T362" s="1"/>
      <c r="U362" s="1"/>
    </row>
    <row r="363" spans="1:21" x14ac:dyDescent="0.2">
      <c r="P363" s="1"/>
      <c r="Q363" s="1"/>
      <c r="R363" s="1"/>
      <c r="S363" s="1"/>
      <c r="T363" s="1"/>
      <c r="U363" s="1"/>
    </row>
    <row r="364" spans="1:21" x14ac:dyDescent="0.2">
      <c r="P364" s="1"/>
      <c r="Q364" s="1"/>
      <c r="R364" s="1"/>
      <c r="S364" s="1"/>
      <c r="T364" s="1"/>
      <c r="U364" s="1"/>
    </row>
    <row r="365" spans="1:21" x14ac:dyDescent="0.2">
      <c r="P365" s="1"/>
      <c r="Q365" s="1"/>
      <c r="R365" s="1"/>
      <c r="S365" s="1"/>
      <c r="T365" s="1"/>
      <c r="U365" s="1"/>
    </row>
    <row r="366" spans="1:21" x14ac:dyDescent="0.2">
      <c r="P366" s="1"/>
      <c r="Q366" s="1"/>
      <c r="R366" s="1"/>
      <c r="S366" s="1"/>
      <c r="T366" s="1"/>
      <c r="U366" s="1"/>
    </row>
    <row r="367" spans="1:21" x14ac:dyDescent="0.2">
      <c r="P367" s="1"/>
      <c r="Q367" s="1"/>
      <c r="R367" s="1"/>
      <c r="S367" s="1"/>
      <c r="T367" s="1"/>
      <c r="U367" s="1"/>
    </row>
    <row r="368" spans="1:21" ht="12.75" customHeight="1" x14ac:dyDescent="0.2">
      <c r="P368" s="1"/>
      <c r="Q368" s="1"/>
      <c r="R368" s="1"/>
      <c r="S368" s="1"/>
      <c r="T368" s="1"/>
      <c r="U368" s="1"/>
    </row>
    <row r="369" s="1" customFormat="1" x14ac:dyDescent="0.2"/>
    <row r="370" s="1" customFormat="1" x14ac:dyDescent="0.2"/>
    <row r="371" s="1" customFormat="1" x14ac:dyDescent="0.2"/>
    <row r="372" s="1" customFormat="1" x14ac:dyDescent="0.2"/>
    <row r="373" s="1" customFormat="1" x14ac:dyDescent="0.2"/>
    <row r="374" s="1" customFormat="1" x14ac:dyDescent="0.2"/>
    <row r="375" s="1" customFormat="1" x14ac:dyDescent="0.2"/>
    <row r="376" s="1" customFormat="1" x14ac:dyDescent="0.2"/>
    <row r="377" s="1" customFormat="1" x14ac:dyDescent="0.2"/>
    <row r="378" s="1" customFormat="1" x14ac:dyDescent="0.2"/>
    <row r="379" s="1" customFormat="1" x14ac:dyDescent="0.2"/>
    <row r="380" s="1" customFormat="1" x14ac:dyDescent="0.2"/>
    <row r="381" s="1" customFormat="1" ht="12.75" customHeight="1" x14ac:dyDescent="0.2"/>
    <row r="382" s="1" customFormat="1" x14ac:dyDescent="0.2"/>
    <row r="383" s="1" customFormat="1" x14ac:dyDescent="0.2"/>
    <row r="384" s="1" customFormat="1" x14ac:dyDescent="0.2"/>
    <row r="385" s="1" customFormat="1" x14ac:dyDescent="0.2"/>
    <row r="386" s="1" customFormat="1" x14ac:dyDescent="0.2"/>
    <row r="387" s="1" customFormat="1" x14ac:dyDescent="0.2"/>
    <row r="388" s="1" customFormat="1" x14ac:dyDescent="0.2"/>
    <row r="389" s="1" customFormat="1" x14ac:dyDescent="0.2"/>
    <row r="390" s="1" customFormat="1" x14ac:dyDescent="0.2"/>
    <row r="391" s="1" customFormat="1" x14ac:dyDescent="0.2"/>
    <row r="392" s="1" customFormat="1" x14ac:dyDescent="0.2"/>
    <row r="393" s="1" customFormat="1" x14ac:dyDescent="0.2"/>
    <row r="394" s="1" customFormat="1" ht="12.75" customHeight="1" x14ac:dyDescent="0.2"/>
    <row r="395" s="1" customFormat="1" x14ac:dyDescent="0.2"/>
    <row r="396" s="1" customFormat="1" x14ac:dyDescent="0.2"/>
    <row r="397" s="1" customFormat="1" x14ac:dyDescent="0.2"/>
    <row r="398" s="1" customFormat="1" x14ac:dyDescent="0.2"/>
    <row r="399" s="1" customFormat="1" x14ac:dyDescent="0.2"/>
    <row r="400" s="1" customFormat="1" x14ac:dyDescent="0.2"/>
    <row r="401" s="1" customFormat="1" x14ac:dyDescent="0.2"/>
    <row r="402" s="1" customFormat="1" x14ac:dyDescent="0.2"/>
    <row r="403" s="1" customFormat="1" x14ac:dyDescent="0.2"/>
    <row r="404" s="1" customFormat="1" x14ac:dyDescent="0.2"/>
    <row r="405" s="1" customFormat="1" x14ac:dyDescent="0.2"/>
    <row r="406" s="1" customFormat="1" x14ac:dyDescent="0.2"/>
    <row r="407" s="1" customFormat="1" ht="12.75" customHeight="1" x14ac:dyDescent="0.2"/>
    <row r="408" s="1" customFormat="1" x14ac:dyDescent="0.2"/>
    <row r="409" s="1" customFormat="1" x14ac:dyDescent="0.2"/>
    <row r="410" s="1" customFormat="1" x14ac:dyDescent="0.2"/>
    <row r="411" s="1" customFormat="1" x14ac:dyDescent="0.2"/>
    <row r="412" s="1" customFormat="1" x14ac:dyDescent="0.2"/>
    <row r="413" s="1" customFormat="1" x14ac:dyDescent="0.2"/>
    <row r="414" s="1" customFormat="1" x14ac:dyDescent="0.2"/>
    <row r="415" s="1" customFormat="1" x14ac:dyDescent="0.2"/>
    <row r="416" s="1" customFormat="1" x14ac:dyDescent="0.2"/>
    <row r="417" s="1" customFormat="1" x14ac:dyDescent="0.2"/>
    <row r="418" s="1" customFormat="1" x14ac:dyDescent="0.2"/>
    <row r="419" s="1" customFormat="1" x14ac:dyDescent="0.2"/>
    <row r="420" s="1" customFormat="1" ht="12.75" customHeight="1" x14ac:dyDescent="0.2"/>
    <row r="421" s="1" customFormat="1" x14ac:dyDescent="0.2"/>
    <row r="422" s="1" customFormat="1" x14ac:dyDescent="0.2"/>
    <row r="423" s="1" customFormat="1" x14ac:dyDescent="0.2"/>
    <row r="424" s="1" customFormat="1" x14ac:dyDescent="0.2"/>
    <row r="425" s="1" customFormat="1" x14ac:dyDescent="0.2"/>
    <row r="426" s="1" customFormat="1" x14ac:dyDescent="0.2"/>
    <row r="427" s="1" customFormat="1" x14ac:dyDescent="0.2"/>
    <row r="428" s="1" customFormat="1" x14ac:dyDescent="0.2"/>
    <row r="429" s="1" customFormat="1" x14ac:dyDescent="0.2"/>
    <row r="430" s="1" customFormat="1" x14ac:dyDescent="0.2"/>
    <row r="431" s="1" customFormat="1" x14ac:dyDescent="0.2"/>
    <row r="432" s="1" customFormat="1" x14ac:dyDescent="0.2"/>
    <row r="433" s="1" customFormat="1" ht="12.75" customHeight="1" x14ac:dyDescent="0.2"/>
    <row r="434" s="1" customFormat="1" x14ac:dyDescent="0.2"/>
    <row r="435" s="1" customFormat="1" x14ac:dyDescent="0.2"/>
    <row r="436" s="1" customFormat="1" x14ac:dyDescent="0.2"/>
    <row r="437" s="1" customFormat="1" x14ac:dyDescent="0.2"/>
    <row r="438" s="1" customFormat="1" x14ac:dyDescent="0.2"/>
    <row r="439" s="1" customFormat="1" x14ac:dyDescent="0.2"/>
    <row r="440" s="1" customFormat="1" x14ac:dyDescent="0.2"/>
    <row r="441" s="1" customFormat="1" x14ac:dyDescent="0.2"/>
    <row r="442" s="1" customFormat="1" x14ac:dyDescent="0.2"/>
    <row r="443" s="1" customFormat="1" x14ac:dyDescent="0.2"/>
    <row r="444" s="1" customFormat="1" x14ac:dyDescent="0.2"/>
    <row r="445" s="1" customFormat="1" x14ac:dyDescent="0.2"/>
    <row r="446" s="1" customFormat="1" ht="12.75" customHeight="1" x14ac:dyDescent="0.2"/>
    <row r="447" s="1" customFormat="1" x14ac:dyDescent="0.2"/>
    <row r="448" s="1" customFormat="1" x14ac:dyDescent="0.2"/>
    <row r="449" s="1" customFormat="1" x14ac:dyDescent="0.2"/>
    <row r="450" s="1" customFormat="1" x14ac:dyDescent="0.2"/>
    <row r="451" s="1" customFormat="1" x14ac:dyDescent="0.2"/>
    <row r="452" s="1" customFormat="1" x14ac:dyDescent="0.2"/>
    <row r="453" s="1" customFormat="1" x14ac:dyDescent="0.2"/>
    <row r="454" s="1" customFormat="1" x14ac:dyDescent="0.2"/>
    <row r="455" s="1" customFormat="1" x14ac:dyDescent="0.2"/>
    <row r="456" s="1" customFormat="1" x14ac:dyDescent="0.2"/>
    <row r="457" s="1" customFormat="1" x14ac:dyDescent="0.2"/>
    <row r="458" s="1" customFormat="1" x14ac:dyDescent="0.2"/>
    <row r="459" s="1" customFormat="1" ht="12.75" customHeight="1" x14ac:dyDescent="0.2"/>
    <row r="460" s="1" customFormat="1" x14ac:dyDescent="0.2"/>
    <row r="461" s="1" customFormat="1" x14ac:dyDescent="0.2"/>
    <row r="462" s="1" customFormat="1" x14ac:dyDescent="0.2"/>
    <row r="463" s="1" customFormat="1" x14ac:dyDescent="0.2"/>
    <row r="464" s="1" customFormat="1" x14ac:dyDescent="0.2"/>
    <row r="465" s="1" customFormat="1" x14ac:dyDescent="0.2"/>
    <row r="466" s="1" customFormat="1" x14ac:dyDescent="0.2"/>
    <row r="467" s="1" customFormat="1" x14ac:dyDescent="0.2"/>
    <row r="468" s="1" customFormat="1" x14ac:dyDescent="0.2"/>
    <row r="469" s="1" customFormat="1" x14ac:dyDescent="0.2"/>
    <row r="470" s="1" customFormat="1" x14ac:dyDescent="0.2"/>
    <row r="471" s="1" customFormat="1" x14ac:dyDescent="0.2"/>
    <row r="472" s="1" customFormat="1" ht="12.75" customHeight="1" x14ac:dyDescent="0.2"/>
    <row r="473" s="1" customFormat="1" x14ac:dyDescent="0.2"/>
    <row r="474" s="1" customFormat="1" x14ac:dyDescent="0.2"/>
    <row r="475" s="1" customFormat="1" x14ac:dyDescent="0.2"/>
    <row r="476" s="1" customFormat="1" x14ac:dyDescent="0.2"/>
    <row r="477" s="1" customFormat="1" x14ac:dyDescent="0.2"/>
    <row r="478" s="1" customFormat="1" x14ac:dyDescent="0.2"/>
    <row r="479" s="1" customFormat="1" x14ac:dyDescent="0.2"/>
    <row r="480" s="1" customFormat="1" x14ac:dyDescent="0.2"/>
    <row r="481" s="1" customFormat="1" x14ac:dyDescent="0.2"/>
    <row r="482" s="1" customFormat="1" x14ac:dyDescent="0.2"/>
    <row r="483" s="1" customFormat="1" x14ac:dyDescent="0.2"/>
    <row r="484" s="1" customFormat="1" x14ac:dyDescent="0.2"/>
    <row r="485" s="1" customFormat="1" ht="12.75" customHeight="1" x14ac:dyDescent="0.2"/>
    <row r="486" s="1" customFormat="1" x14ac:dyDescent="0.2"/>
    <row r="487" s="1" customFormat="1" x14ac:dyDescent="0.2"/>
    <row r="488" s="1" customFormat="1" x14ac:dyDescent="0.2"/>
    <row r="489" s="1" customFormat="1" x14ac:dyDescent="0.2"/>
    <row r="490" s="1" customFormat="1" x14ac:dyDescent="0.2"/>
    <row r="491" s="1" customFormat="1" x14ac:dyDescent="0.2"/>
    <row r="492" s="1" customFormat="1" x14ac:dyDescent="0.2"/>
    <row r="493" s="1" customFormat="1" x14ac:dyDescent="0.2"/>
    <row r="494" s="1" customFormat="1" x14ac:dyDescent="0.2"/>
    <row r="495" s="1" customFormat="1" x14ac:dyDescent="0.2"/>
    <row r="496" s="1" customFormat="1" x14ac:dyDescent="0.2"/>
    <row r="497" s="1" customFormat="1" x14ac:dyDescent="0.2"/>
    <row r="498" s="1" customFormat="1" ht="12.75" customHeight="1" x14ac:dyDescent="0.2"/>
    <row r="499" s="1" customFormat="1" x14ac:dyDescent="0.2"/>
    <row r="500" s="1" customFormat="1" x14ac:dyDescent="0.2"/>
    <row r="501" s="1" customFormat="1" x14ac:dyDescent="0.2"/>
    <row r="502" s="1" customFormat="1" x14ac:dyDescent="0.2"/>
    <row r="503" s="1" customFormat="1" x14ac:dyDescent="0.2"/>
    <row r="504" s="1" customFormat="1" x14ac:dyDescent="0.2"/>
    <row r="505" s="1" customFormat="1" x14ac:dyDescent="0.2"/>
    <row r="506" s="1" customFormat="1" x14ac:dyDescent="0.2"/>
    <row r="507" s="1" customFormat="1" x14ac:dyDescent="0.2"/>
    <row r="508" s="1" customFormat="1" x14ac:dyDescent="0.2"/>
    <row r="509" s="1" customFormat="1" x14ac:dyDescent="0.2"/>
    <row r="510" s="1" customFormat="1" x14ac:dyDescent="0.2"/>
    <row r="511" s="1" customFormat="1" ht="12.75" customHeight="1" x14ac:dyDescent="0.2"/>
    <row r="512" s="1" customFormat="1" x14ac:dyDescent="0.2"/>
    <row r="513" s="1" customFormat="1" x14ac:dyDescent="0.2"/>
    <row r="514" s="1" customFormat="1" x14ac:dyDescent="0.2"/>
    <row r="515" s="1" customFormat="1" x14ac:dyDescent="0.2"/>
    <row r="516" s="1" customFormat="1" x14ac:dyDescent="0.2"/>
    <row r="517" s="1" customFormat="1" x14ac:dyDescent="0.2"/>
    <row r="518" s="1" customFormat="1" x14ac:dyDescent="0.2"/>
    <row r="519" s="1" customFormat="1" x14ac:dyDescent="0.2"/>
    <row r="520" s="1" customFormat="1" x14ac:dyDescent="0.2"/>
    <row r="521" s="1" customFormat="1" x14ac:dyDescent="0.2"/>
    <row r="522" s="1" customFormat="1" x14ac:dyDescent="0.2"/>
    <row r="523" s="1" customFormat="1" x14ac:dyDescent="0.2"/>
    <row r="524" s="1" customFormat="1" ht="12.75" customHeight="1" x14ac:dyDescent="0.2"/>
    <row r="525" s="1" customFormat="1" x14ac:dyDescent="0.2"/>
    <row r="526" s="1" customFormat="1" x14ac:dyDescent="0.2"/>
    <row r="527" s="1" customFormat="1" x14ac:dyDescent="0.2"/>
    <row r="528" s="1" customFormat="1" x14ac:dyDescent="0.2"/>
    <row r="529" s="1" customFormat="1" x14ac:dyDescent="0.2"/>
    <row r="530" s="1" customFormat="1" x14ac:dyDescent="0.2"/>
    <row r="531" s="1" customFormat="1" x14ac:dyDescent="0.2"/>
    <row r="532" s="1" customFormat="1" x14ac:dyDescent="0.2"/>
    <row r="533" s="1" customFormat="1" x14ac:dyDescent="0.2"/>
    <row r="534" s="1" customFormat="1" x14ac:dyDescent="0.2"/>
    <row r="535" s="1" customFormat="1" x14ac:dyDescent="0.2"/>
    <row r="536" s="1" customFormat="1" x14ac:dyDescent="0.2"/>
    <row r="537" s="1" customFormat="1" ht="12.75" customHeight="1" x14ac:dyDescent="0.2"/>
    <row r="538" s="1" customFormat="1" x14ac:dyDescent="0.2"/>
    <row r="539" s="1" customFormat="1" x14ac:dyDescent="0.2"/>
    <row r="540" s="1" customFormat="1" x14ac:dyDescent="0.2"/>
    <row r="541" s="1" customFormat="1" x14ac:dyDescent="0.2"/>
    <row r="542" s="1" customFormat="1" x14ac:dyDescent="0.2"/>
    <row r="543" s="1" customFormat="1" x14ac:dyDescent="0.2"/>
    <row r="544" s="1" customFormat="1" x14ac:dyDescent="0.2"/>
    <row r="545" s="1" customFormat="1" x14ac:dyDescent="0.2"/>
    <row r="546" s="1" customFormat="1" x14ac:dyDescent="0.2"/>
    <row r="547" s="1" customFormat="1" x14ac:dyDescent="0.2"/>
    <row r="548" s="1" customFormat="1" x14ac:dyDescent="0.2"/>
    <row r="549" s="1" customFormat="1" x14ac:dyDescent="0.2"/>
    <row r="550" s="1" customFormat="1" ht="12.75" customHeight="1" x14ac:dyDescent="0.2"/>
    <row r="551" s="1" customFormat="1" x14ac:dyDescent="0.2"/>
    <row r="552" s="1" customFormat="1" x14ac:dyDescent="0.2"/>
    <row r="553" s="1" customFormat="1" x14ac:dyDescent="0.2"/>
    <row r="554" s="1" customFormat="1" x14ac:dyDescent="0.2"/>
    <row r="555" s="1" customFormat="1" x14ac:dyDescent="0.2"/>
    <row r="556" s="1" customFormat="1" x14ac:dyDescent="0.2"/>
    <row r="557" s="1" customFormat="1" x14ac:dyDescent="0.2"/>
    <row r="558" s="1" customFormat="1" x14ac:dyDescent="0.2"/>
    <row r="559" s="1" customFormat="1" x14ac:dyDescent="0.2"/>
    <row r="560" s="1" customFormat="1" x14ac:dyDescent="0.2"/>
    <row r="561" s="1" customFormat="1" x14ac:dyDescent="0.2"/>
    <row r="562" s="1" customFormat="1" x14ac:dyDescent="0.2"/>
    <row r="563" s="1" customFormat="1" ht="12.75" customHeight="1" x14ac:dyDescent="0.2"/>
    <row r="564" s="1" customFormat="1" x14ac:dyDescent="0.2"/>
    <row r="565" s="1" customFormat="1" x14ac:dyDescent="0.2"/>
    <row r="566" s="1" customFormat="1" x14ac:dyDescent="0.2"/>
    <row r="567" s="1" customFormat="1" x14ac:dyDescent="0.2"/>
    <row r="568" s="1" customFormat="1" x14ac:dyDescent="0.2"/>
    <row r="569" s="1" customFormat="1" x14ac:dyDescent="0.2"/>
    <row r="570" s="1" customFormat="1" x14ac:dyDescent="0.2"/>
    <row r="571" s="1" customFormat="1" x14ac:dyDescent="0.2"/>
    <row r="572" s="1" customFormat="1" x14ac:dyDescent="0.2"/>
    <row r="573" s="1" customFormat="1" x14ac:dyDescent="0.2"/>
    <row r="574" s="1" customFormat="1" x14ac:dyDescent="0.2"/>
    <row r="575" s="1" customFormat="1" x14ac:dyDescent="0.2"/>
    <row r="576" s="1" customFormat="1" ht="12.75" customHeight="1" x14ac:dyDescent="0.2"/>
    <row r="577" s="1" customFormat="1" x14ac:dyDescent="0.2"/>
    <row r="578" s="1" customFormat="1" x14ac:dyDescent="0.2"/>
    <row r="579" s="1" customFormat="1" x14ac:dyDescent="0.2"/>
    <row r="580" s="1" customFormat="1" x14ac:dyDescent="0.2"/>
    <row r="581" s="1" customFormat="1" x14ac:dyDescent="0.2"/>
    <row r="582" s="1" customFormat="1" x14ac:dyDescent="0.2"/>
    <row r="583" s="1" customFormat="1" x14ac:dyDescent="0.2"/>
    <row r="584" s="1" customFormat="1" x14ac:dyDescent="0.2"/>
    <row r="585" s="1" customFormat="1" x14ac:dyDescent="0.2"/>
    <row r="586" s="1" customFormat="1" x14ac:dyDescent="0.2"/>
    <row r="587" s="1" customFormat="1" x14ac:dyDescent="0.2"/>
    <row r="588" s="1" customFormat="1" x14ac:dyDescent="0.2"/>
    <row r="589" s="1" customFormat="1" ht="12.75" customHeight="1" x14ac:dyDescent="0.2"/>
    <row r="590" s="1" customFormat="1" x14ac:dyDescent="0.2"/>
    <row r="591" s="1" customFormat="1" x14ac:dyDescent="0.2"/>
    <row r="592" s="1" customFormat="1" x14ac:dyDescent="0.2"/>
    <row r="593" s="1" customFormat="1" x14ac:dyDescent="0.2"/>
    <row r="594" s="1" customFormat="1" x14ac:dyDescent="0.2"/>
    <row r="595" s="1" customFormat="1" x14ac:dyDescent="0.2"/>
    <row r="596" s="1" customFormat="1" x14ac:dyDescent="0.2"/>
    <row r="597" s="1" customFormat="1" x14ac:dyDescent="0.2"/>
    <row r="598" s="1" customFormat="1" x14ac:dyDescent="0.2"/>
    <row r="599" s="1" customFormat="1" x14ac:dyDescent="0.2"/>
    <row r="600" s="1" customFormat="1" x14ac:dyDescent="0.2"/>
    <row r="601" s="1" customFormat="1" x14ac:dyDescent="0.2"/>
    <row r="602" s="1" customFormat="1" ht="12.75" customHeight="1" x14ac:dyDescent="0.2"/>
    <row r="603" s="1" customFormat="1" x14ac:dyDescent="0.2"/>
    <row r="604" s="1" customFormat="1" x14ac:dyDescent="0.2"/>
    <row r="605" s="1" customFormat="1" x14ac:dyDescent="0.2"/>
    <row r="606" s="1" customFormat="1" x14ac:dyDescent="0.2"/>
    <row r="607" s="1" customFormat="1" x14ac:dyDescent="0.2"/>
    <row r="608" s="1" customFormat="1" x14ac:dyDescent="0.2"/>
    <row r="609" s="1" customFormat="1" x14ac:dyDescent="0.2"/>
    <row r="610" s="1" customFormat="1" x14ac:dyDescent="0.2"/>
    <row r="611" s="1" customFormat="1" x14ac:dyDescent="0.2"/>
    <row r="612" s="1" customFormat="1" x14ac:dyDescent="0.2"/>
    <row r="613" s="1" customFormat="1" x14ac:dyDescent="0.2"/>
    <row r="614" s="1" customFormat="1" x14ac:dyDescent="0.2"/>
    <row r="615" s="1" customFormat="1" ht="12.75" customHeight="1" x14ac:dyDescent="0.2"/>
    <row r="616" s="1" customFormat="1" x14ac:dyDescent="0.2"/>
    <row r="617" s="1" customFormat="1" x14ac:dyDescent="0.2"/>
    <row r="618" s="1" customFormat="1" x14ac:dyDescent="0.2"/>
    <row r="619" s="1" customFormat="1" x14ac:dyDescent="0.2"/>
    <row r="620" s="1" customFormat="1" x14ac:dyDescent="0.2"/>
    <row r="621" s="1" customFormat="1" x14ac:dyDescent="0.2"/>
    <row r="622" s="1" customFormat="1" x14ac:dyDescent="0.2"/>
    <row r="623" s="1" customFormat="1" x14ac:dyDescent="0.2"/>
    <row r="624" s="1" customFormat="1" x14ac:dyDescent="0.2"/>
    <row r="625" s="1" customFormat="1" x14ac:dyDescent="0.2"/>
    <row r="626" s="1" customFormat="1" x14ac:dyDescent="0.2"/>
    <row r="627" s="1" customFormat="1" x14ac:dyDescent="0.2"/>
    <row r="628" s="1" customFormat="1" ht="12.75" customHeight="1" x14ac:dyDescent="0.2"/>
    <row r="629" s="1" customFormat="1" x14ac:dyDescent="0.2"/>
    <row r="630" s="1" customFormat="1" x14ac:dyDescent="0.2"/>
    <row r="631" s="1" customFormat="1" x14ac:dyDescent="0.2"/>
    <row r="632" s="1" customFormat="1" x14ac:dyDescent="0.2"/>
    <row r="633" s="1" customFormat="1" x14ac:dyDescent="0.2"/>
    <row r="634" s="1" customFormat="1" x14ac:dyDescent="0.2"/>
    <row r="635" s="1" customFormat="1" x14ac:dyDescent="0.2"/>
    <row r="636" s="1" customFormat="1" x14ac:dyDescent="0.2"/>
    <row r="637" s="1" customFormat="1" x14ac:dyDescent="0.2"/>
    <row r="638" s="1" customFormat="1" x14ac:dyDescent="0.2"/>
    <row r="639" s="1" customFormat="1" x14ac:dyDescent="0.2"/>
    <row r="640" s="1" customFormat="1" x14ac:dyDescent="0.2"/>
    <row r="641" s="1" customFormat="1" ht="12.75" customHeight="1" x14ac:dyDescent="0.2"/>
    <row r="642" s="1" customFormat="1" x14ac:dyDescent="0.2"/>
    <row r="643" s="1" customFormat="1" x14ac:dyDescent="0.2"/>
    <row r="644" s="1" customFormat="1" x14ac:dyDescent="0.2"/>
    <row r="645" s="1" customFormat="1" x14ac:dyDescent="0.2"/>
    <row r="646" s="1" customFormat="1" x14ac:dyDescent="0.2"/>
    <row r="647" s="1" customFormat="1" x14ac:dyDescent="0.2"/>
    <row r="648" s="1" customFormat="1" x14ac:dyDescent="0.2"/>
    <row r="649" s="1" customFormat="1" x14ac:dyDescent="0.2"/>
    <row r="650" s="1" customFormat="1" x14ac:dyDescent="0.2"/>
    <row r="651" s="1" customFormat="1" x14ac:dyDescent="0.2"/>
    <row r="652" s="1" customFormat="1" x14ac:dyDescent="0.2"/>
    <row r="653" s="1" customFormat="1" x14ac:dyDescent="0.2"/>
    <row r="654" s="1" customFormat="1" ht="12.75" customHeight="1" x14ac:dyDescent="0.2"/>
    <row r="655" s="1" customFormat="1" x14ac:dyDescent="0.2"/>
    <row r="656" s="1" customFormat="1" x14ac:dyDescent="0.2"/>
    <row r="657" s="1" customFormat="1" x14ac:dyDescent="0.2"/>
    <row r="658" s="1" customFormat="1" x14ac:dyDescent="0.2"/>
    <row r="659" s="1" customFormat="1" x14ac:dyDescent="0.2"/>
    <row r="660" s="1" customFormat="1" x14ac:dyDescent="0.2"/>
    <row r="661" s="1" customFormat="1" x14ac:dyDescent="0.2"/>
    <row r="662" s="1" customFormat="1" x14ac:dyDescent="0.2"/>
    <row r="663" s="1" customFormat="1" x14ac:dyDescent="0.2"/>
    <row r="664" s="1" customFormat="1" x14ac:dyDescent="0.2"/>
    <row r="665" s="1" customFormat="1" x14ac:dyDescent="0.2"/>
    <row r="666" s="1" customFormat="1" x14ac:dyDescent="0.2"/>
    <row r="667" s="1" customFormat="1" ht="12.75" customHeight="1" x14ac:dyDescent="0.2"/>
    <row r="668" s="1" customFormat="1" x14ac:dyDescent="0.2"/>
    <row r="669" s="1" customFormat="1" x14ac:dyDescent="0.2"/>
    <row r="670" s="1" customFormat="1" x14ac:dyDescent="0.2"/>
    <row r="671" s="1" customFormat="1" x14ac:dyDescent="0.2"/>
    <row r="672" s="1" customFormat="1" x14ac:dyDescent="0.2"/>
    <row r="673" s="1" customFormat="1" x14ac:dyDescent="0.2"/>
    <row r="674" s="1" customFormat="1" x14ac:dyDescent="0.2"/>
    <row r="675" s="1" customFormat="1" x14ac:dyDescent="0.2"/>
    <row r="676" s="1" customFormat="1" x14ac:dyDescent="0.2"/>
    <row r="677" s="1" customFormat="1" x14ac:dyDescent="0.2"/>
    <row r="678" s="1" customFormat="1" x14ac:dyDescent="0.2"/>
    <row r="679" s="1" customFormat="1" x14ac:dyDescent="0.2"/>
    <row r="680" s="1" customFormat="1" ht="12.75" customHeight="1" x14ac:dyDescent="0.2"/>
    <row r="681" s="1" customFormat="1" x14ac:dyDescent="0.2"/>
    <row r="682" s="1" customFormat="1" x14ac:dyDescent="0.2"/>
    <row r="683" s="1" customFormat="1" x14ac:dyDescent="0.2"/>
    <row r="684" s="1" customFormat="1" x14ac:dyDescent="0.2"/>
    <row r="685" s="1" customFormat="1" x14ac:dyDescent="0.2"/>
    <row r="686" s="1" customFormat="1" x14ac:dyDescent="0.2"/>
    <row r="687" s="1" customFormat="1" x14ac:dyDescent="0.2"/>
    <row r="688" s="1" customFormat="1" x14ac:dyDescent="0.2"/>
    <row r="689" s="1" customFormat="1" x14ac:dyDescent="0.2"/>
    <row r="690" s="1" customFormat="1" x14ac:dyDescent="0.2"/>
    <row r="691" s="1" customFormat="1" x14ac:dyDescent="0.2"/>
    <row r="692" s="1" customFormat="1" x14ac:dyDescent="0.2"/>
    <row r="693" s="1" customFormat="1" ht="12.75" customHeight="1" x14ac:dyDescent="0.2"/>
    <row r="694" s="1" customFormat="1" x14ac:dyDescent="0.2"/>
    <row r="695" s="1" customFormat="1" x14ac:dyDescent="0.2"/>
    <row r="696" s="1" customFormat="1" x14ac:dyDescent="0.2"/>
    <row r="697" s="1" customFormat="1" x14ac:dyDescent="0.2"/>
    <row r="698" s="1" customFormat="1" x14ac:dyDescent="0.2"/>
    <row r="699" s="1" customFormat="1" x14ac:dyDescent="0.2"/>
    <row r="700" s="1" customFormat="1" x14ac:dyDescent="0.2"/>
    <row r="701" s="1" customFormat="1" x14ac:dyDescent="0.2"/>
    <row r="702" s="1" customFormat="1" x14ac:dyDescent="0.2"/>
    <row r="703" s="1" customFormat="1" x14ac:dyDescent="0.2"/>
    <row r="704" s="1" customFormat="1" x14ac:dyDescent="0.2"/>
    <row r="705" s="1" customFormat="1" x14ac:dyDescent="0.2"/>
    <row r="706" s="1" customFormat="1" ht="12.75" customHeight="1" x14ac:dyDescent="0.2"/>
    <row r="707" s="1" customFormat="1" x14ac:dyDescent="0.2"/>
    <row r="708" s="1" customFormat="1" x14ac:dyDescent="0.2"/>
    <row r="709" s="1" customFormat="1" x14ac:dyDescent="0.2"/>
    <row r="710" s="1" customFormat="1" x14ac:dyDescent="0.2"/>
    <row r="711" s="1" customFormat="1" x14ac:dyDescent="0.2"/>
    <row r="712" s="1" customFormat="1" x14ac:dyDescent="0.2"/>
    <row r="713" s="1" customFormat="1" x14ac:dyDescent="0.2"/>
    <row r="714" s="1" customFormat="1" x14ac:dyDescent="0.2"/>
    <row r="715" s="1" customFormat="1" x14ac:dyDescent="0.2"/>
    <row r="716" s="1" customFormat="1" x14ac:dyDescent="0.2"/>
    <row r="717" s="1" customFormat="1" x14ac:dyDescent="0.2"/>
    <row r="718" s="1" customFormat="1" x14ac:dyDescent="0.2"/>
    <row r="719" s="1" customFormat="1" ht="12.75" customHeight="1" x14ac:dyDescent="0.2"/>
    <row r="720" s="1" customFormat="1" x14ac:dyDescent="0.2"/>
    <row r="721" s="1" customFormat="1" x14ac:dyDescent="0.2"/>
    <row r="722" s="1" customFormat="1" x14ac:dyDescent="0.2"/>
    <row r="723" s="1" customFormat="1" x14ac:dyDescent="0.2"/>
    <row r="724" s="1" customFormat="1" x14ac:dyDescent="0.2"/>
    <row r="725" s="1" customFormat="1" x14ac:dyDescent="0.2"/>
    <row r="726" s="1" customFormat="1" x14ac:dyDescent="0.2"/>
    <row r="727" s="1" customFormat="1" x14ac:dyDescent="0.2"/>
    <row r="728" s="1" customFormat="1" x14ac:dyDescent="0.2"/>
    <row r="729" s="1" customFormat="1" x14ac:dyDescent="0.2"/>
    <row r="730" s="1" customFormat="1" x14ac:dyDescent="0.2"/>
    <row r="731" s="1" customFormat="1" x14ac:dyDescent="0.2"/>
    <row r="732" s="1" customFormat="1" ht="12.75" customHeight="1" x14ac:dyDescent="0.2"/>
    <row r="733" s="1" customFormat="1" x14ac:dyDescent="0.2"/>
    <row r="734" s="1" customFormat="1" x14ac:dyDescent="0.2"/>
    <row r="735" s="1" customFormat="1" x14ac:dyDescent="0.2"/>
    <row r="736" s="1" customFormat="1" x14ac:dyDescent="0.2"/>
    <row r="737" s="1" customFormat="1" x14ac:dyDescent="0.2"/>
    <row r="738" s="1" customFormat="1" x14ac:dyDescent="0.2"/>
    <row r="739" s="1" customFormat="1" x14ac:dyDescent="0.2"/>
    <row r="740" s="1" customFormat="1" x14ac:dyDescent="0.2"/>
    <row r="741" s="1" customFormat="1" x14ac:dyDescent="0.2"/>
    <row r="742" s="1" customFormat="1" x14ac:dyDescent="0.2"/>
    <row r="743" s="1" customFormat="1" x14ac:dyDescent="0.2"/>
    <row r="744" s="1" customFormat="1" x14ac:dyDescent="0.2"/>
    <row r="745" s="1" customFormat="1" ht="12.75" customHeight="1" x14ac:dyDescent="0.2"/>
    <row r="746" s="1" customFormat="1" x14ac:dyDescent="0.2"/>
    <row r="747" s="1" customFormat="1" x14ac:dyDescent="0.2"/>
    <row r="748" s="1" customFormat="1" x14ac:dyDescent="0.2"/>
    <row r="749" s="1" customFormat="1" x14ac:dyDescent="0.2"/>
    <row r="750" s="1" customFormat="1" x14ac:dyDescent="0.2"/>
    <row r="751" s="1" customFormat="1" x14ac:dyDescent="0.2"/>
    <row r="752" s="1" customFormat="1" x14ac:dyDescent="0.2"/>
    <row r="753" s="1" customFormat="1" x14ac:dyDescent="0.2"/>
    <row r="754" s="1" customFormat="1" x14ac:dyDescent="0.2"/>
    <row r="755" s="1" customFormat="1" x14ac:dyDescent="0.2"/>
    <row r="756" s="1" customFormat="1" x14ac:dyDescent="0.2"/>
    <row r="757" s="1" customFormat="1" x14ac:dyDescent="0.2"/>
    <row r="758" s="1" customFormat="1" ht="12.75" customHeight="1" x14ac:dyDescent="0.2"/>
    <row r="759" s="1" customFormat="1" x14ac:dyDescent="0.2"/>
    <row r="760" s="1" customFormat="1" x14ac:dyDescent="0.2"/>
    <row r="761" s="1" customFormat="1" x14ac:dyDescent="0.2"/>
    <row r="762" s="1" customFormat="1" x14ac:dyDescent="0.2"/>
    <row r="763" s="1" customFormat="1" x14ac:dyDescent="0.2"/>
    <row r="764" s="1" customFormat="1" x14ac:dyDescent="0.2"/>
    <row r="765" s="1" customFormat="1" x14ac:dyDescent="0.2"/>
    <row r="766" s="1" customFormat="1" x14ac:dyDescent="0.2"/>
    <row r="767" s="1" customFormat="1" x14ac:dyDescent="0.2"/>
    <row r="768" s="1" customFormat="1" x14ac:dyDescent="0.2"/>
    <row r="769" s="1" customFormat="1" x14ac:dyDescent="0.2"/>
    <row r="770" s="1" customFormat="1" x14ac:dyDescent="0.2"/>
    <row r="771" s="1" customFormat="1" ht="12.75" customHeight="1" x14ac:dyDescent="0.2"/>
    <row r="772" s="1" customFormat="1" x14ac:dyDescent="0.2"/>
    <row r="773" s="1" customFormat="1" x14ac:dyDescent="0.2"/>
    <row r="774" s="1" customFormat="1" x14ac:dyDescent="0.2"/>
    <row r="775" s="1" customFormat="1" x14ac:dyDescent="0.2"/>
    <row r="776" s="1" customFormat="1" x14ac:dyDescent="0.2"/>
    <row r="777" s="1" customFormat="1" x14ac:dyDescent="0.2"/>
    <row r="778" s="1" customFormat="1" x14ac:dyDescent="0.2"/>
    <row r="779" s="1" customFormat="1" x14ac:dyDescent="0.2"/>
    <row r="780" s="1" customFormat="1" x14ac:dyDescent="0.2"/>
    <row r="781" s="1" customFormat="1" x14ac:dyDescent="0.2"/>
    <row r="782" s="1" customFormat="1" x14ac:dyDescent="0.2"/>
    <row r="783" s="1" customFormat="1" x14ac:dyDescent="0.2"/>
    <row r="784" s="1" customFormat="1" ht="12.75" customHeight="1" x14ac:dyDescent="0.2"/>
    <row r="785" s="1" customFormat="1" x14ac:dyDescent="0.2"/>
    <row r="786" s="1" customFormat="1" x14ac:dyDescent="0.2"/>
    <row r="787" s="1" customFormat="1" x14ac:dyDescent="0.2"/>
    <row r="788" s="1" customFormat="1" x14ac:dyDescent="0.2"/>
    <row r="789" s="1" customFormat="1" x14ac:dyDescent="0.2"/>
    <row r="790" s="1" customFormat="1" x14ac:dyDescent="0.2"/>
    <row r="791" s="1" customFormat="1" x14ac:dyDescent="0.2"/>
    <row r="792" s="1" customFormat="1" x14ac:dyDescent="0.2"/>
    <row r="793" s="1" customFormat="1" x14ac:dyDescent="0.2"/>
    <row r="794" s="1" customFormat="1" x14ac:dyDescent="0.2"/>
    <row r="795" s="1" customFormat="1" x14ac:dyDescent="0.2"/>
    <row r="796" s="1" customFormat="1" x14ac:dyDescent="0.2"/>
    <row r="797" s="1" customFormat="1" ht="12.75" customHeight="1" x14ac:dyDescent="0.2"/>
    <row r="798" s="1" customFormat="1" x14ac:dyDescent="0.2"/>
    <row r="799" s="1" customFormat="1" x14ac:dyDescent="0.2"/>
    <row r="800" s="1" customFormat="1" x14ac:dyDescent="0.2"/>
    <row r="801" s="1" customFormat="1" x14ac:dyDescent="0.2"/>
    <row r="802" s="1" customFormat="1" x14ac:dyDescent="0.2"/>
    <row r="803" s="1" customFormat="1" x14ac:dyDescent="0.2"/>
    <row r="804" s="1" customFormat="1" x14ac:dyDescent="0.2"/>
    <row r="805" s="1" customFormat="1" x14ac:dyDescent="0.2"/>
    <row r="806" s="1" customFormat="1" x14ac:dyDescent="0.2"/>
    <row r="807" s="1" customFormat="1" x14ac:dyDescent="0.2"/>
    <row r="808" s="1" customFormat="1" x14ac:dyDescent="0.2"/>
    <row r="809" s="1" customFormat="1" x14ac:dyDescent="0.2"/>
    <row r="810" s="1" customFormat="1" ht="12.75" customHeight="1" x14ac:dyDescent="0.2"/>
    <row r="811" s="1" customFormat="1" x14ac:dyDescent="0.2"/>
    <row r="812" s="1" customFormat="1" x14ac:dyDescent="0.2"/>
    <row r="813" s="1" customFormat="1" x14ac:dyDescent="0.2"/>
    <row r="814" s="1" customFormat="1" x14ac:dyDescent="0.2"/>
    <row r="815" s="1" customFormat="1" x14ac:dyDescent="0.2"/>
    <row r="816" s="1" customFormat="1" x14ac:dyDescent="0.2"/>
    <row r="817" s="1" customFormat="1" x14ac:dyDescent="0.2"/>
    <row r="818" s="1" customFormat="1" x14ac:dyDescent="0.2"/>
    <row r="819" s="1" customFormat="1" x14ac:dyDescent="0.2"/>
    <row r="820" s="1" customFormat="1" x14ac:dyDescent="0.2"/>
    <row r="821" s="1" customFormat="1" x14ac:dyDescent="0.2"/>
    <row r="822" s="1" customFormat="1" x14ac:dyDescent="0.2"/>
    <row r="823" s="1" customFormat="1" ht="12.75" customHeight="1" x14ac:dyDescent="0.2"/>
    <row r="824" s="1" customFormat="1" x14ac:dyDescent="0.2"/>
    <row r="825" s="1" customFormat="1" x14ac:dyDescent="0.2"/>
    <row r="826" s="1" customFormat="1" x14ac:dyDescent="0.2"/>
    <row r="827" s="1" customFormat="1" x14ac:dyDescent="0.2"/>
    <row r="828" s="1" customFormat="1" x14ac:dyDescent="0.2"/>
    <row r="829" s="1" customFormat="1" x14ac:dyDescent="0.2"/>
    <row r="830" s="1" customFormat="1" x14ac:dyDescent="0.2"/>
    <row r="831" s="1" customFormat="1" x14ac:dyDescent="0.2"/>
    <row r="832" s="1" customFormat="1" x14ac:dyDescent="0.2"/>
    <row r="833" s="1" customFormat="1" x14ac:dyDescent="0.2"/>
    <row r="834" s="1" customFormat="1" x14ac:dyDescent="0.2"/>
    <row r="835" s="1" customFormat="1" x14ac:dyDescent="0.2"/>
    <row r="836" s="1" customFormat="1" ht="12.75" customHeight="1" x14ac:dyDescent="0.2"/>
    <row r="837" s="1" customFormat="1" x14ac:dyDescent="0.2"/>
    <row r="838" s="1" customFormat="1" x14ac:dyDescent="0.2"/>
    <row r="839" s="1" customFormat="1" x14ac:dyDescent="0.2"/>
    <row r="840" s="1" customFormat="1" x14ac:dyDescent="0.2"/>
    <row r="841" s="1" customFormat="1" x14ac:dyDescent="0.2"/>
    <row r="842" s="1" customFormat="1" x14ac:dyDescent="0.2"/>
    <row r="843" s="1" customFormat="1" x14ac:dyDescent="0.2"/>
    <row r="844" s="1" customFormat="1" x14ac:dyDescent="0.2"/>
    <row r="845" s="1" customFormat="1" x14ac:dyDescent="0.2"/>
    <row r="846" s="1" customFormat="1" x14ac:dyDescent="0.2"/>
    <row r="847" s="1" customFormat="1" x14ac:dyDescent="0.2"/>
    <row r="848" s="1" customFormat="1" x14ac:dyDescent="0.2"/>
    <row r="849" s="1" customFormat="1" ht="12.75" customHeight="1" x14ac:dyDescent="0.2"/>
    <row r="850" s="1" customFormat="1" x14ac:dyDescent="0.2"/>
    <row r="851" s="1" customFormat="1" x14ac:dyDescent="0.2"/>
    <row r="852" s="1" customFormat="1" x14ac:dyDescent="0.2"/>
    <row r="853" s="1" customFormat="1" x14ac:dyDescent="0.2"/>
    <row r="854" s="1" customFormat="1" x14ac:dyDescent="0.2"/>
    <row r="855" s="1" customFormat="1" x14ac:dyDescent="0.2"/>
    <row r="856" s="1" customFormat="1" x14ac:dyDescent="0.2"/>
    <row r="857" s="1" customFormat="1" x14ac:dyDescent="0.2"/>
    <row r="858" s="1" customFormat="1" x14ac:dyDescent="0.2"/>
    <row r="859" s="1" customFormat="1" x14ac:dyDescent="0.2"/>
    <row r="860" s="1" customFormat="1" x14ac:dyDescent="0.2"/>
    <row r="861" s="1" customFormat="1" x14ac:dyDescent="0.2"/>
    <row r="862" s="1" customFormat="1" ht="12.75" customHeight="1" x14ac:dyDescent="0.2"/>
    <row r="863" s="1" customFormat="1" x14ac:dyDescent="0.2"/>
    <row r="864" s="1" customFormat="1" x14ac:dyDescent="0.2"/>
    <row r="865" s="1" customFormat="1" x14ac:dyDescent="0.2"/>
    <row r="866" s="1" customFormat="1" x14ac:dyDescent="0.2"/>
    <row r="867" s="1" customFormat="1" x14ac:dyDescent="0.2"/>
    <row r="868" s="1" customFormat="1" x14ac:dyDescent="0.2"/>
    <row r="869" s="1" customFormat="1" x14ac:dyDescent="0.2"/>
    <row r="870" s="1" customFormat="1" x14ac:dyDescent="0.2"/>
    <row r="871" s="1" customFormat="1" x14ac:dyDescent="0.2"/>
    <row r="872" s="1" customFormat="1" x14ac:dyDescent="0.2"/>
    <row r="873" s="1" customFormat="1" x14ac:dyDescent="0.2"/>
    <row r="874" s="1" customFormat="1" x14ac:dyDescent="0.2"/>
    <row r="875" s="1" customFormat="1" ht="12.75" customHeight="1" x14ac:dyDescent="0.2"/>
    <row r="876" s="1" customFormat="1" x14ac:dyDescent="0.2"/>
    <row r="877" s="1" customFormat="1" x14ac:dyDescent="0.2"/>
    <row r="878" s="1" customFormat="1" x14ac:dyDescent="0.2"/>
    <row r="879" s="1" customFormat="1" x14ac:dyDescent="0.2"/>
    <row r="880" s="1" customFormat="1" x14ac:dyDescent="0.2"/>
    <row r="881" s="1" customFormat="1" x14ac:dyDescent="0.2"/>
    <row r="882" s="1" customFormat="1" x14ac:dyDescent="0.2"/>
    <row r="883" s="1" customFormat="1" x14ac:dyDescent="0.2"/>
    <row r="884" s="1" customFormat="1" x14ac:dyDescent="0.2"/>
    <row r="885" s="1" customFormat="1" x14ac:dyDescent="0.2"/>
    <row r="886" s="1" customFormat="1" x14ac:dyDescent="0.2"/>
    <row r="887" s="1" customFormat="1" x14ac:dyDescent="0.2"/>
    <row r="888" s="1" customFormat="1" ht="12.75" customHeight="1" x14ac:dyDescent="0.2"/>
    <row r="889" s="1" customFormat="1" x14ac:dyDescent="0.2"/>
    <row r="890" s="1" customFormat="1" x14ac:dyDescent="0.2"/>
    <row r="891" s="1" customFormat="1" x14ac:dyDescent="0.2"/>
    <row r="892" s="1" customFormat="1" x14ac:dyDescent="0.2"/>
    <row r="893" s="1" customFormat="1" x14ac:dyDescent="0.2"/>
    <row r="894" s="1" customFormat="1" x14ac:dyDescent="0.2"/>
    <row r="895" s="1" customFormat="1" x14ac:dyDescent="0.2"/>
    <row r="896" s="1" customFormat="1" x14ac:dyDescent="0.2"/>
    <row r="897" s="1" customFormat="1" x14ac:dyDescent="0.2"/>
    <row r="898" s="1" customFormat="1" x14ac:dyDescent="0.2"/>
    <row r="899" s="1" customFormat="1" x14ac:dyDescent="0.2"/>
    <row r="900" s="1" customFormat="1" x14ac:dyDescent="0.2"/>
    <row r="901" s="1" customFormat="1" ht="12.75" customHeight="1" x14ac:dyDescent="0.2"/>
    <row r="902" s="1" customFormat="1" x14ac:dyDescent="0.2"/>
    <row r="903" s="1" customFormat="1" x14ac:dyDescent="0.2"/>
    <row r="904" s="1" customFormat="1" x14ac:dyDescent="0.2"/>
    <row r="905" s="1" customFormat="1" x14ac:dyDescent="0.2"/>
    <row r="906" s="1" customFormat="1" x14ac:dyDescent="0.2"/>
    <row r="907" s="1" customFormat="1" x14ac:dyDescent="0.2"/>
    <row r="908" s="1" customFormat="1" x14ac:dyDescent="0.2"/>
    <row r="909" s="1" customFormat="1" x14ac:dyDescent="0.2"/>
    <row r="910" s="1" customFormat="1" x14ac:dyDescent="0.2"/>
    <row r="911" s="1" customFormat="1" x14ac:dyDescent="0.2"/>
    <row r="912" s="1" customFormat="1" x14ac:dyDescent="0.2"/>
    <row r="913" s="1" customFormat="1" x14ac:dyDescent="0.2"/>
    <row r="914" s="1" customFormat="1" ht="12.75" customHeight="1" x14ac:dyDescent="0.2"/>
    <row r="915" s="1" customFormat="1" x14ac:dyDescent="0.2"/>
    <row r="916" s="1" customFormat="1" x14ac:dyDescent="0.2"/>
    <row r="917" s="1" customFormat="1" x14ac:dyDescent="0.2"/>
    <row r="918" s="1" customFormat="1" x14ac:dyDescent="0.2"/>
    <row r="919" s="1" customFormat="1" x14ac:dyDescent="0.2"/>
    <row r="920" s="1" customFormat="1" x14ac:dyDescent="0.2"/>
    <row r="921" s="1" customFormat="1" x14ac:dyDescent="0.2"/>
    <row r="922" s="1" customFormat="1" x14ac:dyDescent="0.2"/>
    <row r="923" s="1" customFormat="1" x14ac:dyDescent="0.2"/>
    <row r="924" s="1" customFormat="1" x14ac:dyDescent="0.2"/>
    <row r="925" s="1" customFormat="1" x14ac:dyDescent="0.2"/>
    <row r="926" s="1" customFormat="1" x14ac:dyDescent="0.2"/>
    <row r="927" s="1" customFormat="1" ht="12.75" customHeight="1" x14ac:dyDescent="0.2"/>
    <row r="928" s="1" customFormat="1" x14ac:dyDescent="0.2"/>
    <row r="929" s="1" customFormat="1" x14ac:dyDescent="0.2"/>
    <row r="930" s="1" customFormat="1" x14ac:dyDescent="0.2"/>
    <row r="931" s="1" customFormat="1" x14ac:dyDescent="0.2"/>
    <row r="932" s="1" customFormat="1" x14ac:dyDescent="0.2"/>
    <row r="933" s="1" customFormat="1" x14ac:dyDescent="0.2"/>
    <row r="934" s="1" customFormat="1" x14ac:dyDescent="0.2"/>
    <row r="935" s="1" customFormat="1" x14ac:dyDescent="0.2"/>
    <row r="936" s="1" customFormat="1" x14ac:dyDescent="0.2"/>
    <row r="937" s="1" customFormat="1" x14ac:dyDescent="0.2"/>
    <row r="938" s="1" customFormat="1" x14ac:dyDescent="0.2"/>
    <row r="939" s="1" customFormat="1" x14ac:dyDescent="0.2"/>
    <row r="940" s="1" customFormat="1" ht="12.75" customHeight="1" x14ac:dyDescent="0.2"/>
    <row r="941" s="1" customFormat="1" x14ac:dyDescent="0.2"/>
    <row r="942" s="1" customFormat="1" x14ac:dyDescent="0.2"/>
    <row r="943" s="1" customFormat="1" x14ac:dyDescent="0.2"/>
    <row r="944" s="1" customFormat="1" x14ac:dyDescent="0.2"/>
    <row r="945" s="1" customFormat="1" x14ac:dyDescent="0.2"/>
    <row r="946" s="1" customFormat="1" x14ac:dyDescent="0.2"/>
    <row r="947" s="1" customFormat="1" x14ac:dyDescent="0.2"/>
    <row r="948" s="1" customFormat="1" x14ac:dyDescent="0.2"/>
    <row r="949" s="1" customFormat="1" x14ac:dyDescent="0.2"/>
    <row r="950" s="1" customFormat="1" x14ac:dyDescent="0.2"/>
    <row r="951" s="1" customFormat="1" x14ac:dyDescent="0.2"/>
    <row r="952" s="1" customFormat="1" x14ac:dyDescent="0.2"/>
    <row r="953" s="1" customFormat="1" ht="12.75" customHeight="1" x14ac:dyDescent="0.2"/>
    <row r="954" s="1" customFormat="1" x14ac:dyDescent="0.2"/>
    <row r="955" s="1" customFormat="1" x14ac:dyDescent="0.2"/>
    <row r="956" s="1" customFormat="1" x14ac:dyDescent="0.2"/>
    <row r="957" s="1" customFormat="1" x14ac:dyDescent="0.2"/>
    <row r="958" s="1" customFormat="1" x14ac:dyDescent="0.2"/>
    <row r="959" s="1" customFormat="1" x14ac:dyDescent="0.2"/>
    <row r="960" s="1" customFormat="1" x14ac:dyDescent="0.2"/>
    <row r="961" s="1" customFormat="1" x14ac:dyDescent="0.2"/>
    <row r="962" s="1" customFormat="1" x14ac:dyDescent="0.2"/>
    <row r="963" s="1" customFormat="1" x14ac:dyDescent="0.2"/>
    <row r="964" s="1" customFormat="1" x14ac:dyDescent="0.2"/>
    <row r="965" s="1" customFormat="1" x14ac:dyDescent="0.2"/>
    <row r="966" s="1" customFormat="1" ht="12.75" customHeight="1" x14ac:dyDescent="0.2"/>
    <row r="967" s="1" customFormat="1" x14ac:dyDescent="0.2"/>
    <row r="968" s="1" customFormat="1" x14ac:dyDescent="0.2"/>
    <row r="969" s="1" customFormat="1" x14ac:dyDescent="0.2"/>
    <row r="970" s="1" customFormat="1" x14ac:dyDescent="0.2"/>
    <row r="971" s="1" customFormat="1" x14ac:dyDescent="0.2"/>
    <row r="972" s="1" customFormat="1" x14ac:dyDescent="0.2"/>
    <row r="973" s="1" customFormat="1" x14ac:dyDescent="0.2"/>
    <row r="974" s="1" customFormat="1" x14ac:dyDescent="0.2"/>
    <row r="975" s="1" customFormat="1" x14ac:dyDescent="0.2"/>
    <row r="976" s="1" customFormat="1" x14ac:dyDescent="0.2"/>
    <row r="977" s="1" customFormat="1" x14ac:dyDescent="0.2"/>
    <row r="978" s="1" customFormat="1" x14ac:dyDescent="0.2"/>
    <row r="979" s="1" customFormat="1" ht="12.75" customHeight="1" x14ac:dyDescent="0.2"/>
    <row r="980" s="1" customFormat="1" x14ac:dyDescent="0.2"/>
    <row r="981" s="1" customFormat="1" x14ac:dyDescent="0.2"/>
    <row r="982" s="1" customFormat="1" x14ac:dyDescent="0.2"/>
    <row r="983" s="1" customFormat="1" x14ac:dyDescent="0.2"/>
    <row r="984" s="1" customFormat="1" x14ac:dyDescent="0.2"/>
    <row r="985" s="1" customFormat="1" x14ac:dyDescent="0.2"/>
    <row r="986" s="1" customFormat="1" x14ac:dyDescent="0.2"/>
    <row r="987" s="1" customFormat="1" x14ac:dyDescent="0.2"/>
    <row r="988" s="1" customFormat="1" x14ac:dyDescent="0.2"/>
    <row r="989" s="1" customFormat="1" x14ac:dyDescent="0.2"/>
    <row r="990" s="1" customFormat="1" x14ac:dyDescent="0.2"/>
    <row r="991" s="1" customFormat="1" x14ac:dyDescent="0.2"/>
    <row r="992" s="1" customFormat="1" ht="12.75" customHeight="1" x14ac:dyDescent="0.2"/>
    <row r="993" s="1" customFormat="1" x14ac:dyDescent="0.2"/>
    <row r="994" s="1" customFormat="1" x14ac:dyDescent="0.2"/>
    <row r="995" s="1" customFormat="1" x14ac:dyDescent="0.2"/>
    <row r="996" s="1" customFormat="1" x14ac:dyDescent="0.2"/>
    <row r="997" s="1" customFormat="1" x14ac:dyDescent="0.2"/>
    <row r="998" s="1" customFormat="1" x14ac:dyDescent="0.2"/>
    <row r="999" s="1" customFormat="1" x14ac:dyDescent="0.2"/>
    <row r="1000" s="1" customFormat="1" x14ac:dyDescent="0.2"/>
    <row r="1001" s="1" customFormat="1" x14ac:dyDescent="0.2"/>
    <row r="1002" s="1" customFormat="1" x14ac:dyDescent="0.2"/>
    <row r="1003" s="1" customFormat="1" x14ac:dyDescent="0.2"/>
    <row r="1004" s="1" customFormat="1" x14ac:dyDescent="0.2"/>
    <row r="1005" s="1" customFormat="1" ht="12.75" customHeight="1" x14ac:dyDescent="0.2"/>
    <row r="1006" s="1" customFormat="1" x14ac:dyDescent="0.2"/>
    <row r="1007" s="1" customFormat="1" x14ac:dyDescent="0.2"/>
    <row r="1008" s="1" customFormat="1" x14ac:dyDescent="0.2"/>
    <row r="1009" s="1" customFormat="1" x14ac:dyDescent="0.2"/>
    <row r="1010" s="1" customFormat="1" x14ac:dyDescent="0.2"/>
    <row r="1011" s="1" customFormat="1" x14ac:dyDescent="0.2"/>
    <row r="1012" s="1" customFormat="1" x14ac:dyDescent="0.2"/>
    <row r="1013" s="1" customFormat="1" x14ac:dyDescent="0.2"/>
    <row r="1014" s="1" customFormat="1" x14ac:dyDescent="0.2"/>
    <row r="1015" s="1" customFormat="1" x14ac:dyDescent="0.2"/>
    <row r="1016" s="1" customFormat="1" x14ac:dyDescent="0.2"/>
    <row r="1017" s="1" customFormat="1" x14ac:dyDescent="0.2"/>
    <row r="1018" s="1" customFormat="1" ht="12.75" customHeight="1" x14ac:dyDescent="0.2"/>
    <row r="1019" s="1" customFormat="1" x14ac:dyDescent="0.2"/>
    <row r="1020" s="1" customFormat="1" x14ac:dyDescent="0.2"/>
    <row r="1021" s="1" customFormat="1" x14ac:dyDescent="0.2"/>
    <row r="1022" s="1" customFormat="1" x14ac:dyDescent="0.2"/>
    <row r="1023" s="1" customFormat="1" x14ac:dyDescent="0.2"/>
    <row r="1024" s="1" customFormat="1" x14ac:dyDescent="0.2"/>
    <row r="1025" s="1" customFormat="1" x14ac:dyDescent="0.2"/>
    <row r="1026" s="1" customFormat="1" x14ac:dyDescent="0.2"/>
    <row r="1027" s="1" customFormat="1" x14ac:dyDescent="0.2"/>
    <row r="1028" s="1" customFormat="1" x14ac:dyDescent="0.2"/>
    <row r="1029" s="1" customFormat="1" x14ac:dyDescent="0.2"/>
    <row r="1030" s="1" customFormat="1" x14ac:dyDescent="0.2"/>
    <row r="1031" s="1" customFormat="1" ht="12.75" customHeight="1" x14ac:dyDescent="0.2"/>
    <row r="1032" s="1" customFormat="1" x14ac:dyDescent="0.2"/>
    <row r="1033" s="1" customFormat="1" x14ac:dyDescent="0.2"/>
    <row r="1034" s="1" customFormat="1" x14ac:dyDescent="0.2"/>
    <row r="1035" s="1" customFormat="1" x14ac:dyDescent="0.2"/>
    <row r="1036" s="1" customFormat="1" x14ac:dyDescent="0.2"/>
    <row r="1037" s="1" customFormat="1" x14ac:dyDescent="0.2"/>
    <row r="1038" s="1" customFormat="1" x14ac:dyDescent="0.2"/>
    <row r="1039" s="1" customFormat="1" x14ac:dyDescent="0.2"/>
    <row r="1040" s="1" customFormat="1" x14ac:dyDescent="0.2"/>
    <row r="1041" s="1" customFormat="1" x14ac:dyDescent="0.2"/>
    <row r="1042" s="1" customFormat="1" x14ac:dyDescent="0.2"/>
    <row r="1043" s="1" customFormat="1" x14ac:dyDescent="0.2"/>
    <row r="1044" s="1" customFormat="1" ht="12.75" customHeight="1" x14ac:dyDescent="0.2"/>
    <row r="1045" s="1" customFormat="1" x14ac:dyDescent="0.2"/>
    <row r="1046" s="1" customFormat="1" x14ac:dyDescent="0.2"/>
    <row r="1047" s="1" customFormat="1" x14ac:dyDescent="0.2"/>
    <row r="1048" s="1" customFormat="1" x14ac:dyDescent="0.2"/>
    <row r="1049" s="1" customFormat="1" x14ac:dyDescent="0.2"/>
    <row r="1050" s="1" customFormat="1" x14ac:dyDescent="0.2"/>
    <row r="1051" s="1" customFormat="1" x14ac:dyDescent="0.2"/>
    <row r="1052" s="1" customFormat="1" x14ac:dyDescent="0.2"/>
    <row r="1053" s="1" customFormat="1" x14ac:dyDescent="0.2"/>
    <row r="1054" s="1" customFormat="1" x14ac:dyDescent="0.2"/>
    <row r="1055" s="1" customFormat="1" x14ac:dyDescent="0.2"/>
    <row r="1056" s="1" customFormat="1" x14ac:dyDescent="0.2"/>
    <row r="1057" s="1" customFormat="1" ht="12.75" customHeight="1" x14ac:dyDescent="0.2"/>
    <row r="1058" s="1" customFormat="1" x14ac:dyDescent="0.2"/>
    <row r="1059" s="1" customFormat="1" x14ac:dyDescent="0.2"/>
    <row r="1060" s="1" customFormat="1" x14ac:dyDescent="0.2"/>
    <row r="1061" s="1" customFormat="1" x14ac:dyDescent="0.2"/>
    <row r="1062" s="1" customFormat="1" x14ac:dyDescent="0.2"/>
    <row r="1063" s="1" customFormat="1" x14ac:dyDescent="0.2"/>
    <row r="1064" s="1" customFormat="1" x14ac:dyDescent="0.2"/>
    <row r="1065" s="1" customFormat="1" x14ac:dyDescent="0.2"/>
    <row r="1066" s="1" customFormat="1" x14ac:dyDescent="0.2"/>
    <row r="1067" s="1" customFormat="1" x14ac:dyDescent="0.2"/>
    <row r="1068" s="1" customFormat="1" x14ac:dyDescent="0.2"/>
    <row r="1069" s="1" customFormat="1" x14ac:dyDescent="0.2"/>
    <row r="1070" s="1" customFormat="1" ht="12.75" customHeight="1" x14ac:dyDescent="0.2"/>
    <row r="1071" s="1" customFormat="1" x14ac:dyDescent="0.2"/>
    <row r="1072" s="1" customFormat="1" x14ac:dyDescent="0.2"/>
    <row r="1073" s="1" customFormat="1" x14ac:dyDescent="0.2"/>
    <row r="1074" s="1" customFormat="1" x14ac:dyDescent="0.2"/>
    <row r="1075" s="1" customFormat="1" x14ac:dyDescent="0.2"/>
    <row r="1076" s="1" customFormat="1" x14ac:dyDescent="0.2"/>
    <row r="1077" s="1" customFormat="1" x14ac:dyDescent="0.2"/>
    <row r="1078" s="1" customFormat="1" x14ac:dyDescent="0.2"/>
    <row r="1079" s="1" customFormat="1" x14ac:dyDescent="0.2"/>
    <row r="1080" s="1" customFormat="1" x14ac:dyDescent="0.2"/>
    <row r="1081" s="1" customFormat="1" x14ac:dyDescent="0.2"/>
    <row r="1082" s="1" customFormat="1" x14ac:dyDescent="0.2"/>
    <row r="1083" s="1" customFormat="1" ht="12.75" customHeight="1" x14ac:dyDescent="0.2"/>
    <row r="1084" s="1" customFormat="1" x14ac:dyDescent="0.2"/>
    <row r="1085" s="1" customFormat="1" x14ac:dyDescent="0.2"/>
    <row r="1086" s="1" customFormat="1" x14ac:dyDescent="0.2"/>
    <row r="1087" s="1" customFormat="1" x14ac:dyDescent="0.2"/>
    <row r="1088" s="1" customFormat="1" x14ac:dyDescent="0.2"/>
    <row r="1089" s="1" customFormat="1" x14ac:dyDescent="0.2"/>
    <row r="1090" s="1" customFormat="1" x14ac:dyDescent="0.2"/>
    <row r="1091" s="1" customFormat="1" x14ac:dyDescent="0.2"/>
    <row r="1092" s="1" customFormat="1" x14ac:dyDescent="0.2"/>
    <row r="1093" s="1" customFormat="1" x14ac:dyDescent="0.2"/>
    <row r="1094" s="1" customFormat="1" x14ac:dyDescent="0.2"/>
    <row r="1095" s="1" customFormat="1" x14ac:dyDescent="0.2"/>
    <row r="1096" s="1" customFormat="1" ht="12.75" customHeight="1" x14ac:dyDescent="0.2"/>
    <row r="1097" s="1" customFormat="1" x14ac:dyDescent="0.2"/>
    <row r="1098" s="1" customFormat="1" x14ac:dyDescent="0.2"/>
    <row r="1099" s="1" customFormat="1" x14ac:dyDescent="0.2"/>
    <row r="1100" s="1" customFormat="1" x14ac:dyDescent="0.2"/>
    <row r="1101" s="1" customFormat="1" x14ac:dyDescent="0.2"/>
    <row r="1102" s="1" customFormat="1" x14ac:dyDescent="0.2"/>
    <row r="1103" s="1" customFormat="1" x14ac:dyDescent="0.2"/>
    <row r="1104" s="1" customFormat="1" x14ac:dyDescent="0.2"/>
    <row r="1105" s="1" customFormat="1" x14ac:dyDescent="0.2"/>
    <row r="1106" s="1" customFormat="1" x14ac:dyDescent="0.2"/>
    <row r="1107" s="1" customFormat="1" x14ac:dyDescent="0.2"/>
    <row r="1108" s="1" customFormat="1" x14ac:dyDescent="0.2"/>
    <row r="1109" s="1" customFormat="1" ht="12.75" customHeight="1" x14ac:dyDescent="0.2"/>
    <row r="1110" s="1" customFormat="1" x14ac:dyDescent="0.2"/>
    <row r="1111" s="1" customFormat="1" x14ac:dyDescent="0.2"/>
    <row r="1112" s="1" customFormat="1" x14ac:dyDescent="0.2"/>
    <row r="1113" s="1" customFormat="1" x14ac:dyDescent="0.2"/>
    <row r="1114" s="1" customFormat="1" x14ac:dyDescent="0.2"/>
    <row r="1115" s="1" customFormat="1" x14ac:dyDescent="0.2"/>
    <row r="1116" s="1" customFormat="1" x14ac:dyDescent="0.2"/>
    <row r="1117" s="1" customFormat="1" x14ac:dyDescent="0.2"/>
    <row r="1118" s="1" customFormat="1" x14ac:dyDescent="0.2"/>
    <row r="1119" s="1" customFormat="1" x14ac:dyDescent="0.2"/>
    <row r="1120" s="1" customFormat="1" x14ac:dyDescent="0.2"/>
    <row r="1121" s="1" customFormat="1" x14ac:dyDescent="0.2"/>
    <row r="1122" s="1" customFormat="1" ht="12.75" customHeight="1" x14ac:dyDescent="0.2"/>
    <row r="1123" s="1" customFormat="1" x14ac:dyDescent="0.2"/>
    <row r="1124" s="1" customFormat="1" x14ac:dyDescent="0.2"/>
    <row r="1125" s="1" customFormat="1" x14ac:dyDescent="0.2"/>
    <row r="1126" s="1" customFormat="1" x14ac:dyDescent="0.2"/>
    <row r="1127" s="1" customFormat="1" x14ac:dyDescent="0.2"/>
    <row r="1128" s="1" customFormat="1" x14ac:dyDescent="0.2"/>
    <row r="1129" s="1" customFormat="1" x14ac:dyDescent="0.2"/>
    <row r="1130" s="1" customFormat="1" x14ac:dyDescent="0.2"/>
    <row r="1131" s="1" customFormat="1" x14ac:dyDescent="0.2"/>
    <row r="1132" s="1" customFormat="1" x14ac:dyDescent="0.2"/>
    <row r="1133" s="1" customFormat="1" x14ac:dyDescent="0.2"/>
    <row r="1134" s="1" customFormat="1" x14ac:dyDescent="0.2"/>
    <row r="1135" s="1" customFormat="1" ht="12.75" customHeight="1" x14ac:dyDescent="0.2"/>
    <row r="1136" s="1" customFormat="1" x14ac:dyDescent="0.2"/>
    <row r="1137" s="1" customFormat="1" x14ac:dyDescent="0.2"/>
    <row r="1138" s="1" customFormat="1" x14ac:dyDescent="0.2"/>
    <row r="1139" s="1" customFormat="1" x14ac:dyDescent="0.2"/>
    <row r="1140" s="1" customFormat="1" x14ac:dyDescent="0.2"/>
    <row r="1141" s="1" customFormat="1" x14ac:dyDescent="0.2"/>
    <row r="1142" s="1" customFormat="1" x14ac:dyDescent="0.2"/>
    <row r="1143" s="1" customFormat="1" x14ac:dyDescent="0.2"/>
    <row r="1144" s="1" customFormat="1" x14ac:dyDescent="0.2"/>
    <row r="1145" s="1" customFormat="1" x14ac:dyDescent="0.2"/>
    <row r="1146" s="1" customFormat="1" x14ac:dyDescent="0.2"/>
    <row r="1147" s="1" customFormat="1" x14ac:dyDescent="0.2"/>
    <row r="1148" s="1" customFormat="1" ht="12.75" customHeight="1" x14ac:dyDescent="0.2"/>
    <row r="1149" s="1" customFormat="1" x14ac:dyDescent="0.2"/>
    <row r="1150" s="1" customFormat="1" x14ac:dyDescent="0.2"/>
    <row r="1151" s="1" customFormat="1" x14ac:dyDescent="0.2"/>
    <row r="1152" s="1" customFormat="1" x14ac:dyDescent="0.2"/>
    <row r="1153" s="1" customFormat="1" x14ac:dyDescent="0.2"/>
    <row r="1154" s="1" customFormat="1" x14ac:dyDescent="0.2"/>
    <row r="1155" s="1" customFormat="1" x14ac:dyDescent="0.2"/>
    <row r="1156" s="1" customFormat="1" x14ac:dyDescent="0.2"/>
    <row r="1157" s="1" customFormat="1" x14ac:dyDescent="0.2"/>
    <row r="1158" s="1" customFormat="1" x14ac:dyDescent="0.2"/>
    <row r="1159" s="1" customFormat="1" x14ac:dyDescent="0.2"/>
    <row r="1160" s="1" customFormat="1" x14ac:dyDescent="0.2"/>
    <row r="1161" s="1" customFormat="1" ht="12.75" customHeight="1" x14ac:dyDescent="0.2"/>
    <row r="1162" s="1" customFormat="1" x14ac:dyDescent="0.2"/>
    <row r="1163" s="1" customFormat="1" x14ac:dyDescent="0.2"/>
    <row r="1164" s="1" customFormat="1" x14ac:dyDescent="0.2"/>
    <row r="1165" s="1" customFormat="1" x14ac:dyDescent="0.2"/>
    <row r="1166" s="1" customFormat="1" x14ac:dyDescent="0.2"/>
    <row r="1167" s="1" customFormat="1" x14ac:dyDescent="0.2"/>
    <row r="1168" s="1" customFormat="1" x14ac:dyDescent="0.2"/>
    <row r="1169" s="1" customFormat="1" x14ac:dyDescent="0.2"/>
    <row r="1170" s="1" customFormat="1" x14ac:dyDescent="0.2"/>
    <row r="1171" s="1" customFormat="1" x14ac:dyDescent="0.2"/>
    <row r="1172" s="1" customFormat="1" x14ac:dyDescent="0.2"/>
    <row r="1173" s="1" customFormat="1" x14ac:dyDescent="0.2"/>
    <row r="1174" s="1" customFormat="1" ht="12.75" customHeight="1" x14ac:dyDescent="0.2"/>
    <row r="1175" s="1" customFormat="1" x14ac:dyDescent="0.2"/>
    <row r="1176" s="1" customFormat="1" x14ac:dyDescent="0.2"/>
    <row r="1177" s="1" customFormat="1" x14ac:dyDescent="0.2"/>
    <row r="1178" s="1" customFormat="1" x14ac:dyDescent="0.2"/>
    <row r="1179" s="1" customFormat="1" x14ac:dyDescent="0.2"/>
    <row r="1180" s="1" customFormat="1" x14ac:dyDescent="0.2"/>
    <row r="1181" s="1" customFormat="1" x14ac:dyDescent="0.2"/>
    <row r="1182" s="1" customFormat="1" x14ac:dyDescent="0.2"/>
    <row r="1183" s="1" customFormat="1" x14ac:dyDescent="0.2"/>
    <row r="1184" s="1" customFormat="1" x14ac:dyDescent="0.2"/>
    <row r="1185" s="1" customFormat="1" x14ac:dyDescent="0.2"/>
    <row r="1186" s="1" customFormat="1" x14ac:dyDescent="0.2"/>
    <row r="1187" s="1" customFormat="1" ht="12.75" customHeight="1" x14ac:dyDescent="0.2"/>
    <row r="1188" s="1" customFormat="1" x14ac:dyDescent="0.2"/>
    <row r="1189" s="1" customFormat="1" x14ac:dyDescent="0.2"/>
    <row r="1190" s="1" customFormat="1" x14ac:dyDescent="0.2"/>
    <row r="1191" s="1" customFormat="1" x14ac:dyDescent="0.2"/>
    <row r="1192" s="1" customFormat="1" x14ac:dyDescent="0.2"/>
    <row r="1193" s="1" customFormat="1" x14ac:dyDescent="0.2"/>
    <row r="1194" s="1" customFormat="1" x14ac:dyDescent="0.2"/>
    <row r="1195" s="1" customFormat="1" x14ac:dyDescent="0.2"/>
    <row r="1196" s="1" customFormat="1" x14ac:dyDescent="0.2"/>
    <row r="1197" s="1" customFormat="1" x14ac:dyDescent="0.2"/>
    <row r="1198" s="1" customFormat="1" x14ac:dyDescent="0.2"/>
    <row r="1199" s="1" customFormat="1" x14ac:dyDescent="0.2"/>
    <row r="1200" s="1" customFormat="1" ht="12.75" customHeight="1" x14ac:dyDescent="0.2"/>
    <row r="1201" s="1" customFormat="1" x14ac:dyDescent="0.2"/>
    <row r="1202" s="1" customFormat="1" x14ac:dyDescent="0.2"/>
    <row r="1203" s="1" customFormat="1" x14ac:dyDescent="0.2"/>
    <row r="1204" s="1" customFormat="1" x14ac:dyDescent="0.2"/>
    <row r="1205" s="1" customFormat="1" x14ac:dyDescent="0.2"/>
    <row r="1206" s="1" customFormat="1" x14ac:dyDescent="0.2"/>
    <row r="1207" s="1" customFormat="1" x14ac:dyDescent="0.2"/>
    <row r="1208" s="1" customFormat="1" x14ac:dyDescent="0.2"/>
    <row r="1209" s="1" customFormat="1" x14ac:dyDescent="0.2"/>
    <row r="1210" s="1" customFormat="1" x14ac:dyDescent="0.2"/>
    <row r="1211" s="1" customFormat="1" x14ac:dyDescent="0.2"/>
    <row r="1212" s="1" customFormat="1" x14ac:dyDescent="0.2"/>
    <row r="1213" s="1" customFormat="1" ht="12.75" customHeight="1" x14ac:dyDescent="0.2"/>
    <row r="1214" s="1" customFormat="1" x14ac:dyDescent="0.2"/>
    <row r="1215" s="1" customFormat="1" x14ac:dyDescent="0.2"/>
    <row r="1216" s="1" customFormat="1" x14ac:dyDescent="0.2"/>
    <row r="1217" s="1" customFormat="1" x14ac:dyDescent="0.2"/>
    <row r="1218" s="1" customFormat="1" x14ac:dyDescent="0.2"/>
    <row r="1219" s="1" customFormat="1" x14ac:dyDescent="0.2"/>
    <row r="1220" s="1" customFormat="1" x14ac:dyDescent="0.2"/>
    <row r="1221" s="1" customFormat="1" x14ac:dyDescent="0.2"/>
    <row r="1222" s="1" customFormat="1" x14ac:dyDescent="0.2"/>
    <row r="1223" s="1" customFormat="1" x14ac:dyDescent="0.2"/>
    <row r="1224" s="1" customFormat="1" x14ac:dyDescent="0.2"/>
    <row r="1225" s="1" customFormat="1" x14ac:dyDescent="0.2"/>
    <row r="1226" s="1" customFormat="1" ht="12.75" customHeight="1" x14ac:dyDescent="0.2"/>
    <row r="1227" s="1" customFormat="1" x14ac:dyDescent="0.2"/>
    <row r="1228" s="1" customFormat="1" x14ac:dyDescent="0.2"/>
    <row r="1229" s="1" customFormat="1" x14ac:dyDescent="0.2"/>
    <row r="1230" s="1" customFormat="1" x14ac:dyDescent="0.2"/>
    <row r="1231" s="1" customFormat="1" x14ac:dyDescent="0.2"/>
    <row r="1232" s="1" customFormat="1" x14ac:dyDescent="0.2"/>
    <row r="1233" s="1" customFormat="1" x14ac:dyDescent="0.2"/>
    <row r="1234" s="1" customFormat="1" x14ac:dyDescent="0.2"/>
    <row r="1235" s="1" customFormat="1" x14ac:dyDescent="0.2"/>
    <row r="1236" s="1" customFormat="1" x14ac:dyDescent="0.2"/>
    <row r="1237" s="1" customFormat="1" x14ac:dyDescent="0.2"/>
    <row r="1238" s="1" customFormat="1" x14ac:dyDescent="0.2"/>
    <row r="1239" s="1" customFormat="1" ht="12.75" customHeight="1" x14ac:dyDescent="0.2"/>
    <row r="1240" s="1" customFormat="1" x14ac:dyDescent="0.2"/>
    <row r="1241" s="1" customFormat="1" x14ac:dyDescent="0.2"/>
    <row r="1242" s="1" customFormat="1" x14ac:dyDescent="0.2"/>
    <row r="1243" s="1" customFormat="1" x14ac:dyDescent="0.2"/>
    <row r="1244" s="1" customFormat="1" x14ac:dyDescent="0.2"/>
    <row r="1245" s="1" customFormat="1" x14ac:dyDescent="0.2"/>
    <row r="1246" s="1" customFormat="1" x14ac:dyDescent="0.2"/>
    <row r="1247" s="1" customFormat="1" x14ac:dyDescent="0.2"/>
    <row r="1248" s="1" customFormat="1" x14ac:dyDescent="0.2"/>
    <row r="1249" s="1" customFormat="1" x14ac:dyDescent="0.2"/>
    <row r="1250" s="1" customFormat="1" x14ac:dyDescent="0.2"/>
    <row r="1251" s="1" customFormat="1" x14ac:dyDescent="0.2"/>
    <row r="1252" s="1" customFormat="1" ht="12.75" customHeight="1" x14ac:dyDescent="0.2"/>
    <row r="1253" s="1" customFormat="1" x14ac:dyDescent="0.2"/>
    <row r="1254" s="1" customFormat="1" x14ac:dyDescent="0.2"/>
    <row r="1255" s="1" customFormat="1" x14ac:dyDescent="0.2"/>
    <row r="1256" s="1" customFormat="1" x14ac:dyDescent="0.2"/>
    <row r="1257" s="1" customFormat="1" x14ac:dyDescent="0.2"/>
    <row r="1258" s="1" customFormat="1" x14ac:dyDescent="0.2"/>
    <row r="1259" s="1" customFormat="1" x14ac:dyDescent="0.2"/>
    <row r="1260" s="1" customFormat="1" x14ac:dyDescent="0.2"/>
    <row r="1261" s="1" customFormat="1" x14ac:dyDescent="0.2"/>
    <row r="1262" s="1" customFormat="1" x14ac:dyDescent="0.2"/>
    <row r="1263" s="1" customFormat="1" x14ac:dyDescent="0.2"/>
    <row r="1264" s="1" customFormat="1" x14ac:dyDescent="0.2"/>
    <row r="1265" s="1" customFormat="1" ht="12.75" customHeight="1" x14ac:dyDescent="0.2"/>
    <row r="1266" s="1" customFormat="1" x14ac:dyDescent="0.2"/>
    <row r="1267" s="1" customFormat="1" x14ac:dyDescent="0.2"/>
    <row r="1268" s="1" customFormat="1" x14ac:dyDescent="0.2"/>
    <row r="1269" s="1" customFormat="1" x14ac:dyDescent="0.2"/>
    <row r="1270" s="1" customFormat="1" x14ac:dyDescent="0.2"/>
    <row r="1271" s="1" customFormat="1" x14ac:dyDescent="0.2"/>
    <row r="1272" s="1" customFormat="1" x14ac:dyDescent="0.2"/>
    <row r="1273" s="1" customFormat="1" x14ac:dyDescent="0.2"/>
    <row r="1274" s="1" customFormat="1" x14ac:dyDescent="0.2"/>
    <row r="1275" s="1" customFormat="1" x14ac:dyDescent="0.2"/>
    <row r="1276" s="1" customFormat="1" x14ac:dyDescent="0.2"/>
    <row r="1277" s="1" customFormat="1" x14ac:dyDescent="0.2"/>
    <row r="1278" s="1" customFormat="1" ht="12.75" customHeight="1" x14ac:dyDescent="0.2"/>
    <row r="1279" s="1" customFormat="1" x14ac:dyDescent="0.2"/>
    <row r="1280" s="1" customFormat="1" x14ac:dyDescent="0.2"/>
    <row r="1281" s="1" customFormat="1" x14ac:dyDescent="0.2"/>
    <row r="1282" s="1" customFormat="1" x14ac:dyDescent="0.2"/>
    <row r="1283" s="1" customFormat="1" x14ac:dyDescent="0.2"/>
    <row r="1284" s="1" customFormat="1" x14ac:dyDescent="0.2"/>
    <row r="1285" s="1" customFormat="1" x14ac:dyDescent="0.2"/>
    <row r="1286" s="1" customFormat="1" x14ac:dyDescent="0.2"/>
    <row r="1287" s="1" customFormat="1" x14ac:dyDescent="0.2"/>
    <row r="1288" s="1" customFormat="1" x14ac:dyDescent="0.2"/>
    <row r="1289" s="1" customFormat="1" x14ac:dyDescent="0.2"/>
    <row r="1290" s="1" customFormat="1" x14ac:dyDescent="0.2"/>
    <row r="1291" s="1" customFormat="1" ht="12.75" customHeight="1" x14ac:dyDescent="0.2"/>
    <row r="1292" s="1" customFormat="1" x14ac:dyDescent="0.2"/>
    <row r="1293" s="1" customFormat="1" x14ac:dyDescent="0.2"/>
    <row r="1294" s="1" customFormat="1" x14ac:dyDescent="0.2"/>
    <row r="1295" s="1" customFormat="1" x14ac:dyDescent="0.2"/>
    <row r="1296" s="1" customFormat="1" x14ac:dyDescent="0.2"/>
    <row r="1297" s="1" customFormat="1" x14ac:dyDescent="0.2"/>
    <row r="1298" s="1" customFormat="1" x14ac:dyDescent="0.2"/>
    <row r="1299" s="1" customFormat="1" x14ac:dyDescent="0.2"/>
    <row r="1300" s="1" customFormat="1" x14ac:dyDescent="0.2"/>
    <row r="1301" s="1" customFormat="1" x14ac:dyDescent="0.2"/>
    <row r="1302" s="1" customFormat="1" x14ac:dyDescent="0.2"/>
    <row r="1303" s="1" customFormat="1" x14ac:dyDescent="0.2"/>
    <row r="1304" s="1" customFormat="1" ht="12.75" customHeight="1" x14ac:dyDescent="0.2"/>
    <row r="1305" s="1" customFormat="1" x14ac:dyDescent="0.2"/>
    <row r="1306" s="1" customFormat="1" x14ac:dyDescent="0.2"/>
    <row r="1307" s="1" customFormat="1" x14ac:dyDescent="0.2"/>
    <row r="1308" s="1" customFormat="1" x14ac:dyDescent="0.2"/>
    <row r="1309" s="1" customFormat="1" x14ac:dyDescent="0.2"/>
    <row r="1310" s="1" customFormat="1" x14ac:dyDescent="0.2"/>
    <row r="1311" s="1" customFormat="1" x14ac:dyDescent="0.2"/>
    <row r="1312" s="1" customFormat="1" x14ac:dyDescent="0.2"/>
    <row r="1313" s="1" customFormat="1" x14ac:dyDescent="0.2"/>
    <row r="1314" s="1" customFormat="1" x14ac:dyDescent="0.2"/>
    <row r="1315" s="1" customFormat="1" x14ac:dyDescent="0.2"/>
    <row r="1316" s="1" customFormat="1" x14ac:dyDescent="0.2"/>
    <row r="1317" s="1" customFormat="1" ht="12.75" customHeight="1" x14ac:dyDescent="0.2"/>
    <row r="1318" s="1" customFormat="1" x14ac:dyDescent="0.2"/>
    <row r="1319" s="1" customFormat="1" x14ac:dyDescent="0.2"/>
    <row r="1320" s="1" customFormat="1" x14ac:dyDescent="0.2"/>
    <row r="1321" s="1" customFormat="1" x14ac:dyDescent="0.2"/>
    <row r="1322" s="1" customFormat="1" x14ac:dyDescent="0.2"/>
    <row r="1323" s="1" customFormat="1" x14ac:dyDescent="0.2"/>
    <row r="1324" s="1" customFormat="1" x14ac:dyDescent="0.2"/>
    <row r="1325" s="1" customFormat="1" x14ac:dyDescent="0.2"/>
    <row r="1326" s="1" customFormat="1" x14ac:dyDescent="0.2"/>
    <row r="1327" s="1" customFormat="1" x14ac:dyDescent="0.2"/>
    <row r="1328" s="1" customFormat="1" x14ac:dyDescent="0.2"/>
    <row r="1329" s="1" customFormat="1" x14ac:dyDescent="0.2"/>
    <row r="1330" s="1" customFormat="1" ht="12.75" customHeight="1" x14ac:dyDescent="0.2"/>
    <row r="1331" s="1" customFormat="1" x14ac:dyDescent="0.2"/>
    <row r="1332" s="1" customFormat="1" x14ac:dyDescent="0.2"/>
    <row r="1333" s="1" customFormat="1" x14ac:dyDescent="0.2"/>
    <row r="1334" s="1" customFormat="1" x14ac:dyDescent="0.2"/>
    <row r="1335" s="1" customFormat="1" x14ac:dyDescent="0.2"/>
    <row r="1336" s="1" customFormat="1" x14ac:dyDescent="0.2"/>
    <row r="1337" s="1" customFormat="1" x14ac:dyDescent="0.2"/>
    <row r="1338" s="1" customFormat="1" x14ac:dyDescent="0.2"/>
    <row r="1339" s="1" customFormat="1" x14ac:dyDescent="0.2"/>
    <row r="1340" s="1" customFormat="1" x14ac:dyDescent="0.2"/>
    <row r="1341" s="1" customFormat="1" x14ac:dyDescent="0.2"/>
    <row r="1342" s="1" customFormat="1" x14ac:dyDescent="0.2"/>
    <row r="1343" s="1" customFormat="1" ht="12.75" customHeight="1" x14ac:dyDescent="0.2"/>
    <row r="1344" s="1" customFormat="1" x14ac:dyDescent="0.2"/>
    <row r="1345" s="1" customFormat="1" x14ac:dyDescent="0.2"/>
    <row r="1346" s="1" customFormat="1" x14ac:dyDescent="0.2"/>
    <row r="1347" s="1" customFormat="1" x14ac:dyDescent="0.2"/>
    <row r="1348" s="1" customFormat="1" x14ac:dyDescent="0.2"/>
    <row r="1349" s="1" customFormat="1" x14ac:dyDescent="0.2"/>
    <row r="1350" s="1" customFormat="1" x14ac:dyDescent="0.2"/>
    <row r="1351" s="1" customFormat="1" x14ac:dyDescent="0.2"/>
    <row r="1352" s="1" customFormat="1" x14ac:dyDescent="0.2"/>
    <row r="1353" s="1" customFormat="1" x14ac:dyDescent="0.2"/>
    <row r="1354" s="1" customFormat="1" x14ac:dyDescent="0.2"/>
    <row r="1355" s="1" customFormat="1" x14ac:dyDescent="0.2"/>
    <row r="1356" s="1" customFormat="1" ht="12.75" customHeight="1" x14ac:dyDescent="0.2"/>
    <row r="1357" s="1" customFormat="1" x14ac:dyDescent="0.2"/>
    <row r="1358" s="1" customFormat="1" x14ac:dyDescent="0.2"/>
    <row r="1359" s="1" customFormat="1" x14ac:dyDescent="0.2"/>
    <row r="1360" s="1" customFormat="1" x14ac:dyDescent="0.2"/>
    <row r="1361" s="1" customFormat="1" x14ac:dyDescent="0.2"/>
    <row r="1362" s="1" customFormat="1" x14ac:dyDescent="0.2"/>
    <row r="1363" s="1" customFormat="1" x14ac:dyDescent="0.2"/>
    <row r="1364" s="1" customFormat="1" x14ac:dyDescent="0.2"/>
    <row r="1365" s="1" customFormat="1" x14ac:dyDescent="0.2"/>
    <row r="1366" s="1" customFormat="1" x14ac:dyDescent="0.2"/>
    <row r="1367" s="1" customFormat="1" x14ac:dyDescent="0.2"/>
    <row r="1368" s="1" customFormat="1" x14ac:dyDescent="0.2"/>
    <row r="1369" s="1" customFormat="1" ht="12.75" customHeight="1" x14ac:dyDescent="0.2"/>
    <row r="1370" s="1" customFormat="1" x14ac:dyDescent="0.2"/>
    <row r="1371" s="1" customFormat="1" x14ac:dyDescent="0.2"/>
    <row r="1372" s="1" customFormat="1" x14ac:dyDescent="0.2"/>
    <row r="1373" s="1" customFormat="1" x14ac:dyDescent="0.2"/>
    <row r="1374" s="1" customFormat="1" x14ac:dyDescent="0.2"/>
    <row r="1375" s="1" customFormat="1" x14ac:dyDescent="0.2"/>
    <row r="1376" s="1" customFormat="1" x14ac:dyDescent="0.2"/>
    <row r="1377" s="1" customFormat="1" x14ac:dyDescent="0.2"/>
    <row r="1378" s="1" customFormat="1" x14ac:dyDescent="0.2"/>
    <row r="1379" s="1" customFormat="1" x14ac:dyDescent="0.2"/>
    <row r="1380" s="1" customFormat="1" x14ac:dyDescent="0.2"/>
    <row r="1381" s="1" customFormat="1" x14ac:dyDescent="0.2"/>
    <row r="1382" s="1" customFormat="1" ht="12.75" customHeight="1" x14ac:dyDescent="0.2"/>
    <row r="1383" s="1" customFormat="1" x14ac:dyDescent="0.2"/>
    <row r="1384" s="1" customFormat="1" x14ac:dyDescent="0.2"/>
    <row r="1385" s="1" customFormat="1" x14ac:dyDescent="0.2"/>
    <row r="1386" s="1" customFormat="1" x14ac:dyDescent="0.2"/>
    <row r="1387" s="1" customFormat="1" x14ac:dyDescent="0.2"/>
    <row r="1388" s="1" customFormat="1" x14ac:dyDescent="0.2"/>
    <row r="1389" s="1" customFormat="1" x14ac:dyDescent="0.2"/>
    <row r="1390" s="1" customFormat="1" x14ac:dyDescent="0.2"/>
    <row r="1391" s="1" customFormat="1" x14ac:dyDescent="0.2"/>
    <row r="1392" s="1" customFormat="1" x14ac:dyDescent="0.2"/>
    <row r="1393" s="1" customFormat="1" x14ac:dyDescent="0.2"/>
    <row r="1394" s="1" customFormat="1" x14ac:dyDescent="0.2"/>
    <row r="1395" s="1" customFormat="1" ht="12.75" customHeight="1" x14ac:dyDescent="0.2"/>
    <row r="1396" s="1" customFormat="1" x14ac:dyDescent="0.2"/>
    <row r="1397" s="1" customFormat="1" x14ac:dyDescent="0.2"/>
    <row r="1398" s="1" customFormat="1" x14ac:dyDescent="0.2"/>
    <row r="1399" s="1" customFormat="1" x14ac:dyDescent="0.2"/>
    <row r="1400" s="1" customFormat="1" x14ac:dyDescent="0.2"/>
    <row r="1401" s="1" customFormat="1" x14ac:dyDescent="0.2"/>
    <row r="1402" s="1" customFormat="1" x14ac:dyDescent="0.2"/>
    <row r="1403" s="1" customFormat="1" x14ac:dyDescent="0.2"/>
    <row r="1404" s="1" customFormat="1" x14ac:dyDescent="0.2"/>
    <row r="1405" s="1" customFormat="1" x14ac:dyDescent="0.2"/>
    <row r="1406" s="1" customFormat="1" x14ac:dyDescent="0.2"/>
    <row r="1407" s="1" customFormat="1" x14ac:dyDescent="0.2"/>
    <row r="1408" s="1" customFormat="1" ht="12.75" customHeight="1" x14ac:dyDescent="0.2"/>
    <row r="1409" s="1" customFormat="1" x14ac:dyDescent="0.2"/>
    <row r="1410" s="1" customFormat="1" x14ac:dyDescent="0.2"/>
    <row r="1411" s="1" customFormat="1" x14ac:dyDescent="0.2"/>
    <row r="1412" s="1" customFormat="1" x14ac:dyDescent="0.2"/>
    <row r="1413" s="1" customFormat="1" x14ac:dyDescent="0.2"/>
    <row r="1414" s="1" customFormat="1" x14ac:dyDescent="0.2"/>
    <row r="1415" s="1" customFormat="1" x14ac:dyDescent="0.2"/>
    <row r="1416" s="1" customFormat="1" x14ac:dyDescent="0.2"/>
    <row r="1417" s="1" customFormat="1" x14ac:dyDescent="0.2"/>
    <row r="1418" s="1" customFormat="1" x14ac:dyDescent="0.2"/>
    <row r="1419" s="1" customFormat="1" x14ac:dyDescent="0.2"/>
    <row r="1420" s="1" customFormat="1" x14ac:dyDescent="0.2"/>
    <row r="1421" s="1" customFormat="1" ht="12.75" customHeight="1" x14ac:dyDescent="0.2"/>
    <row r="1422" s="1" customFormat="1" x14ac:dyDescent="0.2"/>
    <row r="1423" s="1" customFormat="1" x14ac:dyDescent="0.2"/>
    <row r="1424" s="1" customFormat="1" x14ac:dyDescent="0.2"/>
    <row r="1425" s="1" customFormat="1" x14ac:dyDescent="0.2"/>
    <row r="1426" s="1" customFormat="1" x14ac:dyDescent="0.2"/>
    <row r="1427" s="1" customFormat="1" x14ac:dyDescent="0.2"/>
    <row r="1428" s="1" customFormat="1" x14ac:dyDescent="0.2"/>
    <row r="1429" s="1" customFormat="1" x14ac:dyDescent="0.2"/>
    <row r="1430" s="1" customFormat="1" x14ac:dyDescent="0.2"/>
    <row r="1431" s="1" customFormat="1" x14ac:dyDescent="0.2"/>
    <row r="1432" s="1" customFormat="1" x14ac:dyDescent="0.2"/>
    <row r="1433" s="1" customFormat="1" x14ac:dyDescent="0.2"/>
    <row r="1434" s="1" customFormat="1" ht="12.75" customHeight="1" x14ac:dyDescent="0.2"/>
    <row r="1435" s="1" customFormat="1" x14ac:dyDescent="0.2"/>
    <row r="1436" s="1" customFormat="1" x14ac:dyDescent="0.2"/>
    <row r="1437" s="1" customFormat="1" x14ac:dyDescent="0.2"/>
    <row r="1438" s="1" customFormat="1" x14ac:dyDescent="0.2"/>
    <row r="1439" s="1" customFormat="1" x14ac:dyDescent="0.2"/>
    <row r="1440" s="1" customFormat="1" x14ac:dyDescent="0.2"/>
    <row r="1441" s="1" customFormat="1" x14ac:dyDescent="0.2"/>
    <row r="1442" s="1" customFormat="1" x14ac:dyDescent="0.2"/>
    <row r="1443" s="1" customFormat="1" x14ac:dyDescent="0.2"/>
    <row r="1444" s="1" customFormat="1" x14ac:dyDescent="0.2"/>
    <row r="1445" s="1" customFormat="1" x14ac:dyDescent="0.2"/>
    <row r="1446" s="1" customFormat="1" x14ac:dyDescent="0.2"/>
    <row r="1447" s="1" customFormat="1" ht="12.75" customHeight="1" x14ac:dyDescent="0.2"/>
    <row r="1448" s="1" customFormat="1" x14ac:dyDescent="0.2"/>
    <row r="1449" s="1" customFormat="1" x14ac:dyDescent="0.2"/>
    <row r="1450" s="1" customFormat="1" x14ac:dyDescent="0.2"/>
    <row r="1451" s="1" customFormat="1" x14ac:dyDescent="0.2"/>
    <row r="1452" s="1" customFormat="1" x14ac:dyDescent="0.2"/>
    <row r="1453" s="1" customFormat="1" x14ac:dyDescent="0.2"/>
    <row r="1454" s="1" customFormat="1" x14ac:dyDescent="0.2"/>
    <row r="1455" s="1" customFormat="1" x14ac:dyDescent="0.2"/>
    <row r="1456" s="1" customFormat="1" x14ac:dyDescent="0.2"/>
    <row r="1457" s="1" customFormat="1" x14ac:dyDescent="0.2"/>
    <row r="1458" s="1" customFormat="1" x14ac:dyDescent="0.2"/>
    <row r="1459" s="1" customFormat="1" x14ac:dyDescent="0.2"/>
    <row r="1460" s="1" customFormat="1" ht="12.75" customHeight="1" x14ac:dyDescent="0.2"/>
    <row r="1461" s="1" customFormat="1" x14ac:dyDescent="0.2"/>
    <row r="1462" s="1" customFormat="1" x14ac:dyDescent="0.2"/>
    <row r="1463" s="1" customFormat="1" x14ac:dyDescent="0.2"/>
    <row r="1464" s="1" customFormat="1" x14ac:dyDescent="0.2"/>
    <row r="1465" s="1" customFormat="1" x14ac:dyDescent="0.2"/>
    <row r="1466" s="1" customFormat="1" x14ac:dyDescent="0.2"/>
    <row r="1467" s="1" customFormat="1" x14ac:dyDescent="0.2"/>
    <row r="1468" s="1" customFormat="1" x14ac:dyDescent="0.2"/>
    <row r="1469" s="1" customFormat="1" x14ac:dyDescent="0.2"/>
    <row r="1470" s="1" customFormat="1" x14ac:dyDescent="0.2"/>
    <row r="1471" s="1" customFormat="1" x14ac:dyDescent="0.2"/>
    <row r="1472" s="1" customFormat="1" x14ac:dyDescent="0.2"/>
    <row r="1473" s="1" customFormat="1" ht="12.75" customHeight="1" x14ac:dyDescent="0.2"/>
    <row r="1474" s="1" customFormat="1" x14ac:dyDescent="0.2"/>
    <row r="1475" s="1" customFormat="1" x14ac:dyDescent="0.2"/>
    <row r="1476" s="1" customFormat="1" x14ac:dyDescent="0.2"/>
    <row r="1477" s="1" customFormat="1" x14ac:dyDescent="0.2"/>
    <row r="1478" s="1" customFormat="1" x14ac:dyDescent="0.2"/>
    <row r="1479" s="1" customFormat="1" x14ac:dyDescent="0.2"/>
    <row r="1480" s="1" customFormat="1" x14ac:dyDescent="0.2"/>
    <row r="1481" s="1" customFormat="1" x14ac:dyDescent="0.2"/>
    <row r="1482" s="1" customFormat="1" x14ac:dyDescent="0.2"/>
    <row r="1483" s="1" customFormat="1" x14ac:dyDescent="0.2"/>
    <row r="1484" s="1" customFormat="1" x14ac:dyDescent="0.2"/>
    <row r="1485" s="1" customFormat="1" x14ac:dyDescent="0.2"/>
    <row r="1486" s="1" customFormat="1" ht="12.75" customHeight="1" x14ac:dyDescent="0.2"/>
    <row r="1487" s="1" customFormat="1" x14ac:dyDescent="0.2"/>
    <row r="1488" s="1" customFormat="1" x14ac:dyDescent="0.2"/>
    <row r="1489" s="1" customFormat="1" x14ac:dyDescent="0.2"/>
    <row r="1490" s="1" customFormat="1" x14ac:dyDescent="0.2"/>
    <row r="1491" s="1" customFormat="1" x14ac:dyDescent="0.2"/>
    <row r="1492" s="1" customFormat="1" x14ac:dyDescent="0.2"/>
    <row r="1493" s="1" customFormat="1" x14ac:dyDescent="0.2"/>
    <row r="1494" s="1" customFormat="1" x14ac:dyDescent="0.2"/>
    <row r="1495" s="1" customFormat="1" x14ac:dyDescent="0.2"/>
    <row r="1496" s="1" customFormat="1" x14ac:dyDescent="0.2"/>
    <row r="1497" s="1" customFormat="1" x14ac:dyDescent="0.2"/>
    <row r="1498" s="1" customFormat="1" x14ac:dyDescent="0.2"/>
    <row r="1499" s="1" customFormat="1" ht="12.75" customHeight="1" x14ac:dyDescent="0.2"/>
    <row r="1500" s="1" customFormat="1" x14ac:dyDescent="0.2"/>
    <row r="1501" s="1" customFormat="1" x14ac:dyDescent="0.2"/>
    <row r="1502" s="1" customFormat="1" x14ac:dyDescent="0.2"/>
    <row r="1503" s="1" customFormat="1" x14ac:dyDescent="0.2"/>
    <row r="1504" s="1" customFormat="1" x14ac:dyDescent="0.2"/>
    <row r="1505" s="1" customFormat="1" x14ac:dyDescent="0.2"/>
    <row r="1506" s="1" customFormat="1" x14ac:dyDescent="0.2"/>
    <row r="1507" s="1" customFormat="1" x14ac:dyDescent="0.2"/>
    <row r="1508" s="1" customFormat="1" x14ac:dyDescent="0.2"/>
    <row r="1509" s="1" customFormat="1" x14ac:dyDescent="0.2"/>
    <row r="1510" s="1" customFormat="1" x14ac:dyDescent="0.2"/>
    <row r="1511" s="1" customFormat="1" x14ac:dyDescent="0.2"/>
    <row r="1512" s="1" customFormat="1" ht="12.75" customHeight="1" x14ac:dyDescent="0.2"/>
    <row r="1513" s="1" customFormat="1" x14ac:dyDescent="0.2"/>
    <row r="1514" s="1" customFormat="1" x14ac:dyDescent="0.2"/>
    <row r="1515" s="1" customFormat="1" x14ac:dyDescent="0.2"/>
    <row r="1516" s="1" customFormat="1" x14ac:dyDescent="0.2"/>
    <row r="1517" s="1" customFormat="1" x14ac:dyDescent="0.2"/>
    <row r="1518" s="1" customFormat="1" x14ac:dyDescent="0.2"/>
    <row r="1519" s="1" customFormat="1" x14ac:dyDescent="0.2"/>
    <row r="1520" s="1" customFormat="1" x14ac:dyDescent="0.2"/>
    <row r="1521" s="1" customFormat="1" x14ac:dyDescent="0.2"/>
    <row r="1522" s="1" customFormat="1" x14ac:dyDescent="0.2"/>
    <row r="1523" s="1" customFormat="1" x14ac:dyDescent="0.2"/>
    <row r="1524" s="1" customFormat="1" x14ac:dyDescent="0.2"/>
    <row r="1525" s="1" customFormat="1" ht="12.75" customHeight="1" x14ac:dyDescent="0.2"/>
    <row r="1526" s="1" customFormat="1" x14ac:dyDescent="0.2"/>
    <row r="1527" s="1" customFormat="1" x14ac:dyDescent="0.2"/>
    <row r="1528" s="1" customFormat="1" x14ac:dyDescent="0.2"/>
    <row r="1529" s="1" customFormat="1" x14ac:dyDescent="0.2"/>
    <row r="1530" s="1" customFormat="1" x14ac:dyDescent="0.2"/>
    <row r="1531" s="1" customFormat="1" x14ac:dyDescent="0.2"/>
    <row r="1532" s="1" customFormat="1" x14ac:dyDescent="0.2"/>
    <row r="1533" s="1" customFormat="1" x14ac:dyDescent="0.2"/>
    <row r="1534" s="1" customFormat="1" x14ac:dyDescent="0.2"/>
    <row r="1535" s="1" customFormat="1" x14ac:dyDescent="0.2"/>
    <row r="1536" s="1" customFormat="1" x14ac:dyDescent="0.2"/>
    <row r="1537" s="1" customFormat="1" x14ac:dyDescent="0.2"/>
    <row r="1538" s="1" customFormat="1" ht="12.75" customHeight="1" x14ac:dyDescent="0.2"/>
    <row r="1539" s="1" customFormat="1" x14ac:dyDescent="0.2"/>
    <row r="1540" s="1" customFormat="1" x14ac:dyDescent="0.2"/>
    <row r="1541" s="1" customFormat="1" x14ac:dyDescent="0.2"/>
    <row r="1542" s="1" customFormat="1" x14ac:dyDescent="0.2"/>
    <row r="1543" s="1" customFormat="1" x14ac:dyDescent="0.2"/>
    <row r="1544" s="1" customFormat="1" x14ac:dyDescent="0.2"/>
    <row r="1545" s="1" customFormat="1" x14ac:dyDescent="0.2"/>
    <row r="1546" s="1" customFormat="1" x14ac:dyDescent="0.2"/>
    <row r="1547" s="1" customFormat="1" x14ac:dyDescent="0.2"/>
    <row r="1548" s="1" customFormat="1" x14ac:dyDescent="0.2"/>
    <row r="1549" s="1" customFormat="1" x14ac:dyDescent="0.2"/>
    <row r="1550" s="1" customFormat="1" x14ac:dyDescent="0.2"/>
    <row r="1551" s="1" customFormat="1" ht="12.75" customHeight="1" x14ac:dyDescent="0.2"/>
    <row r="1552" s="1" customFormat="1" x14ac:dyDescent="0.2"/>
    <row r="1553" s="1" customFormat="1" x14ac:dyDescent="0.2"/>
    <row r="1554" s="1" customFormat="1" x14ac:dyDescent="0.2"/>
    <row r="1555" s="1" customFormat="1" x14ac:dyDescent="0.2"/>
    <row r="1556" s="1" customFormat="1" x14ac:dyDescent="0.2"/>
    <row r="1557" s="1" customFormat="1" x14ac:dyDescent="0.2"/>
    <row r="1558" s="1" customFormat="1" x14ac:dyDescent="0.2"/>
    <row r="1559" s="1" customFormat="1" x14ac:dyDescent="0.2"/>
    <row r="1560" s="1" customFormat="1" x14ac:dyDescent="0.2"/>
    <row r="1561" s="1" customFormat="1" x14ac:dyDescent="0.2"/>
    <row r="1562" s="1" customFormat="1" x14ac:dyDescent="0.2"/>
    <row r="1563" s="1" customFormat="1" x14ac:dyDescent="0.2"/>
    <row r="1564" s="1" customFormat="1" ht="12.75" customHeight="1" x14ac:dyDescent="0.2"/>
    <row r="1565" s="1" customFormat="1" x14ac:dyDescent="0.2"/>
    <row r="1566" s="1" customFormat="1" x14ac:dyDescent="0.2"/>
    <row r="1567" s="1" customFormat="1" x14ac:dyDescent="0.2"/>
    <row r="1568" s="1" customFormat="1" x14ac:dyDescent="0.2"/>
    <row r="1569" s="1" customFormat="1" x14ac:dyDescent="0.2"/>
    <row r="1570" s="1" customFormat="1" x14ac:dyDescent="0.2"/>
    <row r="1571" s="1" customFormat="1" x14ac:dyDescent="0.2"/>
    <row r="1572" s="1" customFormat="1" x14ac:dyDescent="0.2"/>
    <row r="1573" s="1" customFormat="1" x14ac:dyDescent="0.2"/>
    <row r="1574" s="1" customFormat="1" x14ac:dyDescent="0.2"/>
    <row r="1575" s="1" customFormat="1" x14ac:dyDescent="0.2"/>
    <row r="1576" s="1" customFormat="1" x14ac:dyDescent="0.2"/>
    <row r="1577" s="1" customFormat="1" ht="12.75" customHeight="1" x14ac:dyDescent="0.2"/>
    <row r="1578" s="1" customFormat="1" x14ac:dyDescent="0.2"/>
    <row r="1579" s="1" customFormat="1" x14ac:dyDescent="0.2"/>
    <row r="1580" s="1" customFormat="1" x14ac:dyDescent="0.2"/>
    <row r="1581" s="1" customFormat="1" x14ac:dyDescent="0.2"/>
    <row r="1582" s="1" customFormat="1" x14ac:dyDescent="0.2"/>
    <row r="1583" s="1" customFormat="1" x14ac:dyDescent="0.2"/>
    <row r="1584" s="1" customFormat="1" x14ac:dyDescent="0.2"/>
    <row r="1585" s="1" customFormat="1" x14ac:dyDescent="0.2"/>
    <row r="1586" s="1" customFormat="1" x14ac:dyDescent="0.2"/>
    <row r="1587" s="1" customFormat="1" x14ac:dyDescent="0.2"/>
    <row r="1588" s="1" customFormat="1" x14ac:dyDescent="0.2"/>
    <row r="1589" s="1" customFormat="1" x14ac:dyDescent="0.2"/>
    <row r="1590" s="1" customFormat="1" ht="12.75" customHeight="1" x14ac:dyDescent="0.2"/>
    <row r="1591" s="1" customFormat="1" x14ac:dyDescent="0.2"/>
    <row r="1592" s="1" customFormat="1" x14ac:dyDescent="0.2"/>
    <row r="1593" s="1" customFormat="1" x14ac:dyDescent="0.2"/>
    <row r="1594" s="1" customFormat="1" x14ac:dyDescent="0.2"/>
    <row r="1595" s="1" customFormat="1" x14ac:dyDescent="0.2"/>
    <row r="1596" s="1" customFormat="1" x14ac:dyDescent="0.2"/>
    <row r="1597" s="1" customFormat="1" x14ac:dyDescent="0.2"/>
    <row r="1598" s="1" customFormat="1" x14ac:dyDescent="0.2"/>
    <row r="1599" s="1" customFormat="1" x14ac:dyDescent="0.2"/>
    <row r="1600" s="1" customFormat="1" x14ac:dyDescent="0.2"/>
    <row r="1601" s="1" customFormat="1" x14ac:dyDescent="0.2"/>
    <row r="1602" s="1" customFormat="1" x14ac:dyDescent="0.2"/>
    <row r="1603" s="1" customFormat="1" ht="12.75" customHeight="1" x14ac:dyDescent="0.2"/>
    <row r="1604" s="1" customFormat="1" x14ac:dyDescent="0.2"/>
    <row r="1605" s="1" customFormat="1" x14ac:dyDescent="0.2"/>
    <row r="1606" s="1" customFormat="1" x14ac:dyDescent="0.2"/>
    <row r="1607" s="1" customFormat="1" x14ac:dyDescent="0.2"/>
    <row r="1608" s="1" customFormat="1" x14ac:dyDescent="0.2"/>
    <row r="1609" s="1" customFormat="1" x14ac:dyDescent="0.2"/>
    <row r="1610" s="1" customFormat="1" x14ac:dyDescent="0.2"/>
    <row r="1611" s="1" customFormat="1" x14ac:dyDescent="0.2"/>
    <row r="1612" s="1" customFormat="1" x14ac:dyDescent="0.2"/>
    <row r="1613" s="1" customFormat="1" x14ac:dyDescent="0.2"/>
    <row r="1614" s="1" customFormat="1" x14ac:dyDescent="0.2"/>
    <row r="1615" s="1" customFormat="1" x14ac:dyDescent="0.2"/>
    <row r="1616" s="1" customFormat="1" ht="12.75" customHeight="1" x14ac:dyDescent="0.2"/>
    <row r="1617" s="1" customFormat="1" x14ac:dyDescent="0.2"/>
    <row r="1618" s="1" customFormat="1" x14ac:dyDescent="0.2"/>
    <row r="1619" s="1" customFormat="1" x14ac:dyDescent="0.2"/>
    <row r="1620" s="1" customFormat="1" x14ac:dyDescent="0.2"/>
    <row r="1621" s="1" customFormat="1" x14ac:dyDescent="0.2"/>
    <row r="1622" s="1" customFormat="1" x14ac:dyDescent="0.2"/>
    <row r="1623" s="1" customFormat="1" x14ac:dyDescent="0.2"/>
    <row r="1624" s="1" customFormat="1" x14ac:dyDescent="0.2"/>
    <row r="1625" s="1" customFormat="1" x14ac:dyDescent="0.2"/>
    <row r="1626" s="1" customFormat="1" x14ac:dyDescent="0.2"/>
    <row r="1627" s="1" customFormat="1" x14ac:dyDescent="0.2"/>
    <row r="1628" s="1" customFormat="1" x14ac:dyDescent="0.2"/>
    <row r="1629" s="1" customFormat="1" ht="12.75" customHeight="1" x14ac:dyDescent="0.2"/>
    <row r="1630" s="1" customFormat="1" x14ac:dyDescent="0.2"/>
    <row r="1631" s="1" customFormat="1" x14ac:dyDescent="0.2"/>
    <row r="1632" s="1" customFormat="1" x14ac:dyDescent="0.2"/>
    <row r="1633" s="1" customFormat="1" x14ac:dyDescent="0.2"/>
    <row r="1634" s="1" customFormat="1" x14ac:dyDescent="0.2"/>
    <row r="1635" s="1" customFormat="1" x14ac:dyDescent="0.2"/>
    <row r="1636" s="1" customFormat="1" x14ac:dyDescent="0.2"/>
    <row r="1637" s="1" customFormat="1" x14ac:dyDescent="0.2"/>
    <row r="1638" s="1" customFormat="1" x14ac:dyDescent="0.2"/>
    <row r="1639" s="1" customFormat="1" x14ac:dyDescent="0.2"/>
    <row r="1640" s="1" customFormat="1" x14ac:dyDescent="0.2"/>
    <row r="1641" s="1" customFormat="1" x14ac:dyDescent="0.2"/>
    <row r="1642" s="1" customFormat="1" ht="12.75" customHeight="1" x14ac:dyDescent="0.2"/>
    <row r="1643" s="1" customFormat="1" x14ac:dyDescent="0.2"/>
    <row r="1644" s="1" customFormat="1" x14ac:dyDescent="0.2"/>
    <row r="1645" s="1" customFormat="1" x14ac:dyDescent="0.2"/>
    <row r="1646" s="1" customFormat="1" x14ac:dyDescent="0.2"/>
    <row r="1647" s="1" customFormat="1" x14ac:dyDescent="0.2"/>
    <row r="1648" s="1" customFormat="1" x14ac:dyDescent="0.2"/>
    <row r="1649" s="1" customFormat="1" x14ac:dyDescent="0.2"/>
    <row r="1650" s="1" customFormat="1" x14ac:dyDescent="0.2"/>
    <row r="1651" s="1" customFormat="1" x14ac:dyDescent="0.2"/>
    <row r="1652" s="1" customFormat="1" x14ac:dyDescent="0.2"/>
    <row r="1653" s="1" customFormat="1" x14ac:dyDescent="0.2"/>
    <row r="1654" s="1" customFormat="1" x14ac:dyDescent="0.2"/>
    <row r="1655" s="1" customFormat="1" ht="12.75" customHeight="1" x14ac:dyDescent="0.2"/>
    <row r="1656" s="1" customFormat="1" x14ac:dyDescent="0.2"/>
    <row r="1657" s="1" customFormat="1" x14ac:dyDescent="0.2"/>
    <row r="1658" s="1" customFormat="1" x14ac:dyDescent="0.2"/>
    <row r="1659" s="1" customFormat="1" x14ac:dyDescent="0.2"/>
    <row r="1660" s="1" customFormat="1" x14ac:dyDescent="0.2"/>
    <row r="1661" s="1" customFormat="1" x14ac:dyDescent="0.2"/>
    <row r="1662" s="1" customFormat="1" x14ac:dyDescent="0.2"/>
    <row r="1663" s="1" customFormat="1" x14ac:dyDescent="0.2"/>
    <row r="1664" s="1" customFormat="1" x14ac:dyDescent="0.2"/>
    <row r="1665" s="1" customFormat="1" x14ac:dyDescent="0.2"/>
    <row r="1666" s="1" customFormat="1" x14ac:dyDescent="0.2"/>
    <row r="1667" s="1" customFormat="1" x14ac:dyDescent="0.2"/>
    <row r="1668" s="1" customFormat="1" ht="12.75" customHeight="1" x14ac:dyDescent="0.2"/>
    <row r="1669" s="1" customFormat="1" x14ac:dyDescent="0.2"/>
    <row r="1670" s="1" customFormat="1" x14ac:dyDescent="0.2"/>
    <row r="1671" s="1" customFormat="1" x14ac:dyDescent="0.2"/>
    <row r="1672" s="1" customFormat="1" x14ac:dyDescent="0.2"/>
    <row r="1673" s="1" customFormat="1" x14ac:dyDescent="0.2"/>
    <row r="1674" s="1" customFormat="1" x14ac:dyDescent="0.2"/>
    <row r="1675" s="1" customFormat="1" x14ac:dyDescent="0.2"/>
    <row r="1676" s="1" customFormat="1" x14ac:dyDescent="0.2"/>
    <row r="1677" s="1" customFormat="1" x14ac:dyDescent="0.2"/>
    <row r="1678" s="1" customFormat="1" x14ac:dyDescent="0.2"/>
    <row r="1679" s="1" customFormat="1" x14ac:dyDescent="0.2"/>
    <row r="1680" s="1" customFormat="1" x14ac:dyDescent="0.2"/>
    <row r="1681" s="1" customFormat="1" ht="12.75" customHeight="1" x14ac:dyDescent="0.2"/>
    <row r="1682" s="1" customFormat="1" x14ac:dyDescent="0.2"/>
    <row r="1683" s="1" customFormat="1" x14ac:dyDescent="0.2"/>
    <row r="1684" s="1" customFormat="1" x14ac:dyDescent="0.2"/>
    <row r="1685" s="1" customFormat="1" x14ac:dyDescent="0.2"/>
    <row r="1686" s="1" customFormat="1" x14ac:dyDescent="0.2"/>
    <row r="1687" s="1" customFormat="1" x14ac:dyDescent="0.2"/>
    <row r="1688" s="1" customFormat="1" x14ac:dyDescent="0.2"/>
    <row r="1689" s="1" customFormat="1" x14ac:dyDescent="0.2"/>
    <row r="1690" s="1" customFormat="1" x14ac:dyDescent="0.2"/>
    <row r="1691" s="1" customFormat="1" x14ac:dyDescent="0.2"/>
    <row r="1692" s="1" customFormat="1" x14ac:dyDescent="0.2"/>
    <row r="1693" s="1" customFormat="1" x14ac:dyDescent="0.2"/>
    <row r="1694" s="1" customFormat="1" ht="12.75" customHeight="1" x14ac:dyDescent="0.2"/>
    <row r="1695" s="1" customFormat="1" x14ac:dyDescent="0.2"/>
    <row r="1696" s="1" customFormat="1" x14ac:dyDescent="0.2"/>
    <row r="1697" s="1" customFormat="1" x14ac:dyDescent="0.2"/>
    <row r="1698" s="1" customFormat="1" x14ac:dyDescent="0.2"/>
    <row r="1699" s="1" customFormat="1" x14ac:dyDescent="0.2"/>
    <row r="1700" s="1" customFormat="1" x14ac:dyDescent="0.2"/>
    <row r="1701" s="1" customFormat="1" x14ac:dyDescent="0.2"/>
    <row r="1702" s="1" customFormat="1" x14ac:dyDescent="0.2"/>
    <row r="1703" s="1" customFormat="1" x14ac:dyDescent="0.2"/>
    <row r="1704" s="1" customFormat="1" x14ac:dyDescent="0.2"/>
    <row r="1705" s="1" customFormat="1" x14ac:dyDescent="0.2"/>
    <row r="1706" s="1" customFormat="1" x14ac:dyDescent="0.2"/>
    <row r="1707" s="1" customFormat="1" ht="12.75" customHeight="1" x14ac:dyDescent="0.2"/>
    <row r="1708" s="1" customFormat="1" x14ac:dyDescent="0.2"/>
    <row r="1709" s="1" customFormat="1" x14ac:dyDescent="0.2"/>
    <row r="1710" s="1" customFormat="1" x14ac:dyDescent="0.2"/>
    <row r="1711" s="1" customFormat="1" x14ac:dyDescent="0.2"/>
    <row r="1712" s="1" customFormat="1" x14ac:dyDescent="0.2"/>
    <row r="1713" s="1" customFormat="1" x14ac:dyDescent="0.2"/>
    <row r="1714" s="1" customFormat="1" x14ac:dyDescent="0.2"/>
    <row r="1715" s="1" customFormat="1" x14ac:dyDescent="0.2"/>
    <row r="1716" s="1" customFormat="1" x14ac:dyDescent="0.2"/>
    <row r="1717" s="1" customFormat="1" x14ac:dyDescent="0.2"/>
    <row r="1718" s="1" customFormat="1" x14ac:dyDescent="0.2"/>
    <row r="1719" s="1" customFormat="1" x14ac:dyDescent="0.2"/>
    <row r="1720" s="1" customFormat="1" ht="12.75" customHeight="1" x14ac:dyDescent="0.2"/>
    <row r="1721" s="1" customFormat="1" x14ac:dyDescent="0.2"/>
    <row r="1722" s="1" customFormat="1" x14ac:dyDescent="0.2"/>
    <row r="1723" s="1" customFormat="1" x14ac:dyDescent="0.2"/>
    <row r="1724" s="1" customFormat="1" x14ac:dyDescent="0.2"/>
    <row r="1725" s="1" customFormat="1" x14ac:dyDescent="0.2"/>
    <row r="1726" s="1" customFormat="1" x14ac:dyDescent="0.2"/>
    <row r="1727" s="1" customFormat="1" x14ac:dyDescent="0.2"/>
    <row r="1728" s="1" customFormat="1" x14ac:dyDescent="0.2"/>
    <row r="1729" s="1" customFormat="1" x14ac:dyDescent="0.2"/>
    <row r="1730" s="1" customFormat="1" x14ac:dyDescent="0.2"/>
    <row r="1731" s="1" customFormat="1" x14ac:dyDescent="0.2"/>
    <row r="1732" s="1" customFormat="1" x14ac:dyDescent="0.2"/>
    <row r="1733" s="1" customFormat="1" ht="12.75" customHeight="1" x14ac:dyDescent="0.2"/>
    <row r="1734" s="1" customFormat="1" x14ac:dyDescent="0.2"/>
    <row r="1735" s="1" customFormat="1" x14ac:dyDescent="0.2"/>
    <row r="1736" s="1" customFormat="1" x14ac:dyDescent="0.2"/>
    <row r="1737" s="1" customFormat="1" x14ac:dyDescent="0.2"/>
    <row r="1738" s="1" customFormat="1" x14ac:dyDescent="0.2"/>
    <row r="1739" s="1" customFormat="1" x14ac:dyDescent="0.2"/>
    <row r="1740" s="1" customFormat="1" x14ac:dyDescent="0.2"/>
    <row r="1741" s="1" customFormat="1" x14ac:dyDescent="0.2"/>
    <row r="1742" s="1" customFormat="1" x14ac:dyDescent="0.2"/>
    <row r="1743" s="1" customFormat="1" x14ac:dyDescent="0.2"/>
    <row r="1744" s="1" customFormat="1" x14ac:dyDescent="0.2"/>
    <row r="1745" s="1" customFormat="1" x14ac:dyDescent="0.2"/>
    <row r="1746" s="1" customFormat="1" ht="12.75" customHeight="1" x14ac:dyDescent="0.2"/>
    <row r="1747" s="1" customFormat="1" x14ac:dyDescent="0.2"/>
    <row r="1748" s="1" customFormat="1" x14ac:dyDescent="0.2"/>
    <row r="1749" s="1" customFormat="1" x14ac:dyDescent="0.2"/>
    <row r="1750" s="1" customFormat="1" x14ac:dyDescent="0.2"/>
    <row r="1751" s="1" customFormat="1" x14ac:dyDescent="0.2"/>
    <row r="1752" s="1" customFormat="1" x14ac:dyDescent="0.2"/>
    <row r="1753" s="1" customFormat="1" x14ac:dyDescent="0.2"/>
    <row r="1754" s="1" customFormat="1" x14ac:dyDescent="0.2"/>
    <row r="1755" s="1" customFormat="1" x14ac:dyDescent="0.2"/>
    <row r="1756" s="1" customFormat="1" x14ac:dyDescent="0.2"/>
    <row r="1757" s="1" customFormat="1" x14ac:dyDescent="0.2"/>
    <row r="1758" s="1" customFormat="1" x14ac:dyDescent="0.2"/>
    <row r="1759" s="1" customFormat="1" ht="12.75" customHeight="1" x14ac:dyDescent="0.2"/>
    <row r="1760" s="1" customFormat="1" x14ac:dyDescent="0.2"/>
    <row r="1761" s="1" customFormat="1" x14ac:dyDescent="0.2"/>
    <row r="1762" s="1" customFormat="1" x14ac:dyDescent="0.2"/>
    <row r="1763" s="1" customFormat="1" x14ac:dyDescent="0.2"/>
    <row r="1764" s="1" customFormat="1" x14ac:dyDescent="0.2"/>
    <row r="1765" s="1" customFormat="1" x14ac:dyDescent="0.2"/>
    <row r="1766" s="1" customFormat="1" x14ac:dyDescent="0.2"/>
    <row r="1767" s="1" customFormat="1" x14ac:dyDescent="0.2"/>
    <row r="1768" s="1" customFormat="1" x14ac:dyDescent="0.2"/>
    <row r="1769" s="1" customFormat="1" x14ac:dyDescent="0.2"/>
    <row r="1770" s="1" customFormat="1" x14ac:dyDescent="0.2"/>
    <row r="1771" s="1" customFormat="1" x14ac:dyDescent="0.2"/>
    <row r="1772" s="1" customFormat="1" ht="12.75" customHeight="1" x14ac:dyDescent="0.2"/>
    <row r="1773" s="1" customFormat="1" x14ac:dyDescent="0.2"/>
    <row r="1774" s="1" customFormat="1" x14ac:dyDescent="0.2"/>
    <row r="1775" s="1" customFormat="1" x14ac:dyDescent="0.2"/>
    <row r="1776" s="1" customFormat="1" x14ac:dyDescent="0.2"/>
    <row r="1777" s="1" customFormat="1" x14ac:dyDescent="0.2"/>
    <row r="1778" s="1" customFormat="1" x14ac:dyDescent="0.2"/>
    <row r="1779" s="1" customFormat="1" x14ac:dyDescent="0.2"/>
    <row r="1780" s="1" customFormat="1" x14ac:dyDescent="0.2"/>
    <row r="1781" s="1" customFormat="1" x14ac:dyDescent="0.2"/>
    <row r="1782" s="1" customFormat="1" x14ac:dyDescent="0.2"/>
    <row r="1783" s="1" customFormat="1" x14ac:dyDescent="0.2"/>
    <row r="1784" s="1" customFormat="1" x14ac:dyDescent="0.2"/>
    <row r="1785" s="1" customFormat="1" ht="12.75" customHeight="1" x14ac:dyDescent="0.2"/>
    <row r="1786" s="1" customFormat="1" x14ac:dyDescent="0.2"/>
    <row r="1787" s="1" customFormat="1" x14ac:dyDescent="0.2"/>
    <row r="1788" s="1" customFormat="1" x14ac:dyDescent="0.2"/>
    <row r="1789" s="1" customFormat="1" x14ac:dyDescent="0.2"/>
    <row r="1790" s="1" customFormat="1" x14ac:dyDescent="0.2"/>
    <row r="1791" s="1" customFormat="1" x14ac:dyDescent="0.2"/>
    <row r="1792" s="1" customFormat="1" x14ac:dyDescent="0.2"/>
    <row r="1793" s="1" customFormat="1" x14ac:dyDescent="0.2"/>
    <row r="1794" s="1" customFormat="1" x14ac:dyDescent="0.2"/>
    <row r="1795" s="1" customFormat="1" x14ac:dyDescent="0.2"/>
    <row r="1796" s="1" customFormat="1" x14ac:dyDescent="0.2"/>
    <row r="1797" s="1" customFormat="1" x14ac:dyDescent="0.2"/>
    <row r="1798" s="1" customFormat="1" ht="12.75" customHeight="1" x14ac:dyDescent="0.2"/>
    <row r="1799" s="1" customFormat="1" x14ac:dyDescent="0.2"/>
    <row r="1800" s="1" customFormat="1" x14ac:dyDescent="0.2"/>
    <row r="1801" s="1" customFormat="1" x14ac:dyDescent="0.2"/>
    <row r="1802" s="1" customFormat="1" x14ac:dyDescent="0.2"/>
    <row r="1803" s="1" customFormat="1" x14ac:dyDescent="0.2"/>
    <row r="1804" s="1" customFormat="1" x14ac:dyDescent="0.2"/>
    <row r="1805" s="1" customFormat="1" x14ac:dyDescent="0.2"/>
    <row r="1806" s="1" customFormat="1" x14ac:dyDescent="0.2"/>
    <row r="1807" s="1" customFormat="1" x14ac:dyDescent="0.2"/>
    <row r="1808" s="1" customFormat="1" x14ac:dyDescent="0.2"/>
    <row r="1809" s="1" customFormat="1" x14ac:dyDescent="0.2"/>
    <row r="1810" s="1" customFormat="1" x14ac:dyDescent="0.2"/>
    <row r="1811" s="1" customFormat="1" ht="12.75" customHeight="1" x14ac:dyDescent="0.2"/>
    <row r="1812" s="1" customFormat="1" x14ac:dyDescent="0.2"/>
    <row r="1813" s="1" customFormat="1" x14ac:dyDescent="0.2"/>
    <row r="1814" s="1" customFormat="1" x14ac:dyDescent="0.2"/>
    <row r="1815" s="1" customFormat="1" x14ac:dyDescent="0.2"/>
    <row r="1816" s="1" customFormat="1" x14ac:dyDescent="0.2"/>
    <row r="1817" s="1" customFormat="1" x14ac:dyDescent="0.2"/>
    <row r="1818" s="1" customFormat="1" x14ac:dyDescent="0.2"/>
    <row r="1819" s="1" customFormat="1" x14ac:dyDescent="0.2"/>
    <row r="1820" s="1" customFormat="1" x14ac:dyDescent="0.2"/>
    <row r="1821" s="1" customFormat="1" x14ac:dyDescent="0.2"/>
    <row r="1822" s="1" customFormat="1" x14ac:dyDescent="0.2"/>
    <row r="1823" s="1" customFormat="1" x14ac:dyDescent="0.2"/>
    <row r="1824" s="1" customFormat="1" ht="12.75" customHeight="1" x14ac:dyDescent="0.2"/>
    <row r="1825" s="1" customFormat="1" x14ac:dyDescent="0.2"/>
    <row r="1826" s="1" customFormat="1" x14ac:dyDescent="0.2"/>
    <row r="1827" s="1" customFormat="1" x14ac:dyDescent="0.2"/>
    <row r="1828" s="1" customFormat="1" x14ac:dyDescent="0.2"/>
    <row r="1829" s="1" customFormat="1" x14ac:dyDescent="0.2"/>
    <row r="1830" s="1" customFormat="1" x14ac:dyDescent="0.2"/>
    <row r="1831" s="1" customFormat="1" x14ac:dyDescent="0.2"/>
    <row r="1832" s="1" customFormat="1" x14ac:dyDescent="0.2"/>
    <row r="1833" s="1" customFormat="1" x14ac:dyDescent="0.2"/>
    <row r="1834" s="1" customFormat="1" x14ac:dyDescent="0.2"/>
    <row r="1835" s="1" customFormat="1" x14ac:dyDescent="0.2"/>
    <row r="1836" s="1" customFormat="1" x14ac:dyDescent="0.2"/>
    <row r="1837" s="1" customFormat="1" ht="12.75" customHeight="1" x14ac:dyDescent="0.2"/>
    <row r="1838" s="1" customFormat="1" x14ac:dyDescent="0.2"/>
    <row r="1839" s="1" customFormat="1" x14ac:dyDescent="0.2"/>
    <row r="1840" s="1" customFormat="1" x14ac:dyDescent="0.2"/>
    <row r="1841" s="1" customFormat="1" x14ac:dyDescent="0.2"/>
    <row r="1842" s="1" customFormat="1" x14ac:dyDescent="0.2"/>
    <row r="1843" s="1" customFormat="1" x14ac:dyDescent="0.2"/>
    <row r="1844" s="1" customFormat="1" x14ac:dyDescent="0.2"/>
    <row r="1845" s="1" customFormat="1" x14ac:dyDescent="0.2"/>
    <row r="1846" s="1" customFormat="1" x14ac:dyDescent="0.2"/>
    <row r="1847" s="1" customFormat="1" x14ac:dyDescent="0.2"/>
    <row r="1848" s="1" customFormat="1" x14ac:dyDescent="0.2"/>
    <row r="1849" s="1" customFormat="1" x14ac:dyDescent="0.2"/>
    <row r="1850" s="1" customFormat="1" ht="12.75" customHeight="1" x14ac:dyDescent="0.2"/>
    <row r="1851" s="1" customFormat="1" x14ac:dyDescent="0.2"/>
    <row r="1852" s="1" customFormat="1" x14ac:dyDescent="0.2"/>
    <row r="1853" s="1" customFormat="1" x14ac:dyDescent="0.2"/>
    <row r="1854" s="1" customFormat="1" x14ac:dyDescent="0.2"/>
    <row r="1855" s="1" customFormat="1" x14ac:dyDescent="0.2"/>
    <row r="1856" s="1" customFormat="1" x14ac:dyDescent="0.2"/>
    <row r="1857" s="1" customFormat="1" x14ac:dyDescent="0.2"/>
    <row r="1858" s="1" customFormat="1" x14ac:dyDescent="0.2"/>
    <row r="1859" s="1" customFormat="1" x14ac:dyDescent="0.2"/>
    <row r="1860" s="1" customFormat="1" x14ac:dyDescent="0.2"/>
    <row r="1861" s="1" customFormat="1" x14ac:dyDescent="0.2"/>
    <row r="1862" s="1" customFormat="1" x14ac:dyDescent="0.2"/>
    <row r="1863" s="1" customFormat="1" ht="12.75" customHeight="1" x14ac:dyDescent="0.2"/>
    <row r="1864" s="1" customFormat="1" x14ac:dyDescent="0.2"/>
    <row r="1865" s="1" customFormat="1" x14ac:dyDescent="0.2"/>
    <row r="1866" s="1" customFormat="1" x14ac:dyDescent="0.2"/>
    <row r="1867" s="1" customFormat="1" x14ac:dyDescent="0.2"/>
    <row r="1868" s="1" customFormat="1" x14ac:dyDescent="0.2"/>
    <row r="1869" s="1" customFormat="1" x14ac:dyDescent="0.2"/>
    <row r="1870" s="1" customFormat="1" x14ac:dyDescent="0.2"/>
    <row r="1871" s="1" customFormat="1" x14ac:dyDescent="0.2"/>
    <row r="1872" s="1" customFormat="1" x14ac:dyDescent="0.2"/>
    <row r="1873" s="1" customFormat="1" x14ac:dyDescent="0.2"/>
    <row r="1874" s="1" customFormat="1" x14ac:dyDescent="0.2"/>
    <row r="1875" s="1" customFormat="1" x14ac:dyDescent="0.2"/>
    <row r="1876" s="1" customFormat="1" ht="12.75" customHeight="1" x14ac:dyDescent="0.2"/>
    <row r="1877" s="1" customFormat="1" x14ac:dyDescent="0.2"/>
    <row r="1878" s="1" customFormat="1" x14ac:dyDescent="0.2"/>
    <row r="1879" s="1" customFormat="1" x14ac:dyDescent="0.2"/>
    <row r="1880" s="1" customFormat="1" x14ac:dyDescent="0.2"/>
    <row r="1881" s="1" customFormat="1" x14ac:dyDescent="0.2"/>
    <row r="1882" s="1" customFormat="1" x14ac:dyDescent="0.2"/>
    <row r="1883" s="1" customFormat="1" x14ac:dyDescent="0.2"/>
    <row r="1884" s="1" customFormat="1" x14ac:dyDescent="0.2"/>
    <row r="1885" s="1" customFormat="1" x14ac:dyDescent="0.2"/>
    <row r="1886" s="1" customFormat="1" x14ac:dyDescent="0.2"/>
    <row r="1887" s="1" customFormat="1" x14ac:dyDescent="0.2"/>
    <row r="1888" s="1" customFormat="1" x14ac:dyDescent="0.2"/>
    <row r="1889" s="1" customFormat="1" ht="12.75" customHeight="1" x14ac:dyDescent="0.2"/>
    <row r="1890" s="1" customFormat="1" x14ac:dyDescent="0.2"/>
    <row r="1891" s="1" customFormat="1" x14ac:dyDescent="0.2"/>
    <row r="1892" s="1" customFormat="1" x14ac:dyDescent="0.2"/>
    <row r="1893" s="1" customFormat="1" x14ac:dyDescent="0.2"/>
    <row r="1894" s="1" customFormat="1" x14ac:dyDescent="0.2"/>
    <row r="1895" s="1" customFormat="1" x14ac:dyDescent="0.2"/>
    <row r="1896" s="1" customFormat="1" x14ac:dyDescent="0.2"/>
    <row r="1897" s="1" customFormat="1" x14ac:dyDescent="0.2"/>
    <row r="1898" s="1" customFormat="1" x14ac:dyDescent="0.2"/>
    <row r="1899" s="1" customFormat="1" x14ac:dyDescent="0.2"/>
    <row r="1900" s="1" customFormat="1" x14ac:dyDescent="0.2"/>
    <row r="1901" s="1" customFormat="1" x14ac:dyDescent="0.2"/>
    <row r="1902" s="1" customFormat="1" ht="12.75" customHeight="1" x14ac:dyDescent="0.2"/>
    <row r="1903" s="1" customFormat="1" x14ac:dyDescent="0.2"/>
    <row r="1904" s="1" customFormat="1" x14ac:dyDescent="0.2"/>
    <row r="1905" s="1" customFormat="1" x14ac:dyDescent="0.2"/>
    <row r="1906" s="1" customFormat="1" x14ac:dyDescent="0.2"/>
    <row r="1907" s="1" customFormat="1" x14ac:dyDescent="0.2"/>
    <row r="1908" s="1" customFormat="1" x14ac:dyDescent="0.2"/>
    <row r="1909" s="1" customFormat="1" x14ac:dyDescent="0.2"/>
    <row r="1910" s="1" customFormat="1" x14ac:dyDescent="0.2"/>
    <row r="1911" s="1" customFormat="1" x14ac:dyDescent="0.2"/>
    <row r="1912" s="1" customFormat="1" x14ac:dyDescent="0.2"/>
    <row r="1913" s="1" customFormat="1" x14ac:dyDescent="0.2"/>
    <row r="1914" s="1" customFormat="1" x14ac:dyDescent="0.2"/>
    <row r="1915" s="1" customFormat="1" ht="12.75" customHeight="1" x14ac:dyDescent="0.2"/>
    <row r="1916" s="1" customFormat="1" x14ac:dyDescent="0.2"/>
    <row r="1917" s="1" customFormat="1" x14ac:dyDescent="0.2"/>
    <row r="1918" s="1" customFormat="1" x14ac:dyDescent="0.2"/>
    <row r="1919" s="1" customFormat="1" x14ac:dyDescent="0.2"/>
    <row r="1920" s="1" customFormat="1" x14ac:dyDescent="0.2"/>
    <row r="1921" s="1" customFormat="1" x14ac:dyDescent="0.2"/>
    <row r="1922" s="1" customFormat="1" x14ac:dyDescent="0.2"/>
    <row r="1923" s="1" customFormat="1" x14ac:dyDescent="0.2"/>
    <row r="1924" s="1" customFormat="1" x14ac:dyDescent="0.2"/>
    <row r="1925" s="1" customFormat="1" x14ac:dyDescent="0.2"/>
    <row r="1926" s="1" customFormat="1" x14ac:dyDescent="0.2"/>
    <row r="1927" s="1" customFormat="1" x14ac:dyDescent="0.2"/>
    <row r="1928" s="1" customFormat="1" ht="12.75" customHeight="1" x14ac:dyDescent="0.2"/>
    <row r="1929" s="1" customFormat="1" x14ac:dyDescent="0.2"/>
    <row r="1930" s="1" customFormat="1" x14ac:dyDescent="0.2"/>
    <row r="1931" s="1" customFormat="1" x14ac:dyDescent="0.2"/>
    <row r="1932" s="1" customFormat="1" x14ac:dyDescent="0.2"/>
    <row r="1933" s="1" customFormat="1" x14ac:dyDescent="0.2"/>
    <row r="1934" s="1" customFormat="1" x14ac:dyDescent="0.2"/>
    <row r="1935" s="1" customFormat="1" x14ac:dyDescent="0.2"/>
    <row r="1936" s="1" customFormat="1" x14ac:dyDescent="0.2"/>
    <row r="1937" s="1" customFormat="1" x14ac:dyDescent="0.2"/>
    <row r="1938" s="1" customFormat="1" x14ac:dyDescent="0.2"/>
    <row r="1939" s="1" customFormat="1" x14ac:dyDescent="0.2"/>
    <row r="1940" s="1" customFormat="1" x14ac:dyDescent="0.2"/>
    <row r="1941" s="1" customFormat="1" ht="12.75" customHeight="1" x14ac:dyDescent="0.2"/>
    <row r="1942" s="1" customFormat="1" x14ac:dyDescent="0.2"/>
    <row r="1943" s="1" customFormat="1" x14ac:dyDescent="0.2"/>
    <row r="1944" s="1" customFormat="1" x14ac:dyDescent="0.2"/>
    <row r="1945" s="1" customFormat="1" x14ac:dyDescent="0.2"/>
    <row r="1946" s="1" customFormat="1" x14ac:dyDescent="0.2"/>
    <row r="1947" s="1" customFormat="1" x14ac:dyDescent="0.2"/>
    <row r="1948" s="1" customFormat="1" x14ac:dyDescent="0.2"/>
    <row r="1949" s="1" customFormat="1" x14ac:dyDescent="0.2"/>
    <row r="1950" s="1" customFormat="1" x14ac:dyDescent="0.2"/>
    <row r="1951" s="1" customFormat="1" x14ac:dyDescent="0.2"/>
    <row r="1952" s="1" customFormat="1" x14ac:dyDescent="0.2"/>
    <row r="1953" s="1" customFormat="1" x14ac:dyDescent="0.2"/>
    <row r="1954" s="1" customFormat="1" ht="12.75" customHeight="1" x14ac:dyDescent="0.2"/>
    <row r="1955" s="1" customFormat="1" x14ac:dyDescent="0.2"/>
    <row r="1956" s="1" customFormat="1" x14ac:dyDescent="0.2"/>
    <row r="1957" s="1" customFormat="1" x14ac:dyDescent="0.2"/>
    <row r="1958" s="1" customFormat="1" x14ac:dyDescent="0.2"/>
    <row r="1959" s="1" customFormat="1" x14ac:dyDescent="0.2"/>
    <row r="1960" s="1" customFormat="1" x14ac:dyDescent="0.2"/>
    <row r="1961" s="1" customFormat="1" x14ac:dyDescent="0.2"/>
    <row r="1962" s="1" customFormat="1" x14ac:dyDescent="0.2"/>
    <row r="1963" s="1" customFormat="1" x14ac:dyDescent="0.2"/>
    <row r="1964" s="1" customFormat="1" x14ac:dyDescent="0.2"/>
    <row r="1965" s="1" customFormat="1" x14ac:dyDescent="0.2"/>
    <row r="1966" s="1" customFormat="1" x14ac:dyDescent="0.2"/>
    <row r="1967" s="1" customFormat="1" ht="12.75" customHeight="1" x14ac:dyDescent="0.2"/>
    <row r="1968" s="1" customFormat="1" x14ac:dyDescent="0.2"/>
    <row r="1969" s="1" customFormat="1" x14ac:dyDescent="0.2"/>
    <row r="1970" s="1" customFormat="1" x14ac:dyDescent="0.2"/>
    <row r="1971" s="1" customFormat="1" x14ac:dyDescent="0.2"/>
    <row r="1972" s="1" customFormat="1" x14ac:dyDescent="0.2"/>
    <row r="1973" s="1" customFormat="1" x14ac:dyDescent="0.2"/>
    <row r="1974" s="1" customFormat="1" x14ac:dyDescent="0.2"/>
    <row r="1975" s="1" customFormat="1" x14ac:dyDescent="0.2"/>
    <row r="1976" s="1" customFormat="1" x14ac:dyDescent="0.2"/>
    <row r="1977" s="1" customFormat="1" x14ac:dyDescent="0.2"/>
    <row r="1978" s="1" customFormat="1" x14ac:dyDescent="0.2"/>
    <row r="1979" s="1" customFormat="1" x14ac:dyDescent="0.2"/>
    <row r="1980" s="1" customFormat="1" ht="12.75" customHeight="1" x14ac:dyDescent="0.2"/>
    <row r="1981" s="1" customFormat="1" x14ac:dyDescent="0.2"/>
    <row r="1982" s="1" customFormat="1" x14ac:dyDescent="0.2"/>
    <row r="1983" s="1" customFormat="1" x14ac:dyDescent="0.2"/>
    <row r="1984" s="1" customFormat="1" x14ac:dyDescent="0.2"/>
    <row r="1985" s="1" customFormat="1" x14ac:dyDescent="0.2"/>
    <row r="1986" s="1" customFormat="1" x14ac:dyDescent="0.2"/>
    <row r="1987" s="1" customFormat="1" x14ac:dyDescent="0.2"/>
    <row r="1988" s="1" customFormat="1" x14ac:dyDescent="0.2"/>
    <row r="1989" s="1" customFormat="1" x14ac:dyDescent="0.2"/>
    <row r="1990" s="1" customFormat="1" x14ac:dyDescent="0.2"/>
    <row r="1991" s="1" customFormat="1" x14ac:dyDescent="0.2"/>
    <row r="1992" s="1" customFormat="1" x14ac:dyDescent="0.2"/>
    <row r="1993" s="1" customFormat="1" ht="12.75" customHeight="1" x14ac:dyDescent="0.2"/>
    <row r="1994" s="1" customFormat="1" x14ac:dyDescent="0.2"/>
    <row r="1995" s="1" customFormat="1" x14ac:dyDescent="0.2"/>
    <row r="1996" s="1" customFormat="1" x14ac:dyDescent="0.2"/>
    <row r="1997" s="1" customFormat="1" x14ac:dyDescent="0.2"/>
    <row r="1998" s="1" customFormat="1" x14ac:dyDescent="0.2"/>
    <row r="1999" s="1" customFormat="1" x14ac:dyDescent="0.2"/>
    <row r="2000" s="1" customFormat="1" x14ac:dyDescent="0.2"/>
    <row r="2001" s="1" customFormat="1" x14ac:dyDescent="0.2"/>
    <row r="2002" s="1" customFormat="1" x14ac:dyDescent="0.2"/>
    <row r="2003" s="1" customFormat="1" x14ac:dyDescent="0.2"/>
    <row r="2004" s="1" customFormat="1" x14ac:dyDescent="0.2"/>
    <row r="2005" s="1" customFormat="1" x14ac:dyDescent="0.2"/>
    <row r="2006" s="1" customFormat="1" ht="12.75" customHeight="1" x14ac:dyDescent="0.2"/>
    <row r="2007" s="1" customFormat="1" x14ac:dyDescent="0.2"/>
    <row r="2008" s="1" customFormat="1" x14ac:dyDescent="0.2"/>
    <row r="2009" s="1" customFormat="1" x14ac:dyDescent="0.2"/>
    <row r="2010" s="1" customFormat="1" x14ac:dyDescent="0.2"/>
    <row r="2011" s="1" customFormat="1" x14ac:dyDescent="0.2"/>
    <row r="2012" s="1" customFormat="1" x14ac:dyDescent="0.2"/>
    <row r="2013" s="1" customFormat="1" x14ac:dyDescent="0.2"/>
    <row r="2014" s="1" customFormat="1" x14ac:dyDescent="0.2"/>
    <row r="2015" s="1" customFormat="1" x14ac:dyDescent="0.2"/>
    <row r="2016" s="1" customFormat="1" x14ac:dyDescent="0.2"/>
    <row r="2017" s="1" customFormat="1" x14ac:dyDescent="0.2"/>
    <row r="2018" s="1" customFormat="1" x14ac:dyDescent="0.2"/>
    <row r="2019" s="1" customFormat="1" ht="12.75" customHeight="1" x14ac:dyDescent="0.2"/>
    <row r="2020" s="1" customFormat="1" x14ac:dyDescent="0.2"/>
    <row r="2021" s="1" customFormat="1" x14ac:dyDescent="0.2"/>
    <row r="2022" s="1" customFormat="1" x14ac:dyDescent="0.2"/>
    <row r="2023" s="1" customFormat="1" x14ac:dyDescent="0.2"/>
    <row r="2024" s="1" customFormat="1" x14ac:dyDescent="0.2"/>
    <row r="2025" s="1" customFormat="1" x14ac:dyDescent="0.2"/>
    <row r="2026" s="1" customFormat="1" x14ac:dyDescent="0.2"/>
    <row r="2027" s="1" customFormat="1" x14ac:dyDescent="0.2"/>
    <row r="2028" s="1" customFormat="1" x14ac:dyDescent="0.2"/>
    <row r="2029" s="1" customFormat="1" x14ac:dyDescent="0.2"/>
    <row r="2030" s="1" customFormat="1" x14ac:dyDescent="0.2"/>
    <row r="2031" s="1" customFormat="1" x14ac:dyDescent="0.2"/>
    <row r="2032" s="1" customFormat="1" ht="12.75" customHeight="1" x14ac:dyDescent="0.2"/>
    <row r="2033" s="1" customFormat="1" x14ac:dyDescent="0.2"/>
    <row r="2034" s="1" customFormat="1" x14ac:dyDescent="0.2"/>
    <row r="2035" s="1" customFormat="1" x14ac:dyDescent="0.2"/>
    <row r="2036" s="1" customFormat="1" x14ac:dyDescent="0.2"/>
    <row r="2037" s="1" customFormat="1" x14ac:dyDescent="0.2"/>
    <row r="2038" s="1" customFormat="1" x14ac:dyDescent="0.2"/>
    <row r="2039" s="1" customFormat="1" x14ac:dyDescent="0.2"/>
    <row r="2040" s="1" customFormat="1" x14ac:dyDescent="0.2"/>
    <row r="2041" s="1" customFormat="1" x14ac:dyDescent="0.2"/>
    <row r="2042" s="1" customFormat="1" x14ac:dyDescent="0.2"/>
    <row r="2043" s="1" customFormat="1" x14ac:dyDescent="0.2"/>
    <row r="2044" s="1" customFormat="1" x14ac:dyDescent="0.2"/>
    <row r="2045" s="1" customFormat="1" ht="12.75" customHeight="1" x14ac:dyDescent="0.2"/>
    <row r="2046" s="1" customFormat="1" x14ac:dyDescent="0.2"/>
    <row r="2047" s="1" customFormat="1" x14ac:dyDescent="0.2"/>
    <row r="2048" s="1" customFormat="1" x14ac:dyDescent="0.2"/>
    <row r="2049" s="1" customFormat="1" x14ac:dyDescent="0.2"/>
    <row r="2050" s="1" customFormat="1" x14ac:dyDescent="0.2"/>
    <row r="2051" s="1" customFormat="1" x14ac:dyDescent="0.2"/>
    <row r="2052" s="1" customFormat="1" x14ac:dyDescent="0.2"/>
    <row r="2053" s="1" customFormat="1" x14ac:dyDescent="0.2"/>
    <row r="2054" s="1" customFormat="1" x14ac:dyDescent="0.2"/>
    <row r="2055" s="1" customFormat="1" x14ac:dyDescent="0.2"/>
    <row r="2056" s="1" customFormat="1" x14ac:dyDescent="0.2"/>
    <row r="2057" s="1" customFormat="1" x14ac:dyDescent="0.2"/>
    <row r="2058" s="1" customFormat="1" ht="12.75" customHeight="1" x14ac:dyDescent="0.2"/>
    <row r="2059" s="1" customFormat="1" x14ac:dyDescent="0.2"/>
    <row r="2060" s="1" customFormat="1" x14ac:dyDescent="0.2"/>
    <row r="2061" s="1" customFormat="1" x14ac:dyDescent="0.2"/>
    <row r="2062" s="1" customFormat="1" x14ac:dyDescent="0.2"/>
    <row r="2063" s="1" customFormat="1" x14ac:dyDescent="0.2"/>
    <row r="2064" s="1" customFormat="1" x14ac:dyDescent="0.2"/>
    <row r="2065" s="1" customFormat="1" x14ac:dyDescent="0.2"/>
    <row r="2066" s="1" customFormat="1" x14ac:dyDescent="0.2"/>
    <row r="2067" s="1" customFormat="1" x14ac:dyDescent="0.2"/>
    <row r="2068" s="1" customFormat="1" x14ac:dyDescent="0.2"/>
    <row r="2069" s="1" customFormat="1" x14ac:dyDescent="0.2"/>
    <row r="2070" s="1" customFormat="1" x14ac:dyDescent="0.2"/>
    <row r="2071" s="1" customFormat="1" ht="12.75" customHeight="1" x14ac:dyDescent="0.2"/>
    <row r="2072" s="1" customFormat="1" x14ac:dyDescent="0.2"/>
    <row r="2073" s="1" customFormat="1" x14ac:dyDescent="0.2"/>
    <row r="2074" s="1" customFormat="1" x14ac:dyDescent="0.2"/>
    <row r="2075" s="1" customFormat="1" x14ac:dyDescent="0.2"/>
    <row r="2076" s="1" customFormat="1" x14ac:dyDescent="0.2"/>
    <row r="2077" s="1" customFormat="1" x14ac:dyDescent="0.2"/>
    <row r="2078" s="1" customFormat="1" x14ac:dyDescent="0.2"/>
    <row r="2079" s="1" customFormat="1" x14ac:dyDescent="0.2"/>
    <row r="2080" s="1" customFormat="1" x14ac:dyDescent="0.2"/>
    <row r="2081" s="1" customFormat="1" x14ac:dyDescent="0.2"/>
    <row r="2082" s="1" customFormat="1" x14ac:dyDescent="0.2"/>
    <row r="2083" s="1" customFormat="1" x14ac:dyDescent="0.2"/>
    <row r="2084" s="1" customFormat="1" ht="12.75" customHeight="1" x14ac:dyDescent="0.2"/>
    <row r="2085" s="1" customFormat="1" x14ac:dyDescent="0.2"/>
    <row r="2086" s="1" customFormat="1" x14ac:dyDescent="0.2"/>
    <row r="2087" s="1" customFormat="1" x14ac:dyDescent="0.2"/>
    <row r="2088" s="1" customFormat="1" x14ac:dyDescent="0.2"/>
    <row r="2089" s="1" customFormat="1" x14ac:dyDescent="0.2"/>
    <row r="2090" s="1" customFormat="1" x14ac:dyDescent="0.2"/>
    <row r="2091" s="1" customFormat="1" x14ac:dyDescent="0.2"/>
    <row r="2092" s="1" customFormat="1" x14ac:dyDescent="0.2"/>
    <row r="2093" s="1" customFormat="1" x14ac:dyDescent="0.2"/>
    <row r="2094" s="1" customFormat="1" x14ac:dyDescent="0.2"/>
    <row r="2095" s="1" customFormat="1" x14ac:dyDescent="0.2"/>
    <row r="2096" s="1" customFormat="1" x14ac:dyDescent="0.2"/>
    <row r="2097" s="1" customFormat="1" ht="12.75" customHeight="1" x14ac:dyDescent="0.2"/>
    <row r="2098" s="1" customFormat="1" x14ac:dyDescent="0.2"/>
    <row r="2099" s="1" customFormat="1" x14ac:dyDescent="0.2"/>
    <row r="2100" s="1" customFormat="1" x14ac:dyDescent="0.2"/>
    <row r="2101" s="1" customFormat="1" x14ac:dyDescent="0.2"/>
    <row r="2102" s="1" customFormat="1" x14ac:dyDescent="0.2"/>
    <row r="2103" s="1" customFormat="1" x14ac:dyDescent="0.2"/>
    <row r="2104" s="1" customFormat="1" x14ac:dyDescent="0.2"/>
    <row r="2105" s="1" customFormat="1" x14ac:dyDescent="0.2"/>
    <row r="2106" s="1" customFormat="1" x14ac:dyDescent="0.2"/>
    <row r="2107" s="1" customFormat="1" x14ac:dyDescent="0.2"/>
    <row r="2108" s="1" customFormat="1" x14ac:dyDescent="0.2"/>
    <row r="2109" s="1" customFormat="1" x14ac:dyDescent="0.2"/>
    <row r="2110" s="1" customFormat="1" ht="12.75" customHeight="1" x14ac:dyDescent="0.2"/>
    <row r="2111" s="1" customFormat="1" x14ac:dyDescent="0.2"/>
    <row r="2112" s="1" customFormat="1" x14ac:dyDescent="0.2"/>
    <row r="2113" s="1" customFormat="1" x14ac:dyDescent="0.2"/>
    <row r="2114" s="1" customFormat="1" x14ac:dyDescent="0.2"/>
    <row r="2115" s="1" customFormat="1" x14ac:dyDescent="0.2"/>
    <row r="2116" s="1" customFormat="1" x14ac:dyDescent="0.2"/>
    <row r="2117" s="1" customFormat="1" x14ac:dyDescent="0.2"/>
    <row r="2118" s="1" customFormat="1" x14ac:dyDescent="0.2"/>
    <row r="2119" s="1" customFormat="1" x14ac:dyDescent="0.2"/>
    <row r="2120" s="1" customFormat="1" x14ac:dyDescent="0.2"/>
    <row r="2121" s="1" customFormat="1" x14ac:dyDescent="0.2"/>
    <row r="2122" s="1" customFormat="1" x14ac:dyDescent="0.2"/>
    <row r="2123" s="1" customFormat="1" ht="12.75" customHeight="1" x14ac:dyDescent="0.2"/>
    <row r="2124" s="1" customFormat="1" x14ac:dyDescent="0.2"/>
    <row r="2125" s="1" customFormat="1" x14ac:dyDescent="0.2"/>
    <row r="2126" s="1" customFormat="1" x14ac:dyDescent="0.2"/>
    <row r="2127" s="1" customFormat="1" x14ac:dyDescent="0.2"/>
    <row r="2128" s="1" customFormat="1" x14ac:dyDescent="0.2"/>
    <row r="2129" s="1" customFormat="1" x14ac:dyDescent="0.2"/>
    <row r="2130" s="1" customFormat="1" x14ac:dyDescent="0.2"/>
    <row r="2131" s="1" customFormat="1" x14ac:dyDescent="0.2"/>
    <row r="2132" s="1" customFormat="1" x14ac:dyDescent="0.2"/>
    <row r="2133" s="1" customFormat="1" x14ac:dyDescent="0.2"/>
    <row r="2134" s="1" customFormat="1" x14ac:dyDescent="0.2"/>
    <row r="2135" s="1" customFormat="1" x14ac:dyDescent="0.2"/>
    <row r="2136" s="1" customFormat="1" ht="12.75" customHeight="1" x14ac:dyDescent="0.2"/>
    <row r="2137" s="1" customFormat="1" x14ac:dyDescent="0.2"/>
    <row r="2138" s="1" customFormat="1" x14ac:dyDescent="0.2"/>
    <row r="2139" s="1" customFormat="1" x14ac:dyDescent="0.2"/>
    <row r="2140" s="1" customFormat="1" x14ac:dyDescent="0.2"/>
    <row r="2141" s="1" customFormat="1" x14ac:dyDescent="0.2"/>
    <row r="2142" s="1" customFormat="1" x14ac:dyDescent="0.2"/>
    <row r="2143" s="1" customFormat="1" x14ac:dyDescent="0.2"/>
    <row r="2144" s="1" customFormat="1" x14ac:dyDescent="0.2"/>
    <row r="2145" s="1" customFormat="1" x14ac:dyDescent="0.2"/>
    <row r="2146" s="1" customFormat="1" x14ac:dyDescent="0.2"/>
    <row r="2147" s="1" customFormat="1" x14ac:dyDescent="0.2"/>
    <row r="2148" s="1" customFormat="1" x14ac:dyDescent="0.2"/>
    <row r="2149" s="1" customFormat="1" ht="12.75" customHeight="1" x14ac:dyDescent="0.2"/>
    <row r="2150" s="1" customFormat="1" x14ac:dyDescent="0.2"/>
    <row r="2151" s="1" customFormat="1" x14ac:dyDescent="0.2"/>
    <row r="2152" s="1" customFormat="1" x14ac:dyDescent="0.2"/>
    <row r="2153" s="1" customFormat="1" x14ac:dyDescent="0.2"/>
    <row r="2154" s="1" customFormat="1" x14ac:dyDescent="0.2"/>
    <row r="2155" s="1" customFormat="1" x14ac:dyDescent="0.2"/>
    <row r="2156" s="1" customFormat="1" x14ac:dyDescent="0.2"/>
    <row r="2157" s="1" customFormat="1" x14ac:dyDescent="0.2"/>
    <row r="2158" s="1" customFormat="1" x14ac:dyDescent="0.2"/>
    <row r="2159" s="1" customFormat="1" x14ac:dyDescent="0.2"/>
    <row r="2160" s="1" customFormat="1" x14ac:dyDescent="0.2"/>
    <row r="2161" s="1" customFormat="1" x14ac:dyDescent="0.2"/>
    <row r="2162" s="1" customFormat="1" ht="12.75" customHeight="1" x14ac:dyDescent="0.2"/>
    <row r="2163" s="1" customFormat="1" x14ac:dyDescent="0.2"/>
    <row r="2164" s="1" customFormat="1" x14ac:dyDescent="0.2"/>
    <row r="2165" s="1" customFormat="1" x14ac:dyDescent="0.2"/>
    <row r="2166" s="1" customFormat="1" x14ac:dyDescent="0.2"/>
    <row r="2167" s="1" customFormat="1" x14ac:dyDescent="0.2"/>
    <row r="2168" s="1" customFormat="1" x14ac:dyDescent="0.2"/>
    <row r="2169" s="1" customFormat="1" x14ac:dyDescent="0.2"/>
    <row r="2170" s="1" customFormat="1" x14ac:dyDescent="0.2"/>
    <row r="2171" s="1" customFormat="1" x14ac:dyDescent="0.2"/>
    <row r="2172" s="1" customFormat="1" x14ac:dyDescent="0.2"/>
    <row r="2173" s="1" customFormat="1" x14ac:dyDescent="0.2"/>
    <row r="2174" s="1" customFormat="1" x14ac:dyDescent="0.2"/>
    <row r="2175" s="1" customFormat="1" ht="12.75" customHeight="1" x14ac:dyDescent="0.2"/>
    <row r="2176" s="1" customFormat="1" x14ac:dyDescent="0.2"/>
    <row r="2177" s="1" customFormat="1" x14ac:dyDescent="0.2"/>
    <row r="2178" s="1" customFormat="1" x14ac:dyDescent="0.2"/>
    <row r="2179" s="1" customFormat="1" x14ac:dyDescent="0.2"/>
    <row r="2180" s="1" customFormat="1" x14ac:dyDescent="0.2"/>
    <row r="2181" s="1" customFormat="1" x14ac:dyDescent="0.2"/>
    <row r="2182" s="1" customFormat="1" x14ac:dyDescent="0.2"/>
    <row r="2183" s="1" customFormat="1" x14ac:dyDescent="0.2"/>
    <row r="2184" s="1" customFormat="1" x14ac:dyDescent="0.2"/>
    <row r="2185" s="1" customFormat="1" x14ac:dyDescent="0.2"/>
    <row r="2186" s="1" customFormat="1" x14ac:dyDescent="0.2"/>
    <row r="2187" s="1" customFormat="1" x14ac:dyDescent="0.2"/>
    <row r="2188" s="1" customFormat="1" ht="12.75" customHeight="1" x14ac:dyDescent="0.2"/>
    <row r="2189" s="1" customFormat="1" x14ac:dyDescent="0.2"/>
    <row r="2190" s="1" customFormat="1" x14ac:dyDescent="0.2"/>
    <row r="2191" s="1" customFormat="1" x14ac:dyDescent="0.2"/>
    <row r="2192" s="1" customFormat="1" x14ac:dyDescent="0.2"/>
    <row r="2193" s="1" customFormat="1" x14ac:dyDescent="0.2"/>
    <row r="2194" s="1" customFormat="1" x14ac:dyDescent="0.2"/>
    <row r="2195" s="1" customFormat="1" x14ac:dyDescent="0.2"/>
    <row r="2196" s="1" customFormat="1" x14ac:dyDescent="0.2"/>
    <row r="2197" s="1" customFormat="1" x14ac:dyDescent="0.2"/>
    <row r="2198" s="1" customFormat="1" x14ac:dyDescent="0.2"/>
    <row r="2199" s="1" customFormat="1" x14ac:dyDescent="0.2"/>
    <row r="2200" s="1" customFormat="1" x14ac:dyDescent="0.2"/>
    <row r="2201" s="1" customFormat="1" ht="12.75" customHeight="1" x14ac:dyDescent="0.2"/>
    <row r="2202" s="1" customFormat="1" x14ac:dyDescent="0.2"/>
    <row r="2203" s="1" customFormat="1" x14ac:dyDescent="0.2"/>
    <row r="2204" s="1" customFormat="1" x14ac:dyDescent="0.2"/>
    <row r="2205" s="1" customFormat="1" x14ac:dyDescent="0.2"/>
    <row r="2206" s="1" customFormat="1" x14ac:dyDescent="0.2"/>
    <row r="2207" s="1" customFormat="1" x14ac:dyDescent="0.2"/>
    <row r="2208" s="1" customFormat="1" x14ac:dyDescent="0.2"/>
    <row r="2209" s="1" customFormat="1" x14ac:dyDescent="0.2"/>
    <row r="2210" s="1" customFormat="1" x14ac:dyDescent="0.2"/>
    <row r="2211" s="1" customFormat="1" x14ac:dyDescent="0.2"/>
    <row r="2212" s="1" customFormat="1" x14ac:dyDescent="0.2"/>
    <row r="2213" s="1" customFormat="1" x14ac:dyDescent="0.2"/>
    <row r="2214" s="1" customFormat="1" ht="12.75" customHeight="1" x14ac:dyDescent="0.2"/>
    <row r="2215" s="1" customFormat="1" x14ac:dyDescent="0.2"/>
    <row r="2216" s="1" customFormat="1" x14ac:dyDescent="0.2"/>
    <row r="2217" s="1" customFormat="1" x14ac:dyDescent="0.2"/>
    <row r="2218" s="1" customFormat="1" x14ac:dyDescent="0.2"/>
    <row r="2219" s="1" customFormat="1" x14ac:dyDescent="0.2"/>
    <row r="2220" s="1" customFormat="1" x14ac:dyDescent="0.2"/>
    <row r="2221" s="1" customFormat="1" x14ac:dyDescent="0.2"/>
    <row r="2222" s="1" customFormat="1" x14ac:dyDescent="0.2"/>
    <row r="2223" s="1" customFormat="1" x14ac:dyDescent="0.2"/>
    <row r="2224" s="1" customFormat="1" x14ac:dyDescent="0.2"/>
    <row r="2225" s="1" customFormat="1" x14ac:dyDescent="0.2"/>
    <row r="2226" s="1" customFormat="1" x14ac:dyDescent="0.2"/>
    <row r="2227" s="1" customFormat="1" ht="12.75" customHeight="1" x14ac:dyDescent="0.2"/>
    <row r="2228" s="1" customFormat="1" x14ac:dyDescent="0.2"/>
    <row r="2229" s="1" customFormat="1" x14ac:dyDescent="0.2"/>
    <row r="2230" s="1" customFormat="1" x14ac:dyDescent="0.2"/>
    <row r="2231" s="1" customFormat="1" x14ac:dyDescent="0.2"/>
    <row r="2232" s="1" customFormat="1" x14ac:dyDescent="0.2"/>
    <row r="2233" s="1" customFormat="1" x14ac:dyDescent="0.2"/>
    <row r="2234" s="1" customFormat="1" x14ac:dyDescent="0.2"/>
    <row r="2235" s="1" customFormat="1" x14ac:dyDescent="0.2"/>
    <row r="2236" s="1" customFormat="1" x14ac:dyDescent="0.2"/>
    <row r="2237" s="1" customFormat="1" x14ac:dyDescent="0.2"/>
    <row r="2238" s="1" customFormat="1" x14ac:dyDescent="0.2"/>
    <row r="2239" s="1" customFormat="1" x14ac:dyDescent="0.2"/>
    <row r="2240" s="1" customFormat="1" ht="12.75" customHeight="1" x14ac:dyDescent="0.2"/>
    <row r="2241" s="1" customFormat="1" x14ac:dyDescent="0.2"/>
    <row r="2242" s="1" customFormat="1" x14ac:dyDescent="0.2"/>
    <row r="2243" s="1" customFormat="1" x14ac:dyDescent="0.2"/>
    <row r="2244" s="1" customFormat="1" x14ac:dyDescent="0.2"/>
    <row r="2245" s="1" customFormat="1" x14ac:dyDescent="0.2"/>
    <row r="2246" s="1" customFormat="1" x14ac:dyDescent="0.2"/>
    <row r="2247" s="1" customFormat="1" x14ac:dyDescent="0.2"/>
    <row r="2248" s="1" customFormat="1" x14ac:dyDescent="0.2"/>
    <row r="2249" s="1" customFormat="1" x14ac:dyDescent="0.2"/>
    <row r="2250" s="1" customFormat="1" x14ac:dyDescent="0.2"/>
    <row r="2251" s="1" customFormat="1" x14ac:dyDescent="0.2"/>
    <row r="2252" s="1" customFormat="1" x14ac:dyDescent="0.2"/>
    <row r="2253" s="1" customFormat="1" ht="12.75" customHeight="1" x14ac:dyDescent="0.2"/>
    <row r="2254" s="1" customFormat="1" x14ac:dyDescent="0.2"/>
    <row r="2255" s="1" customFormat="1" x14ac:dyDescent="0.2"/>
    <row r="2256" s="1" customFormat="1" x14ac:dyDescent="0.2"/>
    <row r="2257" s="1" customFormat="1" x14ac:dyDescent="0.2"/>
    <row r="2258" s="1" customFormat="1" x14ac:dyDescent="0.2"/>
    <row r="2259" s="1" customFormat="1" x14ac:dyDescent="0.2"/>
    <row r="2260" s="1" customFormat="1" x14ac:dyDescent="0.2"/>
    <row r="2261" s="1" customFormat="1" x14ac:dyDescent="0.2"/>
    <row r="2262" s="1" customFormat="1" x14ac:dyDescent="0.2"/>
    <row r="2263" s="1" customFormat="1" x14ac:dyDescent="0.2"/>
    <row r="2264" s="1" customFormat="1" x14ac:dyDescent="0.2"/>
    <row r="2265" s="1" customFormat="1" x14ac:dyDescent="0.2"/>
    <row r="2266" s="1" customFormat="1" ht="12.75" customHeight="1" x14ac:dyDescent="0.2"/>
    <row r="2267" s="1" customFormat="1" x14ac:dyDescent="0.2"/>
    <row r="2268" s="1" customFormat="1" x14ac:dyDescent="0.2"/>
    <row r="2269" s="1" customFormat="1" x14ac:dyDescent="0.2"/>
    <row r="2270" s="1" customFormat="1" x14ac:dyDescent="0.2"/>
    <row r="2271" s="1" customFormat="1" x14ac:dyDescent="0.2"/>
    <row r="2272" s="1" customFormat="1" x14ac:dyDescent="0.2"/>
    <row r="2273" s="1" customFormat="1" x14ac:dyDescent="0.2"/>
    <row r="2274" s="1" customFormat="1" x14ac:dyDescent="0.2"/>
    <row r="2275" s="1" customFormat="1" x14ac:dyDescent="0.2"/>
    <row r="2276" s="1" customFormat="1" x14ac:dyDescent="0.2"/>
    <row r="2277" s="1" customFormat="1" x14ac:dyDescent="0.2"/>
    <row r="2278" s="1" customFormat="1" x14ac:dyDescent="0.2"/>
    <row r="2279" s="1" customFormat="1" ht="12.75" customHeight="1" x14ac:dyDescent="0.2"/>
    <row r="2280" s="1" customFormat="1" x14ac:dyDescent="0.2"/>
    <row r="2281" s="1" customFormat="1" x14ac:dyDescent="0.2"/>
    <row r="2282" s="1" customFormat="1" x14ac:dyDescent="0.2"/>
    <row r="2283" s="1" customFormat="1" x14ac:dyDescent="0.2"/>
    <row r="2284" s="1" customFormat="1" x14ac:dyDescent="0.2"/>
    <row r="2285" s="1" customFormat="1" x14ac:dyDescent="0.2"/>
    <row r="2286" s="1" customFormat="1" x14ac:dyDescent="0.2"/>
    <row r="2287" s="1" customFormat="1" x14ac:dyDescent="0.2"/>
    <row r="2288" s="1" customFormat="1" x14ac:dyDescent="0.2"/>
    <row r="2289" s="1" customFormat="1" x14ac:dyDescent="0.2"/>
    <row r="2290" s="1" customFormat="1" x14ac:dyDescent="0.2"/>
    <row r="2291" s="1" customFormat="1" x14ac:dyDescent="0.2"/>
    <row r="2292" s="1" customFormat="1" ht="12.75" customHeight="1" x14ac:dyDescent="0.2"/>
    <row r="2293" s="1" customFormat="1" x14ac:dyDescent="0.2"/>
    <row r="2294" s="1" customFormat="1" x14ac:dyDescent="0.2"/>
    <row r="2295" s="1" customFormat="1" x14ac:dyDescent="0.2"/>
    <row r="2296" s="1" customFormat="1" x14ac:dyDescent="0.2"/>
    <row r="2297" s="1" customFormat="1" x14ac:dyDescent="0.2"/>
    <row r="2298" s="1" customFormat="1" x14ac:dyDescent="0.2"/>
    <row r="2299" s="1" customFormat="1" x14ac:dyDescent="0.2"/>
    <row r="2300" s="1" customFormat="1" x14ac:dyDescent="0.2"/>
    <row r="2301" s="1" customFormat="1" x14ac:dyDescent="0.2"/>
    <row r="2302" s="1" customFormat="1" x14ac:dyDescent="0.2"/>
    <row r="2303" s="1" customFormat="1" x14ac:dyDescent="0.2"/>
    <row r="2304" s="1" customFormat="1" x14ac:dyDescent="0.2"/>
    <row r="2305" s="1" customFormat="1" ht="12.75" customHeight="1" x14ac:dyDescent="0.2"/>
    <row r="2306" s="1" customFormat="1" x14ac:dyDescent="0.2"/>
    <row r="2307" s="1" customFormat="1" x14ac:dyDescent="0.2"/>
    <row r="2308" s="1" customFormat="1" x14ac:dyDescent="0.2"/>
    <row r="2309" s="1" customFormat="1" x14ac:dyDescent="0.2"/>
    <row r="2310" s="1" customFormat="1" x14ac:dyDescent="0.2"/>
    <row r="2311" s="1" customFormat="1" x14ac:dyDescent="0.2"/>
    <row r="2312" s="1" customFormat="1" x14ac:dyDescent="0.2"/>
    <row r="2313" s="1" customFormat="1" x14ac:dyDescent="0.2"/>
    <row r="2314" s="1" customFormat="1" x14ac:dyDescent="0.2"/>
    <row r="2315" s="1" customFormat="1" x14ac:dyDescent="0.2"/>
    <row r="2316" s="1" customFormat="1" x14ac:dyDescent="0.2"/>
    <row r="2317" s="1" customFormat="1" x14ac:dyDescent="0.2"/>
    <row r="2318" s="1" customFormat="1" ht="12.75" customHeight="1" x14ac:dyDescent="0.2"/>
    <row r="2319" s="1" customFormat="1" x14ac:dyDescent="0.2"/>
    <row r="2320" s="1" customFormat="1" x14ac:dyDescent="0.2"/>
    <row r="2321" s="1" customFormat="1" x14ac:dyDescent="0.2"/>
    <row r="2322" s="1" customFormat="1" x14ac:dyDescent="0.2"/>
    <row r="2323" s="1" customFormat="1" x14ac:dyDescent="0.2"/>
    <row r="2324" s="1" customFormat="1" x14ac:dyDescent="0.2"/>
    <row r="2325" s="1" customFormat="1" x14ac:dyDescent="0.2"/>
    <row r="2326" s="1" customFormat="1" x14ac:dyDescent="0.2"/>
    <row r="2327" s="1" customFormat="1" x14ac:dyDescent="0.2"/>
    <row r="2328" s="1" customFormat="1" x14ac:dyDescent="0.2"/>
    <row r="2329" s="1" customFormat="1" x14ac:dyDescent="0.2"/>
    <row r="2330" s="1" customFormat="1" x14ac:dyDescent="0.2"/>
    <row r="2331" s="1" customFormat="1" ht="12.75" customHeight="1" x14ac:dyDescent="0.2"/>
    <row r="2332" s="1" customFormat="1" x14ac:dyDescent="0.2"/>
    <row r="2333" s="1" customFormat="1" x14ac:dyDescent="0.2"/>
    <row r="2334" s="1" customFormat="1" x14ac:dyDescent="0.2"/>
    <row r="2335" s="1" customFormat="1" x14ac:dyDescent="0.2"/>
    <row r="2336" s="1" customFormat="1" x14ac:dyDescent="0.2"/>
    <row r="2337" s="1" customFormat="1" x14ac:dyDescent="0.2"/>
    <row r="2338" s="1" customFormat="1" x14ac:dyDescent="0.2"/>
    <row r="2339" s="1" customFormat="1" x14ac:dyDescent="0.2"/>
    <row r="2340" s="1" customFormat="1" x14ac:dyDescent="0.2"/>
    <row r="2341" s="1" customFormat="1" x14ac:dyDescent="0.2"/>
    <row r="2342" s="1" customFormat="1" x14ac:dyDescent="0.2"/>
    <row r="2343" s="1" customFormat="1" x14ac:dyDescent="0.2"/>
    <row r="2344" s="1" customFormat="1" ht="12.75" customHeight="1" x14ac:dyDescent="0.2"/>
    <row r="2345" s="1" customFormat="1" x14ac:dyDescent="0.2"/>
    <row r="2346" s="1" customFormat="1" x14ac:dyDescent="0.2"/>
    <row r="2347" s="1" customFormat="1" x14ac:dyDescent="0.2"/>
    <row r="2348" s="1" customFormat="1" x14ac:dyDescent="0.2"/>
    <row r="2349" s="1" customFormat="1" x14ac:dyDescent="0.2"/>
    <row r="2350" s="1" customFormat="1" x14ac:dyDescent="0.2"/>
    <row r="2351" s="1" customFormat="1" x14ac:dyDescent="0.2"/>
    <row r="2352" s="1" customFormat="1" x14ac:dyDescent="0.2"/>
    <row r="2353" s="1" customFormat="1" x14ac:dyDescent="0.2"/>
    <row r="2354" s="1" customFormat="1" x14ac:dyDescent="0.2"/>
    <row r="2355" s="1" customFormat="1" x14ac:dyDescent="0.2"/>
    <row r="2356" s="1" customFormat="1" x14ac:dyDescent="0.2"/>
    <row r="2357" s="1" customFormat="1" ht="12.75" customHeight="1" x14ac:dyDescent="0.2"/>
    <row r="2358" s="1" customFormat="1" x14ac:dyDescent="0.2"/>
    <row r="2359" s="1" customFormat="1" x14ac:dyDescent="0.2"/>
    <row r="2360" s="1" customFormat="1" x14ac:dyDescent="0.2"/>
    <row r="2361" s="1" customFormat="1" x14ac:dyDescent="0.2"/>
    <row r="2362" s="1" customFormat="1" x14ac:dyDescent="0.2"/>
    <row r="2363" s="1" customFormat="1" x14ac:dyDescent="0.2"/>
    <row r="2364" s="1" customFormat="1" x14ac:dyDescent="0.2"/>
    <row r="2365" s="1" customFormat="1" x14ac:dyDescent="0.2"/>
    <row r="2366" s="1" customFormat="1" x14ac:dyDescent="0.2"/>
    <row r="2367" s="1" customFormat="1" x14ac:dyDescent="0.2"/>
    <row r="2368" s="1" customFormat="1" x14ac:dyDescent="0.2"/>
    <row r="2369" s="1" customFormat="1" x14ac:dyDescent="0.2"/>
    <row r="2370" s="1" customFormat="1" ht="12.75" customHeight="1" x14ac:dyDescent="0.2"/>
    <row r="2371" s="1" customFormat="1" x14ac:dyDescent="0.2"/>
    <row r="2372" s="1" customFormat="1" x14ac:dyDescent="0.2"/>
    <row r="2373" s="1" customFormat="1" x14ac:dyDescent="0.2"/>
    <row r="2374" s="1" customFormat="1" x14ac:dyDescent="0.2"/>
    <row r="2375" s="1" customFormat="1" x14ac:dyDescent="0.2"/>
    <row r="2376" s="1" customFormat="1" x14ac:dyDescent="0.2"/>
    <row r="2377" s="1" customFormat="1" x14ac:dyDescent="0.2"/>
    <row r="2378" s="1" customFormat="1" x14ac:dyDescent="0.2"/>
    <row r="2379" s="1" customFormat="1" x14ac:dyDescent="0.2"/>
    <row r="2380" s="1" customFormat="1" x14ac:dyDescent="0.2"/>
    <row r="2381" s="1" customFormat="1" x14ac:dyDescent="0.2"/>
    <row r="2382" s="1" customFormat="1" x14ac:dyDescent="0.2"/>
    <row r="2383" s="1" customFormat="1" ht="12.75" customHeight="1" x14ac:dyDescent="0.2"/>
    <row r="2384" s="1" customFormat="1" x14ac:dyDescent="0.2"/>
    <row r="2385" s="1" customFormat="1" x14ac:dyDescent="0.2"/>
    <row r="2386" s="1" customFormat="1" x14ac:dyDescent="0.2"/>
    <row r="2387" s="1" customFormat="1" x14ac:dyDescent="0.2"/>
    <row r="2388" s="1" customFormat="1" x14ac:dyDescent="0.2"/>
    <row r="2389" s="1" customFormat="1" x14ac:dyDescent="0.2"/>
    <row r="2390" s="1" customFormat="1" x14ac:dyDescent="0.2"/>
    <row r="2391" s="1" customFormat="1" x14ac:dyDescent="0.2"/>
    <row r="2392" s="1" customFormat="1" x14ac:dyDescent="0.2"/>
    <row r="2393" s="1" customFormat="1" x14ac:dyDescent="0.2"/>
    <row r="2394" s="1" customFormat="1" x14ac:dyDescent="0.2"/>
    <row r="2395" s="1" customFormat="1" x14ac:dyDescent="0.2"/>
    <row r="2396" s="1" customFormat="1" ht="12.75" customHeight="1" x14ac:dyDescent="0.2"/>
    <row r="2397" s="1" customFormat="1" x14ac:dyDescent="0.2"/>
    <row r="2398" s="1" customFormat="1" x14ac:dyDescent="0.2"/>
    <row r="2399" s="1" customFormat="1" x14ac:dyDescent="0.2"/>
    <row r="2400" s="1" customFormat="1" x14ac:dyDescent="0.2"/>
    <row r="2401" s="1" customFormat="1" x14ac:dyDescent="0.2"/>
    <row r="2402" s="1" customFormat="1" x14ac:dyDescent="0.2"/>
    <row r="2403" s="1" customFormat="1" x14ac:dyDescent="0.2"/>
    <row r="2404" s="1" customFormat="1" x14ac:dyDescent="0.2"/>
    <row r="2405" s="1" customFormat="1" x14ac:dyDescent="0.2"/>
    <row r="2406" s="1" customFormat="1" x14ac:dyDescent="0.2"/>
    <row r="2407" s="1" customFormat="1" x14ac:dyDescent="0.2"/>
    <row r="2408" s="1" customFormat="1" x14ac:dyDescent="0.2"/>
    <row r="2409" s="1" customFormat="1" ht="12.75" customHeight="1" x14ac:dyDescent="0.2"/>
    <row r="2410" s="1" customFormat="1" x14ac:dyDescent="0.2"/>
    <row r="2411" s="1" customFormat="1" x14ac:dyDescent="0.2"/>
    <row r="2412" s="1" customFormat="1" x14ac:dyDescent="0.2"/>
    <row r="2413" s="1" customFormat="1" x14ac:dyDescent="0.2"/>
    <row r="2414" s="1" customFormat="1" x14ac:dyDescent="0.2"/>
    <row r="2415" s="1" customFormat="1" x14ac:dyDescent="0.2"/>
    <row r="2416" s="1" customFormat="1" x14ac:dyDescent="0.2"/>
    <row r="2417" s="1" customFormat="1" x14ac:dyDescent="0.2"/>
    <row r="2418" s="1" customFormat="1" x14ac:dyDescent="0.2"/>
    <row r="2419" s="1" customFormat="1" x14ac:dyDescent="0.2"/>
    <row r="2420" s="1" customFormat="1" x14ac:dyDescent="0.2"/>
    <row r="2421" s="1" customFormat="1" x14ac:dyDescent="0.2"/>
    <row r="2422" s="1" customFormat="1" ht="12.75" customHeight="1" x14ac:dyDescent="0.2"/>
    <row r="2423" s="1" customFormat="1" x14ac:dyDescent="0.2"/>
    <row r="2424" s="1" customFormat="1" x14ac:dyDescent="0.2"/>
    <row r="2425" s="1" customFormat="1" x14ac:dyDescent="0.2"/>
    <row r="2426" s="1" customFormat="1" x14ac:dyDescent="0.2"/>
    <row r="2427" s="1" customFormat="1" x14ac:dyDescent="0.2"/>
    <row r="2428" s="1" customFormat="1" x14ac:dyDescent="0.2"/>
    <row r="2429" s="1" customFormat="1" x14ac:dyDescent="0.2"/>
    <row r="2430" s="1" customFormat="1" x14ac:dyDescent="0.2"/>
    <row r="2431" s="1" customFormat="1" x14ac:dyDescent="0.2"/>
    <row r="2432" s="1" customFormat="1" x14ac:dyDescent="0.2"/>
    <row r="2433" s="1" customFormat="1" x14ac:dyDescent="0.2"/>
    <row r="2434" s="1" customFormat="1" x14ac:dyDescent="0.2"/>
    <row r="2435" s="1" customFormat="1" ht="12.75" customHeight="1" x14ac:dyDescent="0.2"/>
    <row r="2436" s="1" customFormat="1" x14ac:dyDescent="0.2"/>
    <row r="2437" s="1" customFormat="1" x14ac:dyDescent="0.2"/>
    <row r="2438" s="1" customFormat="1" x14ac:dyDescent="0.2"/>
    <row r="2439" s="1" customFormat="1" x14ac:dyDescent="0.2"/>
    <row r="2440" s="1" customFormat="1" x14ac:dyDescent="0.2"/>
    <row r="2441" s="1" customFormat="1" x14ac:dyDescent="0.2"/>
    <row r="2442" s="1" customFormat="1" x14ac:dyDescent="0.2"/>
    <row r="2443" s="1" customFormat="1" x14ac:dyDescent="0.2"/>
    <row r="2444" s="1" customFormat="1" x14ac:dyDescent="0.2"/>
    <row r="2445" s="1" customFormat="1" x14ac:dyDescent="0.2"/>
    <row r="2446" s="1" customFormat="1" x14ac:dyDescent="0.2"/>
    <row r="2447" s="1" customFormat="1" x14ac:dyDescent="0.2"/>
    <row r="2448" s="1" customFormat="1" ht="12.75" customHeight="1" x14ac:dyDescent="0.2"/>
    <row r="2449" s="1" customFormat="1" x14ac:dyDescent="0.2"/>
    <row r="2450" s="1" customFormat="1" x14ac:dyDescent="0.2"/>
    <row r="2451" s="1" customFormat="1" x14ac:dyDescent="0.2"/>
    <row r="2452" s="1" customFormat="1" x14ac:dyDescent="0.2"/>
    <row r="2453" s="1" customFormat="1" x14ac:dyDescent="0.2"/>
    <row r="2454" s="1" customFormat="1" x14ac:dyDescent="0.2"/>
    <row r="2455" s="1" customFormat="1" x14ac:dyDescent="0.2"/>
    <row r="2456" s="1" customFormat="1" x14ac:dyDescent="0.2"/>
    <row r="2457" s="1" customFormat="1" x14ac:dyDescent="0.2"/>
    <row r="2458" s="1" customFormat="1" x14ac:dyDescent="0.2"/>
    <row r="2459" s="1" customFormat="1" x14ac:dyDescent="0.2"/>
    <row r="2460" s="1" customFormat="1" x14ac:dyDescent="0.2"/>
  </sheetData>
  <sheetProtection password="C64B" sheet="1" objects="1" scenarios="1"/>
  <mergeCells count="249">
    <mergeCell ref="G251:G263"/>
    <mergeCell ref="H251:H263"/>
    <mergeCell ref="I251:I263"/>
    <mergeCell ref="J251:J263"/>
    <mergeCell ref="B290:B302"/>
    <mergeCell ref="C290:C302"/>
    <mergeCell ref="D290:D302"/>
    <mergeCell ref="E290:E302"/>
    <mergeCell ref="F290:F302"/>
    <mergeCell ref="G290:G302"/>
    <mergeCell ref="H290:H302"/>
    <mergeCell ref="I290:I302"/>
    <mergeCell ref="J290:J302"/>
    <mergeCell ref="B277:B289"/>
    <mergeCell ref="C277:C289"/>
    <mergeCell ref="D277:D289"/>
    <mergeCell ref="E277:E289"/>
    <mergeCell ref="F277:F289"/>
    <mergeCell ref="G277:G289"/>
    <mergeCell ref="H277:H289"/>
    <mergeCell ref="I277:I289"/>
    <mergeCell ref="J277:J289"/>
    <mergeCell ref="B212:B224"/>
    <mergeCell ref="C212:C224"/>
    <mergeCell ref="D212:D224"/>
    <mergeCell ref="E212:E224"/>
    <mergeCell ref="F212:F224"/>
    <mergeCell ref="G212:G224"/>
    <mergeCell ref="H212:H224"/>
    <mergeCell ref="I212:I224"/>
    <mergeCell ref="J212:J224"/>
    <mergeCell ref="B225:B237"/>
    <mergeCell ref="C225:C237"/>
    <mergeCell ref="D225:D237"/>
    <mergeCell ref="E225:E237"/>
    <mergeCell ref="F225:F237"/>
    <mergeCell ref="G225:G237"/>
    <mergeCell ref="H225:H237"/>
    <mergeCell ref="I225:I237"/>
    <mergeCell ref="J225:J237"/>
    <mergeCell ref="B186:B198"/>
    <mergeCell ref="C186:C198"/>
    <mergeCell ref="D186:D198"/>
    <mergeCell ref="E186:E198"/>
    <mergeCell ref="F186:F198"/>
    <mergeCell ref="G186:G198"/>
    <mergeCell ref="H186:H198"/>
    <mergeCell ref="I186:I198"/>
    <mergeCell ref="J186:J198"/>
    <mergeCell ref="B199:B211"/>
    <mergeCell ref="C199:C211"/>
    <mergeCell ref="D199:D211"/>
    <mergeCell ref="E199:E211"/>
    <mergeCell ref="F199:F211"/>
    <mergeCell ref="G199:G211"/>
    <mergeCell ref="H199:H211"/>
    <mergeCell ref="I199:I211"/>
    <mergeCell ref="J199:J211"/>
    <mergeCell ref="B147:B159"/>
    <mergeCell ref="C147:C159"/>
    <mergeCell ref="D147:D159"/>
    <mergeCell ref="E147:E159"/>
    <mergeCell ref="F147:F159"/>
    <mergeCell ref="G147:G159"/>
    <mergeCell ref="H147:H159"/>
    <mergeCell ref="I147:I159"/>
    <mergeCell ref="J147:J159"/>
    <mergeCell ref="B173:B185"/>
    <mergeCell ref="C173:C185"/>
    <mergeCell ref="D173:D185"/>
    <mergeCell ref="E173:E185"/>
    <mergeCell ref="F173:F185"/>
    <mergeCell ref="G173:G185"/>
    <mergeCell ref="H173:H185"/>
    <mergeCell ref="I173:I185"/>
    <mergeCell ref="J173:J185"/>
    <mergeCell ref="G95:G107"/>
    <mergeCell ref="H95:H107"/>
    <mergeCell ref="I95:I107"/>
    <mergeCell ref="J95:J107"/>
    <mergeCell ref="B134:B146"/>
    <mergeCell ref="C134:C146"/>
    <mergeCell ref="D134:D146"/>
    <mergeCell ref="E134:E146"/>
    <mergeCell ref="F134:F146"/>
    <mergeCell ref="G134:G146"/>
    <mergeCell ref="H134:H146"/>
    <mergeCell ref="I134:I146"/>
    <mergeCell ref="J134:J146"/>
    <mergeCell ref="B121:B133"/>
    <mergeCell ref="C121:C133"/>
    <mergeCell ref="D121:D133"/>
    <mergeCell ref="E121:E133"/>
    <mergeCell ref="F121:F133"/>
    <mergeCell ref="G121:G133"/>
    <mergeCell ref="H121:H133"/>
    <mergeCell ref="I121:I133"/>
    <mergeCell ref="J121:J133"/>
    <mergeCell ref="F95:F107"/>
    <mergeCell ref="I69:I81"/>
    <mergeCell ref="J69:J81"/>
    <mergeCell ref="B56:B68"/>
    <mergeCell ref="C56:C68"/>
    <mergeCell ref="D56:D68"/>
    <mergeCell ref="E56:E68"/>
    <mergeCell ref="F56:F68"/>
    <mergeCell ref="G56:G68"/>
    <mergeCell ref="H56:H68"/>
    <mergeCell ref="I56:I68"/>
    <mergeCell ref="J56:J68"/>
    <mergeCell ref="B69:B81"/>
    <mergeCell ref="C69:C81"/>
    <mergeCell ref="D69:D81"/>
    <mergeCell ref="E69:E81"/>
    <mergeCell ref="F69:F81"/>
    <mergeCell ref="G69:G81"/>
    <mergeCell ref="H69:H81"/>
    <mergeCell ref="J43:J55"/>
    <mergeCell ref="B30:B42"/>
    <mergeCell ref="C30:C42"/>
    <mergeCell ref="D30:D42"/>
    <mergeCell ref="E30:E42"/>
    <mergeCell ref="F30:F42"/>
    <mergeCell ref="G30:G42"/>
    <mergeCell ref="H30:H42"/>
    <mergeCell ref="I30:I42"/>
    <mergeCell ref="J30:J42"/>
    <mergeCell ref="B43:B55"/>
    <mergeCell ref="C43:C55"/>
    <mergeCell ref="D43:D55"/>
    <mergeCell ref="E43:E55"/>
    <mergeCell ref="F43:F55"/>
    <mergeCell ref="G43:G55"/>
    <mergeCell ref="H43:H55"/>
    <mergeCell ref="I43:I55"/>
    <mergeCell ref="J17:J29"/>
    <mergeCell ref="B1:O1"/>
    <mergeCell ref="B2:B3"/>
    <mergeCell ref="C2:K2"/>
    <mergeCell ref="L2:M2"/>
    <mergeCell ref="N2:O2"/>
    <mergeCell ref="B4:B16"/>
    <mergeCell ref="C4:C16"/>
    <mergeCell ref="D4:D16"/>
    <mergeCell ref="E4:E16"/>
    <mergeCell ref="F4:F16"/>
    <mergeCell ref="G4:G16"/>
    <mergeCell ref="H4:H16"/>
    <mergeCell ref="I4:I16"/>
    <mergeCell ref="J4:J16"/>
    <mergeCell ref="B17:B29"/>
    <mergeCell ref="C17:C29"/>
    <mergeCell ref="D17:D29"/>
    <mergeCell ref="E17:E29"/>
    <mergeCell ref="F17:F29"/>
    <mergeCell ref="G17:G29"/>
    <mergeCell ref="H17:H29"/>
    <mergeCell ref="I17:I29"/>
    <mergeCell ref="I82:I94"/>
    <mergeCell ref="J82:J94"/>
    <mergeCell ref="B160:B172"/>
    <mergeCell ref="C160:C172"/>
    <mergeCell ref="D160:D172"/>
    <mergeCell ref="E160:E172"/>
    <mergeCell ref="F160:F172"/>
    <mergeCell ref="G160:G172"/>
    <mergeCell ref="H160:H172"/>
    <mergeCell ref="I160:I172"/>
    <mergeCell ref="J160:J172"/>
    <mergeCell ref="B108:B120"/>
    <mergeCell ref="C108:C120"/>
    <mergeCell ref="D108:D120"/>
    <mergeCell ref="E108:E120"/>
    <mergeCell ref="F108:F120"/>
    <mergeCell ref="G108:G120"/>
    <mergeCell ref="H108:H120"/>
    <mergeCell ref="I108:I120"/>
    <mergeCell ref="J108:J120"/>
    <mergeCell ref="B95:B107"/>
    <mergeCell ref="C95:C107"/>
    <mergeCell ref="D95:D107"/>
    <mergeCell ref="E95:E107"/>
    <mergeCell ref="J238:J250"/>
    <mergeCell ref="B303:B315"/>
    <mergeCell ref="C303:C315"/>
    <mergeCell ref="D303:D315"/>
    <mergeCell ref="E303:E315"/>
    <mergeCell ref="F303:F315"/>
    <mergeCell ref="G303:G315"/>
    <mergeCell ref="H303:H315"/>
    <mergeCell ref="I303:I315"/>
    <mergeCell ref="J303:J315"/>
    <mergeCell ref="B264:B276"/>
    <mergeCell ref="C264:C276"/>
    <mergeCell ref="D264:D276"/>
    <mergeCell ref="E264:E276"/>
    <mergeCell ref="F264:F276"/>
    <mergeCell ref="G264:G276"/>
    <mergeCell ref="H264:H276"/>
    <mergeCell ref="I264:I276"/>
    <mergeCell ref="J264:J276"/>
    <mergeCell ref="B251:B263"/>
    <mergeCell ref="C251:C263"/>
    <mergeCell ref="D251:D263"/>
    <mergeCell ref="E251:E263"/>
    <mergeCell ref="F251:F263"/>
    <mergeCell ref="J316:J328"/>
    <mergeCell ref="H342:H354"/>
    <mergeCell ref="I342:I354"/>
    <mergeCell ref="J342:J354"/>
    <mergeCell ref="B342:B354"/>
    <mergeCell ref="C342:C354"/>
    <mergeCell ref="D342:D354"/>
    <mergeCell ref="E342:E354"/>
    <mergeCell ref="F342:F354"/>
    <mergeCell ref="G342:G354"/>
    <mergeCell ref="B329:B341"/>
    <mergeCell ref="C329:C341"/>
    <mergeCell ref="D329:D341"/>
    <mergeCell ref="E329:E341"/>
    <mergeCell ref="F329:F341"/>
    <mergeCell ref="G329:G341"/>
    <mergeCell ref="H329:H341"/>
    <mergeCell ref="I329:I341"/>
    <mergeCell ref="J329:J341"/>
    <mergeCell ref="A2:A354"/>
    <mergeCell ref="B316:B328"/>
    <mergeCell ref="C316:C328"/>
    <mergeCell ref="D316:D328"/>
    <mergeCell ref="E316:E328"/>
    <mergeCell ref="F316:F328"/>
    <mergeCell ref="G316:G328"/>
    <mergeCell ref="H316:H328"/>
    <mergeCell ref="I316:I328"/>
    <mergeCell ref="B238:B250"/>
    <mergeCell ref="C238:C250"/>
    <mergeCell ref="D238:D250"/>
    <mergeCell ref="E238:E250"/>
    <mergeCell ref="F238:F250"/>
    <mergeCell ref="G238:G250"/>
    <mergeCell ref="H238:H250"/>
    <mergeCell ref="I238:I250"/>
    <mergeCell ref="B82:B94"/>
    <mergeCell ref="C82:C94"/>
    <mergeCell ref="D82:D94"/>
    <mergeCell ref="E82:E94"/>
    <mergeCell ref="F82:F94"/>
    <mergeCell ref="G82:G94"/>
    <mergeCell ref="H82:H94"/>
  </mergeCells>
  <printOptions horizontalCentered="1" verticalCentered="1"/>
  <pageMargins left="0.11811023622047245" right="0" top="0.11811023622047245" bottom="0.19685039370078741" header="0.51181102362204722" footer="0.19685039370078741"/>
  <pageSetup paperSize="9" scale="65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37"/>
  <sheetViews>
    <sheetView showGridLines="0" zoomScale="80" zoomScaleNormal="80" zoomScaleSheetLayoutView="45" workbookViewId="0">
      <pane xSplit="7" ySplit="3" topLeftCell="H61" activePane="bottomRight" state="frozen"/>
      <selection pane="topRight" activeCell="H1" sqref="H1"/>
      <selection pane="bottomLeft" activeCell="A4" sqref="A4"/>
      <selection pane="bottomRight" activeCell="L69" sqref="L69:O80"/>
    </sheetView>
  </sheetViews>
  <sheetFormatPr defaultColWidth="9.140625" defaultRowHeight="12.75" x14ac:dyDescent="0.2"/>
  <cols>
    <col min="1" max="1" width="9.140625" style="1"/>
    <col min="2" max="2" width="12" style="1" customWidth="1"/>
    <col min="3" max="3" width="20.85546875" style="4" customWidth="1"/>
    <col min="4" max="4" width="29" style="2" customWidth="1"/>
    <col min="5" max="5" width="21" style="2" customWidth="1"/>
    <col min="6" max="6" width="15.140625" style="5" customWidth="1"/>
    <col min="7" max="7" width="8.140625" style="6" customWidth="1"/>
    <col min="8" max="8" width="14.85546875" style="6" customWidth="1"/>
    <col min="9" max="9" width="12.85546875" style="6" customWidth="1"/>
    <col min="10" max="10" width="11.140625" style="6" customWidth="1"/>
    <col min="11" max="12" width="12" style="6" customWidth="1"/>
    <col min="13" max="13" width="14.42578125" style="6" customWidth="1"/>
    <col min="14" max="15" width="15.42578125" style="9" customWidth="1"/>
    <col min="16" max="20" width="8" style="7" customWidth="1"/>
    <col min="21" max="21" width="10.140625" style="7" customWidth="1"/>
    <col min="22" max="16384" width="9.140625" style="1"/>
  </cols>
  <sheetData>
    <row r="1" spans="1:15" s="2" customFormat="1" ht="21" customHeight="1" x14ac:dyDescent="0.2">
      <c r="A1" s="15"/>
      <c r="B1" s="100" t="s">
        <v>25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2" customFormat="1" ht="87.75" customHeight="1" x14ac:dyDescent="0.2">
      <c r="A2" s="96" t="s">
        <v>38</v>
      </c>
      <c r="B2" s="99" t="s">
        <v>24</v>
      </c>
      <c r="C2" s="102" t="s">
        <v>27</v>
      </c>
      <c r="D2" s="103"/>
      <c r="E2" s="103"/>
      <c r="F2" s="103"/>
      <c r="G2" s="103"/>
      <c r="H2" s="103"/>
      <c r="I2" s="103"/>
      <c r="J2" s="103"/>
      <c r="K2" s="104"/>
      <c r="L2" s="98">
        <v>2013</v>
      </c>
      <c r="M2" s="98"/>
      <c r="N2" s="98" t="s">
        <v>91</v>
      </c>
      <c r="O2" s="98"/>
    </row>
    <row r="3" spans="1:15" s="3" customFormat="1" ht="26.25" customHeight="1" x14ac:dyDescent="0.2">
      <c r="A3" s="96"/>
      <c r="B3" s="99"/>
      <c r="C3" s="13" t="s">
        <v>1</v>
      </c>
      <c r="D3" s="13" t="s">
        <v>2</v>
      </c>
      <c r="E3" s="13" t="s">
        <v>3</v>
      </c>
      <c r="F3" s="13" t="s">
        <v>4</v>
      </c>
      <c r="G3" s="13" t="s">
        <v>26</v>
      </c>
      <c r="H3" s="13" t="s">
        <v>5</v>
      </c>
      <c r="I3" s="13" t="s">
        <v>20</v>
      </c>
      <c r="J3" s="13" t="s">
        <v>6</v>
      </c>
      <c r="K3" s="13" t="s">
        <v>28</v>
      </c>
      <c r="L3" s="13" t="s">
        <v>21</v>
      </c>
      <c r="M3" s="13" t="s">
        <v>22</v>
      </c>
      <c r="N3" s="14" t="s">
        <v>19</v>
      </c>
      <c r="O3" s="14" t="s">
        <v>22</v>
      </c>
    </row>
    <row r="4" spans="1:15" s="3" customFormat="1" ht="12.75" customHeight="1" x14ac:dyDescent="0.2">
      <c r="A4" s="96"/>
      <c r="B4" s="101" t="s">
        <v>39</v>
      </c>
      <c r="C4" s="178" t="s">
        <v>171</v>
      </c>
      <c r="D4" s="178" t="s">
        <v>40</v>
      </c>
      <c r="E4" s="178"/>
      <c r="F4" s="178" t="s">
        <v>85</v>
      </c>
      <c r="G4" s="178" t="s">
        <v>96</v>
      </c>
      <c r="H4" s="178"/>
      <c r="I4" s="178"/>
      <c r="J4" s="178"/>
      <c r="K4" s="10" t="s">
        <v>7</v>
      </c>
      <c r="L4" s="22">
        <v>0</v>
      </c>
      <c r="M4" s="22">
        <v>0</v>
      </c>
      <c r="N4" s="22">
        <v>0</v>
      </c>
      <c r="O4" s="22">
        <v>0</v>
      </c>
    </row>
    <row r="5" spans="1:15" s="3" customFormat="1" x14ac:dyDescent="0.2">
      <c r="A5" s="96"/>
      <c r="B5" s="101"/>
      <c r="C5" s="178"/>
      <c r="D5" s="178"/>
      <c r="E5" s="178"/>
      <c r="F5" s="178"/>
      <c r="G5" s="178"/>
      <c r="H5" s="178"/>
      <c r="I5" s="178"/>
      <c r="J5" s="178"/>
      <c r="K5" s="10" t="s">
        <v>8</v>
      </c>
      <c r="L5" s="22">
        <v>0</v>
      </c>
      <c r="M5" s="22">
        <v>0</v>
      </c>
      <c r="N5" s="22">
        <v>0</v>
      </c>
      <c r="O5" s="22">
        <v>0</v>
      </c>
    </row>
    <row r="6" spans="1:15" s="3" customFormat="1" x14ac:dyDescent="0.2">
      <c r="A6" s="96"/>
      <c r="B6" s="101"/>
      <c r="C6" s="178"/>
      <c r="D6" s="178"/>
      <c r="E6" s="178"/>
      <c r="F6" s="178"/>
      <c r="G6" s="178"/>
      <c r="H6" s="178"/>
      <c r="I6" s="178"/>
      <c r="J6" s="178"/>
      <c r="K6" s="10" t="s">
        <v>9</v>
      </c>
      <c r="L6" s="22">
        <v>0</v>
      </c>
      <c r="M6" s="22">
        <v>0</v>
      </c>
      <c r="N6" s="22">
        <v>0</v>
      </c>
      <c r="O6" s="22">
        <v>0</v>
      </c>
    </row>
    <row r="7" spans="1:15" s="3" customFormat="1" x14ac:dyDescent="0.2">
      <c r="A7" s="96"/>
      <c r="B7" s="101"/>
      <c r="C7" s="178"/>
      <c r="D7" s="178"/>
      <c r="E7" s="178"/>
      <c r="F7" s="178"/>
      <c r="G7" s="178"/>
      <c r="H7" s="178"/>
      <c r="I7" s="178"/>
      <c r="J7" s="178"/>
      <c r="K7" s="10" t="s">
        <v>10</v>
      </c>
      <c r="L7" s="22">
        <v>0</v>
      </c>
      <c r="M7" s="22">
        <v>0</v>
      </c>
      <c r="N7" s="22">
        <v>0</v>
      </c>
      <c r="O7" s="22">
        <v>0</v>
      </c>
    </row>
    <row r="8" spans="1:15" s="3" customFormat="1" x14ac:dyDescent="0.2">
      <c r="A8" s="96"/>
      <c r="B8" s="101"/>
      <c r="C8" s="178"/>
      <c r="D8" s="178"/>
      <c r="E8" s="178"/>
      <c r="F8" s="178"/>
      <c r="G8" s="178"/>
      <c r="H8" s="178"/>
      <c r="I8" s="178"/>
      <c r="J8" s="178"/>
      <c r="K8" s="10" t="s">
        <v>11</v>
      </c>
      <c r="L8" s="22">
        <v>0</v>
      </c>
      <c r="M8" s="22">
        <v>0</v>
      </c>
      <c r="N8" s="22">
        <v>0</v>
      </c>
      <c r="O8" s="22">
        <v>0</v>
      </c>
    </row>
    <row r="9" spans="1:15" s="3" customFormat="1" x14ac:dyDescent="0.2">
      <c r="A9" s="96"/>
      <c r="B9" s="101"/>
      <c r="C9" s="178"/>
      <c r="D9" s="178"/>
      <c r="E9" s="178"/>
      <c r="F9" s="178"/>
      <c r="G9" s="178"/>
      <c r="H9" s="178"/>
      <c r="I9" s="178"/>
      <c r="J9" s="178"/>
      <c r="K9" s="10" t="s">
        <v>12</v>
      </c>
      <c r="L9" s="22">
        <v>0</v>
      </c>
      <c r="M9" s="22">
        <v>0</v>
      </c>
      <c r="N9" s="22">
        <v>0</v>
      </c>
      <c r="O9" s="22">
        <v>0</v>
      </c>
    </row>
    <row r="10" spans="1:15" s="3" customFormat="1" x14ac:dyDescent="0.2">
      <c r="A10" s="96"/>
      <c r="B10" s="101"/>
      <c r="C10" s="178"/>
      <c r="D10" s="178"/>
      <c r="E10" s="178"/>
      <c r="F10" s="178"/>
      <c r="G10" s="178"/>
      <c r="H10" s="178"/>
      <c r="I10" s="178"/>
      <c r="J10" s="178"/>
      <c r="K10" s="10" t="s">
        <v>13</v>
      </c>
      <c r="L10" s="22">
        <v>0</v>
      </c>
      <c r="M10" s="22">
        <v>0</v>
      </c>
      <c r="N10" s="22">
        <v>0</v>
      </c>
      <c r="O10" s="22">
        <v>0</v>
      </c>
    </row>
    <row r="11" spans="1:15" s="3" customFormat="1" x14ac:dyDescent="0.2">
      <c r="A11" s="96"/>
      <c r="B11" s="101"/>
      <c r="C11" s="178"/>
      <c r="D11" s="178"/>
      <c r="E11" s="178"/>
      <c r="F11" s="178"/>
      <c r="G11" s="178"/>
      <c r="H11" s="178"/>
      <c r="I11" s="178"/>
      <c r="J11" s="178"/>
      <c r="K11" s="10" t="s">
        <v>14</v>
      </c>
      <c r="L11" s="22">
        <v>0</v>
      </c>
      <c r="M11" s="22">
        <v>0</v>
      </c>
      <c r="N11" s="22">
        <v>0</v>
      </c>
      <c r="O11" s="22">
        <v>0</v>
      </c>
    </row>
    <row r="12" spans="1:15" s="3" customFormat="1" x14ac:dyDescent="0.2">
      <c r="A12" s="96"/>
      <c r="B12" s="101"/>
      <c r="C12" s="178"/>
      <c r="D12" s="178"/>
      <c r="E12" s="178"/>
      <c r="F12" s="178"/>
      <c r="G12" s="178"/>
      <c r="H12" s="178"/>
      <c r="I12" s="178"/>
      <c r="J12" s="178"/>
      <c r="K12" s="10" t="s">
        <v>15</v>
      </c>
      <c r="L12" s="22">
        <v>0</v>
      </c>
      <c r="M12" s="22">
        <v>0</v>
      </c>
      <c r="N12" s="22">
        <v>0</v>
      </c>
      <c r="O12" s="22">
        <v>0</v>
      </c>
    </row>
    <row r="13" spans="1:15" s="3" customFormat="1" x14ac:dyDescent="0.2">
      <c r="A13" s="96"/>
      <c r="B13" s="101"/>
      <c r="C13" s="178"/>
      <c r="D13" s="178"/>
      <c r="E13" s="178"/>
      <c r="F13" s="178"/>
      <c r="G13" s="178"/>
      <c r="H13" s="178"/>
      <c r="I13" s="178"/>
      <c r="J13" s="178"/>
      <c r="K13" s="10" t="s">
        <v>16</v>
      </c>
      <c r="L13" s="22">
        <v>0</v>
      </c>
      <c r="M13" s="22">
        <v>0</v>
      </c>
      <c r="N13" s="22">
        <v>0</v>
      </c>
      <c r="O13" s="22">
        <v>0</v>
      </c>
    </row>
    <row r="14" spans="1:15" s="3" customFormat="1" x14ac:dyDescent="0.2">
      <c r="A14" s="96"/>
      <c r="B14" s="101"/>
      <c r="C14" s="178"/>
      <c r="D14" s="178"/>
      <c r="E14" s="178"/>
      <c r="F14" s="178"/>
      <c r="G14" s="178"/>
      <c r="H14" s="178"/>
      <c r="I14" s="178"/>
      <c r="J14" s="178"/>
      <c r="K14" s="10" t="s">
        <v>17</v>
      </c>
      <c r="L14" s="22">
        <v>0</v>
      </c>
      <c r="M14" s="22">
        <v>0</v>
      </c>
      <c r="N14" s="22">
        <v>0</v>
      </c>
      <c r="O14" s="22">
        <v>0</v>
      </c>
    </row>
    <row r="15" spans="1:15" s="3" customFormat="1" x14ac:dyDescent="0.2">
      <c r="A15" s="96"/>
      <c r="B15" s="101"/>
      <c r="C15" s="178"/>
      <c r="D15" s="178"/>
      <c r="E15" s="178"/>
      <c r="F15" s="178"/>
      <c r="G15" s="178"/>
      <c r="H15" s="178"/>
      <c r="I15" s="178"/>
      <c r="J15" s="178"/>
      <c r="K15" s="10" t="s">
        <v>18</v>
      </c>
      <c r="L15" s="22">
        <v>0</v>
      </c>
      <c r="M15" s="22">
        <v>0</v>
      </c>
      <c r="N15" s="22">
        <v>0</v>
      </c>
      <c r="O15" s="22">
        <v>0</v>
      </c>
    </row>
    <row r="16" spans="1:15" s="3" customFormat="1" x14ac:dyDescent="0.2">
      <c r="A16" s="96"/>
      <c r="B16" s="101"/>
      <c r="C16" s="178"/>
      <c r="D16" s="178"/>
      <c r="E16" s="178"/>
      <c r="F16" s="178"/>
      <c r="G16" s="178"/>
      <c r="H16" s="178"/>
      <c r="I16" s="178"/>
      <c r="J16" s="178"/>
      <c r="K16" s="10" t="s">
        <v>0</v>
      </c>
      <c r="L16" s="18">
        <f>SUM(L4:L15)</f>
        <v>0</v>
      </c>
      <c r="M16" s="18">
        <f t="shared" ref="M16:O16" si="0">SUM(M4:M15)</f>
        <v>0</v>
      </c>
      <c r="N16" s="18">
        <f t="shared" si="0"/>
        <v>0</v>
      </c>
      <c r="O16" s="18">
        <f t="shared" si="0"/>
        <v>0</v>
      </c>
    </row>
    <row r="17" spans="1:15" x14ac:dyDescent="0.2">
      <c r="A17" s="96"/>
      <c r="B17" s="101" t="s">
        <v>39</v>
      </c>
      <c r="C17" s="178" t="s">
        <v>172</v>
      </c>
      <c r="D17" s="178" t="s">
        <v>41</v>
      </c>
      <c r="E17" s="178" t="s">
        <v>121</v>
      </c>
      <c r="F17" s="178" t="s">
        <v>85</v>
      </c>
      <c r="G17" s="178" t="s">
        <v>97</v>
      </c>
      <c r="H17" s="178"/>
      <c r="I17" s="178"/>
      <c r="J17" s="178"/>
      <c r="K17" s="10" t="s">
        <v>7</v>
      </c>
      <c r="L17" s="22">
        <v>0</v>
      </c>
      <c r="M17" s="22">
        <v>0</v>
      </c>
      <c r="N17" s="22">
        <v>0</v>
      </c>
      <c r="O17" s="22">
        <v>0</v>
      </c>
    </row>
    <row r="18" spans="1:15" x14ac:dyDescent="0.2">
      <c r="A18" s="96"/>
      <c r="B18" s="101"/>
      <c r="C18" s="178"/>
      <c r="D18" s="178"/>
      <c r="E18" s="178"/>
      <c r="F18" s="178"/>
      <c r="G18" s="178"/>
      <c r="H18" s="178"/>
      <c r="I18" s="178"/>
      <c r="J18" s="178"/>
      <c r="K18" s="10" t="s">
        <v>8</v>
      </c>
      <c r="L18" s="22">
        <v>0</v>
      </c>
      <c r="M18" s="22">
        <v>0</v>
      </c>
      <c r="N18" s="22">
        <v>0</v>
      </c>
      <c r="O18" s="22">
        <v>0</v>
      </c>
    </row>
    <row r="19" spans="1:15" x14ac:dyDescent="0.2">
      <c r="A19" s="96"/>
      <c r="B19" s="101"/>
      <c r="C19" s="178"/>
      <c r="D19" s="178"/>
      <c r="E19" s="178"/>
      <c r="F19" s="178"/>
      <c r="G19" s="178"/>
      <c r="H19" s="178"/>
      <c r="I19" s="178"/>
      <c r="J19" s="178"/>
      <c r="K19" s="10" t="s">
        <v>9</v>
      </c>
      <c r="L19" s="22">
        <v>0</v>
      </c>
      <c r="M19" s="22">
        <v>0</v>
      </c>
      <c r="N19" s="22">
        <v>0</v>
      </c>
      <c r="O19" s="22">
        <v>0</v>
      </c>
    </row>
    <row r="20" spans="1:15" x14ac:dyDescent="0.2">
      <c r="A20" s="96"/>
      <c r="B20" s="101"/>
      <c r="C20" s="178"/>
      <c r="D20" s="178"/>
      <c r="E20" s="178"/>
      <c r="F20" s="178"/>
      <c r="G20" s="178"/>
      <c r="H20" s="178"/>
      <c r="I20" s="178"/>
      <c r="J20" s="178"/>
      <c r="K20" s="10" t="s">
        <v>10</v>
      </c>
      <c r="L20" s="22">
        <v>0</v>
      </c>
      <c r="M20" s="22">
        <v>0</v>
      </c>
      <c r="N20" s="22">
        <v>0</v>
      </c>
      <c r="O20" s="22">
        <v>0</v>
      </c>
    </row>
    <row r="21" spans="1:15" x14ac:dyDescent="0.2">
      <c r="A21" s="96"/>
      <c r="B21" s="101"/>
      <c r="C21" s="178"/>
      <c r="D21" s="178"/>
      <c r="E21" s="178"/>
      <c r="F21" s="178"/>
      <c r="G21" s="178"/>
      <c r="H21" s="178"/>
      <c r="I21" s="178"/>
      <c r="J21" s="178"/>
      <c r="K21" s="10" t="s">
        <v>11</v>
      </c>
      <c r="L21" s="22">
        <v>0</v>
      </c>
      <c r="M21" s="22">
        <v>0</v>
      </c>
      <c r="N21" s="22">
        <v>0</v>
      </c>
      <c r="O21" s="22">
        <v>0</v>
      </c>
    </row>
    <row r="22" spans="1:15" x14ac:dyDescent="0.2">
      <c r="A22" s="96"/>
      <c r="B22" s="101"/>
      <c r="C22" s="178"/>
      <c r="D22" s="178"/>
      <c r="E22" s="178"/>
      <c r="F22" s="178"/>
      <c r="G22" s="178"/>
      <c r="H22" s="178"/>
      <c r="I22" s="178"/>
      <c r="J22" s="178"/>
      <c r="K22" s="10" t="s">
        <v>12</v>
      </c>
      <c r="L22" s="22">
        <v>0</v>
      </c>
      <c r="M22" s="22">
        <v>0</v>
      </c>
      <c r="N22" s="22">
        <v>0</v>
      </c>
      <c r="O22" s="22">
        <v>0</v>
      </c>
    </row>
    <row r="23" spans="1:15" x14ac:dyDescent="0.2">
      <c r="A23" s="96"/>
      <c r="B23" s="101"/>
      <c r="C23" s="178"/>
      <c r="D23" s="178"/>
      <c r="E23" s="178"/>
      <c r="F23" s="178"/>
      <c r="G23" s="178"/>
      <c r="H23" s="178"/>
      <c r="I23" s="178"/>
      <c r="J23" s="178"/>
      <c r="K23" s="10" t="s">
        <v>13</v>
      </c>
      <c r="L23" s="22">
        <v>0</v>
      </c>
      <c r="M23" s="22">
        <v>0</v>
      </c>
      <c r="N23" s="22">
        <v>0</v>
      </c>
      <c r="O23" s="22">
        <v>0</v>
      </c>
    </row>
    <row r="24" spans="1:15" x14ac:dyDescent="0.2">
      <c r="A24" s="96"/>
      <c r="B24" s="101"/>
      <c r="C24" s="178"/>
      <c r="D24" s="178"/>
      <c r="E24" s="178"/>
      <c r="F24" s="178"/>
      <c r="G24" s="178"/>
      <c r="H24" s="178"/>
      <c r="I24" s="178"/>
      <c r="J24" s="178"/>
      <c r="K24" s="10" t="s">
        <v>14</v>
      </c>
      <c r="L24" s="22">
        <v>0</v>
      </c>
      <c r="M24" s="22">
        <v>0</v>
      </c>
      <c r="N24" s="22">
        <v>0</v>
      </c>
      <c r="O24" s="22">
        <v>0</v>
      </c>
    </row>
    <row r="25" spans="1:15" x14ac:dyDescent="0.2">
      <c r="A25" s="96"/>
      <c r="B25" s="101"/>
      <c r="C25" s="178"/>
      <c r="D25" s="178"/>
      <c r="E25" s="178"/>
      <c r="F25" s="178"/>
      <c r="G25" s="178"/>
      <c r="H25" s="178"/>
      <c r="I25" s="178"/>
      <c r="J25" s="178"/>
      <c r="K25" s="10" t="s">
        <v>15</v>
      </c>
      <c r="L25" s="22">
        <v>0</v>
      </c>
      <c r="M25" s="22">
        <v>0</v>
      </c>
      <c r="N25" s="22">
        <v>0</v>
      </c>
      <c r="O25" s="22">
        <v>0</v>
      </c>
    </row>
    <row r="26" spans="1:15" x14ac:dyDescent="0.2">
      <c r="A26" s="96"/>
      <c r="B26" s="101"/>
      <c r="C26" s="178"/>
      <c r="D26" s="178"/>
      <c r="E26" s="178"/>
      <c r="F26" s="178"/>
      <c r="G26" s="178"/>
      <c r="H26" s="178"/>
      <c r="I26" s="178"/>
      <c r="J26" s="178"/>
      <c r="K26" s="10" t="s">
        <v>16</v>
      </c>
      <c r="L26" s="22">
        <v>0</v>
      </c>
      <c r="M26" s="22">
        <v>0</v>
      </c>
      <c r="N26" s="22">
        <v>0</v>
      </c>
      <c r="O26" s="22">
        <v>0</v>
      </c>
    </row>
    <row r="27" spans="1:15" x14ac:dyDescent="0.2">
      <c r="A27" s="96"/>
      <c r="B27" s="101"/>
      <c r="C27" s="178"/>
      <c r="D27" s="178"/>
      <c r="E27" s="178"/>
      <c r="F27" s="178"/>
      <c r="G27" s="178"/>
      <c r="H27" s="178"/>
      <c r="I27" s="178"/>
      <c r="J27" s="178"/>
      <c r="K27" s="10" t="s">
        <v>17</v>
      </c>
      <c r="L27" s="22">
        <v>0</v>
      </c>
      <c r="M27" s="22">
        <v>0</v>
      </c>
      <c r="N27" s="22">
        <v>0</v>
      </c>
      <c r="O27" s="22">
        <v>0</v>
      </c>
    </row>
    <row r="28" spans="1:15" x14ac:dyDescent="0.2">
      <c r="A28" s="96"/>
      <c r="B28" s="101"/>
      <c r="C28" s="178"/>
      <c r="D28" s="178"/>
      <c r="E28" s="178"/>
      <c r="F28" s="178"/>
      <c r="G28" s="178"/>
      <c r="H28" s="178"/>
      <c r="I28" s="178"/>
      <c r="J28" s="178"/>
      <c r="K28" s="10" t="s">
        <v>18</v>
      </c>
      <c r="L28" s="22">
        <v>0</v>
      </c>
      <c r="M28" s="22">
        <v>0</v>
      </c>
      <c r="N28" s="22">
        <v>0</v>
      </c>
      <c r="O28" s="22">
        <v>0</v>
      </c>
    </row>
    <row r="29" spans="1:15" x14ac:dyDescent="0.2">
      <c r="A29" s="96"/>
      <c r="B29" s="101"/>
      <c r="C29" s="178"/>
      <c r="D29" s="178"/>
      <c r="E29" s="178"/>
      <c r="F29" s="178"/>
      <c r="G29" s="178"/>
      <c r="H29" s="178"/>
      <c r="I29" s="178"/>
      <c r="J29" s="178"/>
      <c r="K29" s="10" t="s">
        <v>0</v>
      </c>
      <c r="L29" s="18">
        <f>SUM(L17:L28)</f>
        <v>0</v>
      </c>
      <c r="M29" s="18">
        <f t="shared" ref="M29" si="1">SUM(M17:M28)</f>
        <v>0</v>
      </c>
      <c r="N29" s="18">
        <f t="shared" ref="N29" si="2">SUM(N17:N28)</f>
        <v>0</v>
      </c>
      <c r="O29" s="18">
        <f t="shared" ref="O29" si="3">SUM(O17:O28)</f>
        <v>0</v>
      </c>
    </row>
    <row r="30" spans="1:15" x14ac:dyDescent="0.2">
      <c r="A30" s="96"/>
      <c r="B30" s="101" t="s">
        <v>39</v>
      </c>
      <c r="C30" s="178" t="s">
        <v>173</v>
      </c>
      <c r="D30" s="178" t="s">
        <v>42</v>
      </c>
      <c r="E30" s="178"/>
      <c r="F30" s="97" t="s">
        <v>86</v>
      </c>
      <c r="G30" s="178" t="s">
        <v>97</v>
      </c>
      <c r="H30" s="178"/>
      <c r="I30" s="178"/>
      <c r="J30" s="178"/>
      <c r="K30" s="10" t="s">
        <v>7</v>
      </c>
      <c r="L30" s="22">
        <v>0</v>
      </c>
      <c r="M30" s="22">
        <v>0</v>
      </c>
      <c r="N30" s="22">
        <v>0</v>
      </c>
      <c r="O30" s="22">
        <v>0</v>
      </c>
    </row>
    <row r="31" spans="1:15" x14ac:dyDescent="0.2">
      <c r="A31" s="96"/>
      <c r="B31" s="101"/>
      <c r="C31" s="178"/>
      <c r="D31" s="178"/>
      <c r="E31" s="178"/>
      <c r="F31" s="97"/>
      <c r="G31" s="178"/>
      <c r="H31" s="178"/>
      <c r="I31" s="178"/>
      <c r="J31" s="178"/>
      <c r="K31" s="10" t="s">
        <v>8</v>
      </c>
      <c r="L31" s="22">
        <v>0</v>
      </c>
      <c r="M31" s="22">
        <v>0</v>
      </c>
      <c r="N31" s="22">
        <v>0</v>
      </c>
      <c r="O31" s="22">
        <v>0</v>
      </c>
    </row>
    <row r="32" spans="1:15" x14ac:dyDescent="0.2">
      <c r="A32" s="96"/>
      <c r="B32" s="101"/>
      <c r="C32" s="178"/>
      <c r="D32" s="178"/>
      <c r="E32" s="178"/>
      <c r="F32" s="97"/>
      <c r="G32" s="178"/>
      <c r="H32" s="178"/>
      <c r="I32" s="178"/>
      <c r="J32" s="178"/>
      <c r="K32" s="10" t="s">
        <v>9</v>
      </c>
      <c r="L32" s="22">
        <v>0</v>
      </c>
      <c r="M32" s="22">
        <v>0</v>
      </c>
      <c r="N32" s="22">
        <v>0</v>
      </c>
      <c r="O32" s="22">
        <v>0</v>
      </c>
    </row>
    <row r="33" spans="1:21" x14ac:dyDescent="0.2">
      <c r="A33" s="96"/>
      <c r="B33" s="101"/>
      <c r="C33" s="178"/>
      <c r="D33" s="178"/>
      <c r="E33" s="178"/>
      <c r="F33" s="97"/>
      <c r="G33" s="178"/>
      <c r="H33" s="178"/>
      <c r="I33" s="178"/>
      <c r="J33" s="178"/>
      <c r="K33" s="10" t="s">
        <v>10</v>
      </c>
      <c r="L33" s="22">
        <v>0</v>
      </c>
      <c r="M33" s="22">
        <v>0</v>
      </c>
      <c r="N33" s="22">
        <v>0</v>
      </c>
      <c r="O33" s="22">
        <v>0</v>
      </c>
      <c r="P33" s="1"/>
      <c r="Q33" s="1"/>
      <c r="R33" s="1"/>
      <c r="S33" s="1"/>
      <c r="T33" s="1"/>
      <c r="U33" s="1"/>
    </row>
    <row r="34" spans="1:21" x14ac:dyDescent="0.2">
      <c r="A34" s="96"/>
      <c r="B34" s="101"/>
      <c r="C34" s="178"/>
      <c r="D34" s="178"/>
      <c r="E34" s="178"/>
      <c r="F34" s="97"/>
      <c r="G34" s="178"/>
      <c r="H34" s="178"/>
      <c r="I34" s="178"/>
      <c r="J34" s="178"/>
      <c r="K34" s="10" t="s">
        <v>11</v>
      </c>
      <c r="L34" s="22">
        <v>0</v>
      </c>
      <c r="M34" s="22">
        <v>0</v>
      </c>
      <c r="N34" s="22">
        <v>0</v>
      </c>
      <c r="O34" s="22">
        <v>0</v>
      </c>
      <c r="P34" s="1"/>
      <c r="Q34" s="1"/>
      <c r="R34" s="1"/>
      <c r="S34" s="1"/>
      <c r="T34" s="1"/>
      <c r="U34" s="1"/>
    </row>
    <row r="35" spans="1:21" x14ac:dyDescent="0.2">
      <c r="A35" s="96"/>
      <c r="B35" s="101"/>
      <c r="C35" s="178"/>
      <c r="D35" s="178"/>
      <c r="E35" s="178"/>
      <c r="F35" s="97"/>
      <c r="G35" s="178"/>
      <c r="H35" s="178"/>
      <c r="I35" s="178"/>
      <c r="J35" s="178"/>
      <c r="K35" s="10" t="s">
        <v>12</v>
      </c>
      <c r="L35" s="22">
        <v>0</v>
      </c>
      <c r="M35" s="22">
        <v>0</v>
      </c>
      <c r="N35" s="22">
        <v>0</v>
      </c>
      <c r="O35" s="22">
        <v>0</v>
      </c>
      <c r="P35" s="1"/>
      <c r="Q35" s="1"/>
      <c r="R35" s="1"/>
      <c r="S35" s="1"/>
      <c r="T35" s="1"/>
      <c r="U35" s="1"/>
    </row>
    <row r="36" spans="1:21" x14ac:dyDescent="0.2">
      <c r="A36" s="96"/>
      <c r="B36" s="101"/>
      <c r="C36" s="178"/>
      <c r="D36" s="178"/>
      <c r="E36" s="178"/>
      <c r="F36" s="97"/>
      <c r="G36" s="178"/>
      <c r="H36" s="178"/>
      <c r="I36" s="178"/>
      <c r="J36" s="178"/>
      <c r="K36" s="10" t="s">
        <v>13</v>
      </c>
      <c r="L36" s="22">
        <v>0</v>
      </c>
      <c r="M36" s="22">
        <v>0</v>
      </c>
      <c r="N36" s="22">
        <v>0</v>
      </c>
      <c r="O36" s="22">
        <v>0</v>
      </c>
      <c r="P36" s="1"/>
      <c r="Q36" s="1"/>
      <c r="R36" s="1"/>
      <c r="S36" s="1"/>
      <c r="T36" s="1"/>
      <c r="U36" s="1"/>
    </row>
    <row r="37" spans="1:21" x14ac:dyDescent="0.2">
      <c r="A37" s="96"/>
      <c r="B37" s="101"/>
      <c r="C37" s="178"/>
      <c r="D37" s="178"/>
      <c r="E37" s="178"/>
      <c r="F37" s="97"/>
      <c r="G37" s="178"/>
      <c r="H37" s="178"/>
      <c r="I37" s="178"/>
      <c r="J37" s="178"/>
      <c r="K37" s="10" t="s">
        <v>14</v>
      </c>
      <c r="L37" s="22">
        <v>0</v>
      </c>
      <c r="M37" s="22">
        <v>0</v>
      </c>
      <c r="N37" s="22">
        <v>0</v>
      </c>
      <c r="O37" s="22">
        <v>0</v>
      </c>
      <c r="P37" s="1"/>
      <c r="Q37" s="1"/>
      <c r="R37" s="1"/>
      <c r="S37" s="1"/>
      <c r="T37" s="1"/>
      <c r="U37" s="1"/>
    </row>
    <row r="38" spans="1:21" x14ac:dyDescent="0.2">
      <c r="A38" s="96"/>
      <c r="B38" s="101"/>
      <c r="C38" s="178"/>
      <c r="D38" s="178"/>
      <c r="E38" s="178"/>
      <c r="F38" s="97"/>
      <c r="G38" s="178"/>
      <c r="H38" s="178"/>
      <c r="I38" s="178"/>
      <c r="J38" s="178"/>
      <c r="K38" s="10" t="s">
        <v>15</v>
      </c>
      <c r="L38" s="22">
        <v>0</v>
      </c>
      <c r="M38" s="22">
        <v>0</v>
      </c>
      <c r="N38" s="22">
        <v>0</v>
      </c>
      <c r="O38" s="22">
        <v>0</v>
      </c>
      <c r="P38" s="1"/>
      <c r="Q38" s="1"/>
      <c r="R38" s="1"/>
      <c r="S38" s="1"/>
      <c r="T38" s="1"/>
      <c r="U38" s="1"/>
    </row>
    <row r="39" spans="1:21" x14ac:dyDescent="0.2">
      <c r="A39" s="96"/>
      <c r="B39" s="101"/>
      <c r="C39" s="178"/>
      <c r="D39" s="178"/>
      <c r="E39" s="178"/>
      <c r="F39" s="97"/>
      <c r="G39" s="178"/>
      <c r="H39" s="178"/>
      <c r="I39" s="178"/>
      <c r="J39" s="178"/>
      <c r="K39" s="10" t="s">
        <v>16</v>
      </c>
      <c r="L39" s="22">
        <v>0</v>
      </c>
      <c r="M39" s="22">
        <v>0</v>
      </c>
      <c r="N39" s="22">
        <v>0</v>
      </c>
      <c r="O39" s="22">
        <v>0</v>
      </c>
      <c r="P39" s="1"/>
      <c r="Q39" s="1"/>
      <c r="R39" s="1"/>
      <c r="S39" s="1"/>
      <c r="T39" s="1"/>
      <c r="U39" s="1"/>
    </row>
    <row r="40" spans="1:21" x14ac:dyDescent="0.2">
      <c r="A40" s="96"/>
      <c r="B40" s="101"/>
      <c r="C40" s="178"/>
      <c r="D40" s="178"/>
      <c r="E40" s="178"/>
      <c r="F40" s="97"/>
      <c r="G40" s="178"/>
      <c r="H40" s="178"/>
      <c r="I40" s="178"/>
      <c r="J40" s="178"/>
      <c r="K40" s="10" t="s">
        <v>17</v>
      </c>
      <c r="L40" s="22">
        <v>0</v>
      </c>
      <c r="M40" s="22">
        <v>0</v>
      </c>
      <c r="N40" s="22">
        <v>0</v>
      </c>
      <c r="O40" s="22">
        <v>0</v>
      </c>
      <c r="P40" s="1"/>
      <c r="Q40" s="1"/>
      <c r="R40" s="1"/>
      <c r="S40" s="1"/>
      <c r="T40" s="1"/>
      <c r="U40" s="1"/>
    </row>
    <row r="41" spans="1:21" x14ac:dyDescent="0.2">
      <c r="A41" s="96"/>
      <c r="B41" s="101"/>
      <c r="C41" s="178"/>
      <c r="D41" s="178"/>
      <c r="E41" s="178"/>
      <c r="F41" s="97"/>
      <c r="G41" s="178"/>
      <c r="H41" s="178"/>
      <c r="I41" s="178"/>
      <c r="J41" s="178"/>
      <c r="K41" s="10" t="s">
        <v>18</v>
      </c>
      <c r="L41" s="22">
        <v>0</v>
      </c>
      <c r="M41" s="22">
        <v>0</v>
      </c>
      <c r="N41" s="22">
        <v>0</v>
      </c>
      <c r="O41" s="22">
        <v>0</v>
      </c>
      <c r="P41" s="1"/>
      <c r="Q41" s="1"/>
      <c r="R41" s="1"/>
      <c r="S41" s="1"/>
      <c r="T41" s="1"/>
      <c r="U41" s="1"/>
    </row>
    <row r="42" spans="1:21" x14ac:dyDescent="0.2">
      <c r="A42" s="96"/>
      <c r="B42" s="101"/>
      <c r="C42" s="178"/>
      <c r="D42" s="178"/>
      <c r="E42" s="178"/>
      <c r="F42" s="97"/>
      <c r="G42" s="178"/>
      <c r="H42" s="178"/>
      <c r="I42" s="178"/>
      <c r="J42" s="178"/>
      <c r="K42" s="10" t="s">
        <v>0</v>
      </c>
      <c r="L42" s="18">
        <f>SUM(L30:L41)</f>
        <v>0</v>
      </c>
      <c r="M42" s="18">
        <f t="shared" ref="M42" si="4">SUM(M30:M41)</f>
        <v>0</v>
      </c>
      <c r="N42" s="18">
        <f t="shared" ref="N42" si="5">SUM(N30:N41)</f>
        <v>0</v>
      </c>
      <c r="O42" s="18">
        <f t="shared" ref="O42" si="6">SUM(O30:O41)</f>
        <v>0</v>
      </c>
      <c r="P42" s="1"/>
      <c r="Q42" s="1"/>
      <c r="R42" s="1"/>
      <c r="S42" s="1"/>
      <c r="T42" s="1"/>
      <c r="U42" s="1"/>
    </row>
    <row r="43" spans="1:21" x14ac:dyDescent="0.2">
      <c r="A43" s="96"/>
      <c r="B43" s="101" t="s">
        <v>43</v>
      </c>
      <c r="C43" s="178" t="s">
        <v>44</v>
      </c>
      <c r="D43" s="111" t="s">
        <v>44</v>
      </c>
      <c r="E43" s="111" t="s">
        <v>133</v>
      </c>
      <c r="F43" s="105" t="s">
        <v>81</v>
      </c>
      <c r="G43" s="178" t="s">
        <v>96</v>
      </c>
      <c r="H43" s="178"/>
      <c r="I43" s="178"/>
      <c r="J43" s="97"/>
      <c r="K43" s="11" t="s">
        <v>7</v>
      </c>
      <c r="L43" s="22">
        <v>0</v>
      </c>
      <c r="M43" s="22">
        <v>0</v>
      </c>
      <c r="N43" s="22">
        <v>0</v>
      </c>
      <c r="O43" s="22">
        <v>0</v>
      </c>
      <c r="P43" s="1"/>
      <c r="Q43" s="1"/>
      <c r="R43" s="1"/>
      <c r="S43" s="1"/>
      <c r="T43" s="1"/>
      <c r="U43" s="1"/>
    </row>
    <row r="44" spans="1:21" x14ac:dyDescent="0.2">
      <c r="A44" s="96"/>
      <c r="B44" s="101"/>
      <c r="C44" s="178"/>
      <c r="D44" s="111"/>
      <c r="E44" s="111"/>
      <c r="F44" s="106"/>
      <c r="G44" s="178"/>
      <c r="H44" s="178"/>
      <c r="I44" s="178"/>
      <c r="J44" s="97"/>
      <c r="K44" s="11" t="s">
        <v>8</v>
      </c>
      <c r="L44" s="22">
        <v>0</v>
      </c>
      <c r="M44" s="22">
        <v>0</v>
      </c>
      <c r="N44" s="22">
        <v>0</v>
      </c>
      <c r="O44" s="22">
        <v>0</v>
      </c>
      <c r="P44" s="1"/>
      <c r="Q44" s="1"/>
      <c r="R44" s="1"/>
      <c r="S44" s="1"/>
      <c r="T44" s="1"/>
      <c r="U44" s="1"/>
    </row>
    <row r="45" spans="1:21" x14ac:dyDescent="0.2">
      <c r="A45" s="96"/>
      <c r="B45" s="101"/>
      <c r="C45" s="178"/>
      <c r="D45" s="111"/>
      <c r="E45" s="111"/>
      <c r="F45" s="106"/>
      <c r="G45" s="178"/>
      <c r="H45" s="178"/>
      <c r="I45" s="178"/>
      <c r="J45" s="97"/>
      <c r="K45" s="11" t="s">
        <v>9</v>
      </c>
      <c r="L45" s="22">
        <v>0</v>
      </c>
      <c r="M45" s="22">
        <v>0</v>
      </c>
      <c r="N45" s="22">
        <v>0</v>
      </c>
      <c r="O45" s="22">
        <v>0</v>
      </c>
      <c r="P45" s="1"/>
      <c r="Q45" s="1"/>
      <c r="R45" s="1"/>
      <c r="S45" s="1"/>
      <c r="T45" s="1"/>
      <c r="U45" s="1"/>
    </row>
    <row r="46" spans="1:21" x14ac:dyDescent="0.2">
      <c r="A46" s="96"/>
      <c r="B46" s="101"/>
      <c r="C46" s="178"/>
      <c r="D46" s="111"/>
      <c r="E46" s="111"/>
      <c r="F46" s="106"/>
      <c r="G46" s="178"/>
      <c r="H46" s="178"/>
      <c r="I46" s="178"/>
      <c r="J46" s="97"/>
      <c r="K46" s="11" t="s">
        <v>10</v>
      </c>
      <c r="L46" s="22">
        <v>0</v>
      </c>
      <c r="M46" s="22">
        <v>0</v>
      </c>
      <c r="N46" s="22">
        <v>0</v>
      </c>
      <c r="O46" s="22">
        <v>0</v>
      </c>
      <c r="P46" s="1"/>
      <c r="Q46" s="1"/>
      <c r="R46" s="1"/>
      <c r="S46" s="1"/>
      <c r="T46" s="1"/>
      <c r="U46" s="1"/>
    </row>
    <row r="47" spans="1:21" x14ac:dyDescent="0.2">
      <c r="A47" s="96"/>
      <c r="B47" s="101"/>
      <c r="C47" s="178"/>
      <c r="D47" s="111"/>
      <c r="E47" s="111"/>
      <c r="F47" s="106"/>
      <c r="G47" s="178"/>
      <c r="H47" s="178"/>
      <c r="I47" s="178"/>
      <c r="J47" s="97"/>
      <c r="K47" s="11" t="s">
        <v>11</v>
      </c>
      <c r="L47" s="22">
        <v>0</v>
      </c>
      <c r="M47" s="22">
        <v>0</v>
      </c>
      <c r="N47" s="22">
        <v>0</v>
      </c>
      <c r="O47" s="22">
        <v>0</v>
      </c>
      <c r="P47" s="1"/>
      <c r="Q47" s="1"/>
      <c r="R47" s="1"/>
      <c r="S47" s="1"/>
      <c r="T47" s="1"/>
      <c r="U47" s="1"/>
    </row>
    <row r="48" spans="1:21" x14ac:dyDescent="0.2">
      <c r="A48" s="96"/>
      <c r="B48" s="101"/>
      <c r="C48" s="178"/>
      <c r="D48" s="111"/>
      <c r="E48" s="111"/>
      <c r="F48" s="106"/>
      <c r="G48" s="178"/>
      <c r="H48" s="178"/>
      <c r="I48" s="178"/>
      <c r="J48" s="97"/>
      <c r="K48" s="11" t="s">
        <v>12</v>
      </c>
      <c r="L48" s="22">
        <v>0</v>
      </c>
      <c r="M48" s="22">
        <v>0</v>
      </c>
      <c r="N48" s="22">
        <v>0</v>
      </c>
      <c r="O48" s="22">
        <v>0</v>
      </c>
      <c r="P48" s="1"/>
      <c r="Q48" s="1"/>
      <c r="R48" s="1"/>
      <c r="S48" s="1"/>
      <c r="T48" s="1"/>
      <c r="U48" s="1"/>
    </row>
    <row r="49" spans="1:21" x14ac:dyDescent="0.2">
      <c r="A49" s="96"/>
      <c r="B49" s="101"/>
      <c r="C49" s="178"/>
      <c r="D49" s="111"/>
      <c r="E49" s="111"/>
      <c r="F49" s="106"/>
      <c r="G49" s="178"/>
      <c r="H49" s="178"/>
      <c r="I49" s="178"/>
      <c r="J49" s="97"/>
      <c r="K49" s="11" t="s">
        <v>13</v>
      </c>
      <c r="L49" s="22">
        <v>0</v>
      </c>
      <c r="M49" s="22">
        <v>0</v>
      </c>
      <c r="N49" s="22">
        <v>0</v>
      </c>
      <c r="O49" s="22">
        <v>0</v>
      </c>
      <c r="P49" s="1"/>
      <c r="Q49" s="1"/>
      <c r="R49" s="1"/>
      <c r="S49" s="1"/>
      <c r="T49" s="1"/>
      <c r="U49" s="1"/>
    </row>
    <row r="50" spans="1:21" x14ac:dyDescent="0.2">
      <c r="A50" s="96"/>
      <c r="B50" s="101"/>
      <c r="C50" s="178"/>
      <c r="D50" s="111"/>
      <c r="E50" s="111"/>
      <c r="F50" s="106"/>
      <c r="G50" s="178"/>
      <c r="H50" s="178"/>
      <c r="I50" s="178"/>
      <c r="J50" s="97"/>
      <c r="K50" s="11" t="s">
        <v>14</v>
      </c>
      <c r="L50" s="22">
        <v>0</v>
      </c>
      <c r="M50" s="22">
        <v>0</v>
      </c>
      <c r="N50" s="22">
        <v>0</v>
      </c>
      <c r="O50" s="22">
        <v>0</v>
      </c>
      <c r="P50" s="1"/>
      <c r="Q50" s="1"/>
      <c r="R50" s="1"/>
      <c r="S50" s="1"/>
      <c r="T50" s="1"/>
      <c r="U50" s="1"/>
    </row>
    <row r="51" spans="1:21" x14ac:dyDescent="0.2">
      <c r="A51" s="96"/>
      <c r="B51" s="101"/>
      <c r="C51" s="178"/>
      <c r="D51" s="111"/>
      <c r="E51" s="111"/>
      <c r="F51" s="106"/>
      <c r="G51" s="178"/>
      <c r="H51" s="178"/>
      <c r="I51" s="178"/>
      <c r="J51" s="97"/>
      <c r="K51" s="11" t="s">
        <v>15</v>
      </c>
      <c r="L51" s="22">
        <v>0</v>
      </c>
      <c r="M51" s="22">
        <v>0</v>
      </c>
      <c r="N51" s="22">
        <v>0</v>
      </c>
      <c r="O51" s="22">
        <v>0</v>
      </c>
      <c r="P51" s="1"/>
      <c r="Q51" s="1"/>
      <c r="R51" s="1"/>
      <c r="S51" s="1"/>
      <c r="T51" s="1"/>
      <c r="U51" s="1"/>
    </row>
    <row r="52" spans="1:21" x14ac:dyDescent="0.2">
      <c r="A52" s="96"/>
      <c r="B52" s="101"/>
      <c r="C52" s="178"/>
      <c r="D52" s="111"/>
      <c r="E52" s="111"/>
      <c r="F52" s="106"/>
      <c r="G52" s="178"/>
      <c r="H52" s="178"/>
      <c r="I52" s="178"/>
      <c r="J52" s="97"/>
      <c r="K52" s="11" t="s">
        <v>16</v>
      </c>
      <c r="L52" s="22">
        <v>0</v>
      </c>
      <c r="M52" s="22">
        <v>0</v>
      </c>
      <c r="N52" s="22">
        <v>0</v>
      </c>
      <c r="O52" s="22">
        <v>0</v>
      </c>
      <c r="P52" s="1"/>
      <c r="Q52" s="1"/>
      <c r="R52" s="1"/>
      <c r="S52" s="1"/>
      <c r="T52" s="1"/>
      <c r="U52" s="1"/>
    </row>
    <row r="53" spans="1:21" x14ac:dyDescent="0.2">
      <c r="A53" s="96"/>
      <c r="B53" s="101"/>
      <c r="C53" s="178"/>
      <c r="D53" s="111"/>
      <c r="E53" s="111"/>
      <c r="F53" s="106"/>
      <c r="G53" s="178"/>
      <c r="H53" s="178"/>
      <c r="I53" s="178"/>
      <c r="J53" s="97"/>
      <c r="K53" s="11" t="s">
        <v>17</v>
      </c>
      <c r="L53" s="22">
        <v>0</v>
      </c>
      <c r="M53" s="22">
        <v>0</v>
      </c>
      <c r="N53" s="22">
        <v>0</v>
      </c>
      <c r="O53" s="22">
        <v>0</v>
      </c>
      <c r="P53" s="1"/>
      <c r="Q53" s="1"/>
      <c r="R53" s="1"/>
      <c r="S53" s="1"/>
      <c r="T53" s="1"/>
      <c r="U53" s="1"/>
    </row>
    <row r="54" spans="1:21" x14ac:dyDescent="0.2">
      <c r="A54" s="96"/>
      <c r="B54" s="101"/>
      <c r="C54" s="178"/>
      <c r="D54" s="111"/>
      <c r="E54" s="111"/>
      <c r="F54" s="106"/>
      <c r="G54" s="178"/>
      <c r="H54" s="178"/>
      <c r="I54" s="178"/>
      <c r="J54" s="97"/>
      <c r="K54" s="11" t="s">
        <v>18</v>
      </c>
      <c r="L54" s="22">
        <v>0</v>
      </c>
      <c r="M54" s="22">
        <v>0</v>
      </c>
      <c r="N54" s="22">
        <v>0</v>
      </c>
      <c r="O54" s="22">
        <v>0</v>
      </c>
      <c r="P54" s="1"/>
      <c r="Q54" s="1"/>
      <c r="R54" s="1"/>
      <c r="S54" s="1"/>
      <c r="T54" s="1"/>
      <c r="U54" s="1"/>
    </row>
    <row r="55" spans="1:21" x14ac:dyDescent="0.2">
      <c r="A55" s="96"/>
      <c r="B55" s="101"/>
      <c r="C55" s="178"/>
      <c r="D55" s="111"/>
      <c r="E55" s="111"/>
      <c r="F55" s="107"/>
      <c r="G55" s="178"/>
      <c r="H55" s="178"/>
      <c r="I55" s="178"/>
      <c r="J55" s="97"/>
      <c r="K55" s="11" t="s">
        <v>0</v>
      </c>
      <c r="L55" s="18">
        <f>SUM(L43:L54)</f>
        <v>0</v>
      </c>
      <c r="M55" s="18">
        <f t="shared" ref="M55" si="7">SUM(M43:M54)</f>
        <v>0</v>
      </c>
      <c r="N55" s="18">
        <f t="shared" ref="N55" si="8">SUM(N43:N54)</f>
        <v>0</v>
      </c>
      <c r="O55" s="18">
        <f t="shared" ref="O55" si="9">SUM(O43:O54)</f>
        <v>0</v>
      </c>
      <c r="P55" s="1"/>
      <c r="Q55" s="1"/>
      <c r="R55" s="1"/>
      <c r="S55" s="1"/>
      <c r="T55" s="1"/>
      <c r="U55" s="1"/>
    </row>
    <row r="56" spans="1:21" x14ac:dyDescent="0.2">
      <c r="A56" s="96"/>
      <c r="B56" s="101" t="s">
        <v>43</v>
      </c>
      <c r="C56" s="97" t="s">
        <v>45</v>
      </c>
      <c r="D56" s="111" t="s">
        <v>130</v>
      </c>
      <c r="E56" s="97" t="s">
        <v>131</v>
      </c>
      <c r="F56" s="97" t="s">
        <v>83</v>
      </c>
      <c r="G56" s="178" t="s">
        <v>97</v>
      </c>
      <c r="H56" s="178"/>
      <c r="I56" s="178"/>
      <c r="J56" s="97"/>
      <c r="K56" s="11" t="s">
        <v>7</v>
      </c>
      <c r="L56" s="21">
        <v>0</v>
      </c>
      <c r="M56" s="21">
        <v>0</v>
      </c>
      <c r="N56" s="21">
        <v>0</v>
      </c>
      <c r="O56" s="21">
        <v>0</v>
      </c>
      <c r="P56" s="1"/>
      <c r="Q56" s="1"/>
      <c r="R56" s="1"/>
      <c r="S56" s="1"/>
      <c r="T56" s="1"/>
      <c r="U56" s="1"/>
    </row>
    <row r="57" spans="1:21" x14ac:dyDescent="0.2">
      <c r="A57" s="96"/>
      <c r="B57" s="101"/>
      <c r="C57" s="97"/>
      <c r="D57" s="111"/>
      <c r="E57" s="97"/>
      <c r="F57" s="97"/>
      <c r="G57" s="178"/>
      <c r="H57" s="178"/>
      <c r="I57" s="178"/>
      <c r="J57" s="97"/>
      <c r="K57" s="11" t="s">
        <v>8</v>
      </c>
      <c r="L57" s="21">
        <v>0</v>
      </c>
      <c r="M57" s="21">
        <v>0</v>
      </c>
      <c r="N57" s="21">
        <v>0</v>
      </c>
      <c r="O57" s="21">
        <v>0</v>
      </c>
      <c r="P57" s="1"/>
      <c r="Q57" s="1"/>
      <c r="R57" s="1"/>
      <c r="S57" s="1"/>
      <c r="T57" s="1"/>
      <c r="U57" s="1"/>
    </row>
    <row r="58" spans="1:21" x14ac:dyDescent="0.2">
      <c r="A58" s="96"/>
      <c r="B58" s="101"/>
      <c r="C58" s="97"/>
      <c r="D58" s="111"/>
      <c r="E58" s="97"/>
      <c r="F58" s="97"/>
      <c r="G58" s="178"/>
      <c r="H58" s="178"/>
      <c r="I58" s="178"/>
      <c r="J58" s="97"/>
      <c r="K58" s="11" t="s">
        <v>9</v>
      </c>
      <c r="L58" s="21">
        <v>0</v>
      </c>
      <c r="M58" s="21">
        <v>0</v>
      </c>
      <c r="N58" s="21">
        <v>0</v>
      </c>
      <c r="O58" s="21">
        <v>0</v>
      </c>
      <c r="P58" s="1"/>
      <c r="Q58" s="1"/>
      <c r="R58" s="1"/>
      <c r="S58" s="1"/>
      <c r="T58" s="1"/>
      <c r="U58" s="1"/>
    </row>
    <row r="59" spans="1:21" x14ac:dyDescent="0.2">
      <c r="A59" s="96"/>
      <c r="B59" s="101"/>
      <c r="C59" s="97"/>
      <c r="D59" s="111"/>
      <c r="E59" s="97"/>
      <c r="F59" s="97"/>
      <c r="G59" s="178"/>
      <c r="H59" s="178"/>
      <c r="I59" s="178"/>
      <c r="J59" s="97"/>
      <c r="K59" s="11" t="s">
        <v>10</v>
      </c>
      <c r="L59" s="21">
        <v>0</v>
      </c>
      <c r="M59" s="21">
        <v>0</v>
      </c>
      <c r="N59" s="21">
        <v>0</v>
      </c>
      <c r="O59" s="21">
        <v>0</v>
      </c>
      <c r="P59" s="1"/>
      <c r="Q59" s="1"/>
      <c r="R59" s="1"/>
      <c r="S59" s="1"/>
      <c r="T59" s="1"/>
      <c r="U59" s="1"/>
    </row>
    <row r="60" spans="1:21" x14ac:dyDescent="0.2">
      <c r="A60" s="96"/>
      <c r="B60" s="101"/>
      <c r="C60" s="97"/>
      <c r="D60" s="111"/>
      <c r="E60" s="97"/>
      <c r="F60" s="97"/>
      <c r="G60" s="178"/>
      <c r="H60" s="178"/>
      <c r="I60" s="178"/>
      <c r="J60" s="97"/>
      <c r="K60" s="11" t="s">
        <v>11</v>
      </c>
      <c r="L60" s="21">
        <v>0</v>
      </c>
      <c r="M60" s="21">
        <v>0</v>
      </c>
      <c r="N60" s="21">
        <v>0</v>
      </c>
      <c r="O60" s="21">
        <v>0</v>
      </c>
      <c r="P60" s="1"/>
      <c r="Q60" s="1"/>
      <c r="R60" s="1"/>
      <c r="S60" s="1"/>
      <c r="T60" s="1"/>
      <c r="U60" s="1"/>
    </row>
    <row r="61" spans="1:21" x14ac:dyDescent="0.2">
      <c r="A61" s="96"/>
      <c r="B61" s="101"/>
      <c r="C61" s="97"/>
      <c r="D61" s="111"/>
      <c r="E61" s="97"/>
      <c r="F61" s="97"/>
      <c r="G61" s="178"/>
      <c r="H61" s="178"/>
      <c r="I61" s="178"/>
      <c r="J61" s="97"/>
      <c r="K61" s="11" t="s">
        <v>12</v>
      </c>
      <c r="L61" s="21">
        <v>0</v>
      </c>
      <c r="M61" s="21">
        <v>0</v>
      </c>
      <c r="N61" s="21">
        <v>0</v>
      </c>
      <c r="O61" s="21">
        <v>0</v>
      </c>
      <c r="P61" s="1"/>
      <c r="Q61" s="1"/>
      <c r="R61" s="1"/>
      <c r="S61" s="1"/>
      <c r="T61" s="1"/>
      <c r="U61" s="1"/>
    </row>
    <row r="62" spans="1:21" x14ac:dyDescent="0.2">
      <c r="A62" s="96"/>
      <c r="B62" s="101"/>
      <c r="C62" s="97"/>
      <c r="D62" s="111"/>
      <c r="E62" s="97"/>
      <c r="F62" s="97"/>
      <c r="G62" s="178"/>
      <c r="H62" s="178"/>
      <c r="I62" s="178"/>
      <c r="J62" s="97"/>
      <c r="K62" s="11" t="s">
        <v>13</v>
      </c>
      <c r="L62" s="21">
        <v>0</v>
      </c>
      <c r="M62" s="21">
        <v>0</v>
      </c>
      <c r="N62" s="21">
        <v>0</v>
      </c>
      <c r="O62" s="21">
        <v>0</v>
      </c>
      <c r="P62" s="1"/>
      <c r="Q62" s="1"/>
      <c r="R62" s="1"/>
      <c r="S62" s="1"/>
      <c r="T62" s="1"/>
      <c r="U62" s="1"/>
    </row>
    <row r="63" spans="1:21" x14ac:dyDescent="0.2">
      <c r="A63" s="96"/>
      <c r="B63" s="101"/>
      <c r="C63" s="97"/>
      <c r="D63" s="111"/>
      <c r="E63" s="97"/>
      <c r="F63" s="97"/>
      <c r="G63" s="178"/>
      <c r="H63" s="178"/>
      <c r="I63" s="178"/>
      <c r="J63" s="97"/>
      <c r="K63" s="11" t="s">
        <v>14</v>
      </c>
      <c r="L63" s="21">
        <v>0</v>
      </c>
      <c r="M63" s="21">
        <v>0</v>
      </c>
      <c r="N63" s="21">
        <v>0</v>
      </c>
      <c r="O63" s="21">
        <v>0</v>
      </c>
      <c r="P63" s="1"/>
      <c r="Q63" s="1"/>
      <c r="R63" s="1"/>
      <c r="S63" s="1"/>
      <c r="T63" s="1"/>
      <c r="U63" s="1"/>
    </row>
    <row r="64" spans="1:21" x14ac:dyDescent="0.2">
      <c r="A64" s="96"/>
      <c r="B64" s="101"/>
      <c r="C64" s="97"/>
      <c r="D64" s="111"/>
      <c r="E64" s="97"/>
      <c r="F64" s="97"/>
      <c r="G64" s="178"/>
      <c r="H64" s="178"/>
      <c r="I64" s="178"/>
      <c r="J64" s="97"/>
      <c r="K64" s="11" t="s">
        <v>15</v>
      </c>
      <c r="L64" s="21">
        <v>0</v>
      </c>
      <c r="M64" s="21">
        <v>0</v>
      </c>
      <c r="N64" s="21">
        <v>0</v>
      </c>
      <c r="O64" s="21">
        <v>0</v>
      </c>
      <c r="P64" s="1"/>
      <c r="Q64" s="1"/>
      <c r="R64" s="1"/>
      <c r="S64" s="1"/>
      <c r="T64" s="1"/>
      <c r="U64" s="1"/>
    </row>
    <row r="65" spans="1:21" x14ac:dyDescent="0.2">
      <c r="A65" s="96"/>
      <c r="B65" s="101"/>
      <c r="C65" s="97"/>
      <c r="D65" s="111"/>
      <c r="E65" s="97"/>
      <c r="F65" s="97"/>
      <c r="G65" s="178"/>
      <c r="H65" s="178"/>
      <c r="I65" s="178"/>
      <c r="J65" s="97"/>
      <c r="K65" s="11" t="s">
        <v>16</v>
      </c>
      <c r="L65" s="21">
        <v>0</v>
      </c>
      <c r="M65" s="21">
        <v>0</v>
      </c>
      <c r="N65" s="21">
        <v>0</v>
      </c>
      <c r="O65" s="21">
        <v>0</v>
      </c>
      <c r="P65" s="1"/>
      <c r="Q65" s="1"/>
      <c r="R65" s="1"/>
      <c r="S65" s="1"/>
      <c r="T65" s="1"/>
      <c r="U65" s="1"/>
    </row>
    <row r="66" spans="1:21" x14ac:dyDescent="0.2">
      <c r="A66" s="96"/>
      <c r="B66" s="101"/>
      <c r="C66" s="97"/>
      <c r="D66" s="111"/>
      <c r="E66" s="97"/>
      <c r="F66" s="97"/>
      <c r="G66" s="178"/>
      <c r="H66" s="178"/>
      <c r="I66" s="178"/>
      <c r="J66" s="97"/>
      <c r="K66" s="11" t="s">
        <v>17</v>
      </c>
      <c r="L66" s="21">
        <v>0</v>
      </c>
      <c r="M66" s="21">
        <v>0</v>
      </c>
      <c r="N66" s="21">
        <v>0</v>
      </c>
      <c r="O66" s="21">
        <v>0</v>
      </c>
      <c r="P66" s="1"/>
      <c r="Q66" s="1"/>
      <c r="R66" s="1"/>
      <c r="S66" s="1"/>
      <c r="T66" s="1"/>
      <c r="U66" s="1"/>
    </row>
    <row r="67" spans="1:21" x14ac:dyDescent="0.2">
      <c r="A67" s="96"/>
      <c r="B67" s="101"/>
      <c r="C67" s="97"/>
      <c r="D67" s="111"/>
      <c r="E67" s="97"/>
      <c r="F67" s="97"/>
      <c r="G67" s="178"/>
      <c r="H67" s="178"/>
      <c r="I67" s="178"/>
      <c r="J67" s="97"/>
      <c r="K67" s="11" t="s">
        <v>18</v>
      </c>
      <c r="L67" s="21">
        <v>0</v>
      </c>
      <c r="M67" s="21">
        <v>0</v>
      </c>
      <c r="N67" s="21">
        <v>0</v>
      </c>
      <c r="O67" s="21">
        <v>0</v>
      </c>
      <c r="P67" s="1"/>
      <c r="Q67" s="1"/>
      <c r="R67" s="1"/>
      <c r="S67" s="1"/>
      <c r="T67" s="1"/>
      <c r="U67" s="1"/>
    </row>
    <row r="68" spans="1:21" x14ac:dyDescent="0.2">
      <c r="A68" s="96"/>
      <c r="B68" s="101"/>
      <c r="C68" s="97"/>
      <c r="D68" s="111"/>
      <c r="E68" s="97"/>
      <c r="F68" s="97"/>
      <c r="G68" s="178"/>
      <c r="H68" s="178"/>
      <c r="I68" s="178"/>
      <c r="J68" s="97"/>
      <c r="K68" s="11" t="s">
        <v>0</v>
      </c>
      <c r="L68" s="17">
        <f>SUM(L56:L67)</f>
        <v>0</v>
      </c>
      <c r="M68" s="17">
        <f t="shared" ref="M68" si="10">SUM(M56:M67)</f>
        <v>0</v>
      </c>
      <c r="N68" s="17">
        <f t="shared" ref="N68" si="11">SUM(N56:N67)</f>
        <v>0</v>
      </c>
      <c r="O68" s="17">
        <f t="shared" ref="O68" si="12">SUM(O56:O67)</f>
        <v>0</v>
      </c>
      <c r="P68" s="1"/>
      <c r="Q68" s="1"/>
      <c r="R68" s="1"/>
      <c r="S68" s="1"/>
      <c r="T68" s="1"/>
      <c r="U68" s="1"/>
    </row>
    <row r="69" spans="1:21" x14ac:dyDescent="0.2">
      <c r="A69" s="96"/>
      <c r="B69" s="101" t="s">
        <v>43</v>
      </c>
      <c r="C69" s="97" t="s">
        <v>46</v>
      </c>
      <c r="D69" s="97" t="s">
        <v>106</v>
      </c>
      <c r="E69" s="97" t="s">
        <v>123</v>
      </c>
      <c r="F69" s="97" t="s">
        <v>83</v>
      </c>
      <c r="G69" s="178" t="s">
        <v>96</v>
      </c>
      <c r="H69" s="97"/>
      <c r="I69" s="97"/>
      <c r="J69" s="97"/>
      <c r="K69" s="12" t="s">
        <v>7</v>
      </c>
      <c r="L69" s="21">
        <v>0</v>
      </c>
      <c r="M69" s="21">
        <v>0</v>
      </c>
      <c r="N69" s="21">
        <v>0</v>
      </c>
      <c r="O69" s="21">
        <v>0</v>
      </c>
      <c r="P69" s="1"/>
      <c r="Q69" s="1"/>
      <c r="R69" s="1"/>
      <c r="S69" s="1"/>
      <c r="T69" s="1"/>
      <c r="U69" s="1"/>
    </row>
    <row r="70" spans="1:21" x14ac:dyDescent="0.2">
      <c r="A70" s="96"/>
      <c r="B70" s="101"/>
      <c r="C70" s="97"/>
      <c r="D70" s="97"/>
      <c r="E70" s="97"/>
      <c r="F70" s="97"/>
      <c r="G70" s="178"/>
      <c r="H70" s="97"/>
      <c r="I70" s="97"/>
      <c r="J70" s="97"/>
      <c r="K70" s="12" t="s">
        <v>8</v>
      </c>
      <c r="L70" s="21">
        <v>0</v>
      </c>
      <c r="M70" s="21">
        <v>0</v>
      </c>
      <c r="N70" s="21">
        <v>0</v>
      </c>
      <c r="O70" s="21">
        <v>0</v>
      </c>
      <c r="P70" s="1"/>
      <c r="Q70" s="1"/>
      <c r="R70" s="1"/>
      <c r="S70" s="1"/>
      <c r="T70" s="1"/>
      <c r="U70" s="1"/>
    </row>
    <row r="71" spans="1:21" x14ac:dyDescent="0.2">
      <c r="A71" s="96"/>
      <c r="B71" s="101"/>
      <c r="C71" s="97"/>
      <c r="D71" s="97"/>
      <c r="E71" s="97"/>
      <c r="F71" s="97"/>
      <c r="G71" s="178"/>
      <c r="H71" s="97"/>
      <c r="I71" s="97"/>
      <c r="J71" s="97"/>
      <c r="K71" s="12" t="s">
        <v>9</v>
      </c>
      <c r="L71" s="21">
        <v>0</v>
      </c>
      <c r="M71" s="21">
        <v>0</v>
      </c>
      <c r="N71" s="21">
        <v>0</v>
      </c>
      <c r="O71" s="21">
        <v>0</v>
      </c>
      <c r="P71" s="1"/>
      <c r="Q71" s="1"/>
      <c r="R71" s="1"/>
      <c r="S71" s="1"/>
      <c r="T71" s="1"/>
      <c r="U71" s="1"/>
    </row>
    <row r="72" spans="1:21" x14ac:dyDescent="0.2">
      <c r="A72" s="96"/>
      <c r="B72" s="101"/>
      <c r="C72" s="97"/>
      <c r="D72" s="97"/>
      <c r="E72" s="97"/>
      <c r="F72" s="97"/>
      <c r="G72" s="178"/>
      <c r="H72" s="97"/>
      <c r="I72" s="97"/>
      <c r="J72" s="97"/>
      <c r="K72" s="12" t="s">
        <v>10</v>
      </c>
      <c r="L72" s="21">
        <v>0</v>
      </c>
      <c r="M72" s="21">
        <v>0</v>
      </c>
      <c r="N72" s="21">
        <v>0</v>
      </c>
      <c r="O72" s="21">
        <v>0</v>
      </c>
      <c r="P72" s="1"/>
      <c r="Q72" s="1"/>
      <c r="R72" s="1"/>
      <c r="S72" s="1"/>
      <c r="T72" s="1"/>
      <c r="U72" s="1"/>
    </row>
    <row r="73" spans="1:21" x14ac:dyDescent="0.2">
      <c r="A73" s="96"/>
      <c r="B73" s="101"/>
      <c r="C73" s="97"/>
      <c r="D73" s="97"/>
      <c r="E73" s="97"/>
      <c r="F73" s="97"/>
      <c r="G73" s="178"/>
      <c r="H73" s="97"/>
      <c r="I73" s="97"/>
      <c r="J73" s="97"/>
      <c r="K73" s="12" t="s">
        <v>11</v>
      </c>
      <c r="L73" s="21">
        <v>0</v>
      </c>
      <c r="M73" s="21">
        <v>0</v>
      </c>
      <c r="N73" s="21">
        <v>0</v>
      </c>
      <c r="O73" s="21">
        <v>0</v>
      </c>
      <c r="P73" s="1"/>
      <c r="Q73" s="1"/>
      <c r="R73" s="1"/>
      <c r="S73" s="1"/>
      <c r="T73" s="1"/>
      <c r="U73" s="1"/>
    </row>
    <row r="74" spans="1:21" x14ac:dyDescent="0.2">
      <c r="A74" s="96"/>
      <c r="B74" s="101"/>
      <c r="C74" s="97"/>
      <c r="D74" s="97"/>
      <c r="E74" s="97"/>
      <c r="F74" s="97"/>
      <c r="G74" s="178"/>
      <c r="H74" s="97"/>
      <c r="I74" s="97"/>
      <c r="J74" s="97"/>
      <c r="K74" s="12" t="s">
        <v>12</v>
      </c>
      <c r="L74" s="21">
        <v>0</v>
      </c>
      <c r="M74" s="21">
        <v>0</v>
      </c>
      <c r="N74" s="21">
        <v>0</v>
      </c>
      <c r="O74" s="21">
        <v>0</v>
      </c>
      <c r="P74" s="1"/>
      <c r="Q74" s="1"/>
      <c r="R74" s="1"/>
      <c r="S74" s="1"/>
      <c r="T74" s="1"/>
      <c r="U74" s="1"/>
    </row>
    <row r="75" spans="1:21" x14ac:dyDescent="0.2">
      <c r="A75" s="96"/>
      <c r="B75" s="101"/>
      <c r="C75" s="97"/>
      <c r="D75" s="97"/>
      <c r="E75" s="97"/>
      <c r="F75" s="97"/>
      <c r="G75" s="178"/>
      <c r="H75" s="97"/>
      <c r="I75" s="97"/>
      <c r="J75" s="97"/>
      <c r="K75" s="12" t="s">
        <v>13</v>
      </c>
      <c r="L75" s="21">
        <v>0</v>
      </c>
      <c r="M75" s="21">
        <v>0</v>
      </c>
      <c r="N75" s="21">
        <v>0</v>
      </c>
      <c r="O75" s="21">
        <v>0</v>
      </c>
      <c r="P75" s="1"/>
      <c r="Q75" s="1"/>
      <c r="R75" s="1"/>
      <c r="S75" s="1"/>
      <c r="T75" s="1"/>
      <c r="U75" s="1"/>
    </row>
    <row r="76" spans="1:21" x14ac:dyDescent="0.2">
      <c r="A76" s="96"/>
      <c r="B76" s="101"/>
      <c r="C76" s="97"/>
      <c r="D76" s="97"/>
      <c r="E76" s="97"/>
      <c r="F76" s="97"/>
      <c r="G76" s="178"/>
      <c r="H76" s="97"/>
      <c r="I76" s="97"/>
      <c r="J76" s="97"/>
      <c r="K76" s="12" t="s">
        <v>14</v>
      </c>
      <c r="L76" s="21">
        <v>0</v>
      </c>
      <c r="M76" s="21">
        <v>0</v>
      </c>
      <c r="N76" s="21">
        <v>0</v>
      </c>
      <c r="O76" s="21">
        <v>0</v>
      </c>
      <c r="P76" s="1"/>
      <c r="Q76" s="1"/>
      <c r="R76" s="1"/>
      <c r="S76" s="1"/>
      <c r="T76" s="1"/>
      <c r="U76" s="1"/>
    </row>
    <row r="77" spans="1:21" x14ac:dyDescent="0.2">
      <c r="A77" s="96"/>
      <c r="B77" s="101"/>
      <c r="C77" s="97"/>
      <c r="D77" s="97"/>
      <c r="E77" s="97"/>
      <c r="F77" s="97"/>
      <c r="G77" s="178"/>
      <c r="H77" s="97"/>
      <c r="I77" s="97"/>
      <c r="J77" s="97"/>
      <c r="K77" s="12" t="s">
        <v>15</v>
      </c>
      <c r="L77" s="21">
        <v>0</v>
      </c>
      <c r="M77" s="21">
        <v>0</v>
      </c>
      <c r="N77" s="21">
        <v>0</v>
      </c>
      <c r="O77" s="21">
        <v>0</v>
      </c>
      <c r="P77" s="1"/>
      <c r="Q77" s="1"/>
      <c r="R77" s="1"/>
      <c r="S77" s="1"/>
      <c r="T77" s="1"/>
      <c r="U77" s="1"/>
    </row>
    <row r="78" spans="1:21" x14ac:dyDescent="0.2">
      <c r="A78" s="96"/>
      <c r="B78" s="101"/>
      <c r="C78" s="97"/>
      <c r="D78" s="97"/>
      <c r="E78" s="97"/>
      <c r="F78" s="97"/>
      <c r="G78" s="178"/>
      <c r="H78" s="97"/>
      <c r="I78" s="97"/>
      <c r="J78" s="97"/>
      <c r="K78" s="12" t="s">
        <v>16</v>
      </c>
      <c r="L78" s="21">
        <v>0</v>
      </c>
      <c r="M78" s="21">
        <v>0</v>
      </c>
      <c r="N78" s="21">
        <v>0</v>
      </c>
      <c r="O78" s="21">
        <v>0</v>
      </c>
      <c r="P78" s="1"/>
      <c r="Q78" s="1"/>
      <c r="R78" s="1"/>
      <c r="S78" s="1"/>
      <c r="T78" s="1"/>
      <c r="U78" s="1"/>
    </row>
    <row r="79" spans="1:21" x14ac:dyDescent="0.2">
      <c r="A79" s="96"/>
      <c r="B79" s="101"/>
      <c r="C79" s="97"/>
      <c r="D79" s="97"/>
      <c r="E79" s="97"/>
      <c r="F79" s="97"/>
      <c r="G79" s="178"/>
      <c r="H79" s="97"/>
      <c r="I79" s="97"/>
      <c r="J79" s="97"/>
      <c r="K79" s="12" t="s">
        <v>17</v>
      </c>
      <c r="L79" s="21">
        <v>0</v>
      </c>
      <c r="M79" s="21">
        <v>0</v>
      </c>
      <c r="N79" s="21">
        <v>0</v>
      </c>
      <c r="O79" s="21">
        <v>0</v>
      </c>
      <c r="P79" s="1"/>
      <c r="Q79" s="1"/>
      <c r="R79" s="1"/>
      <c r="S79" s="1"/>
      <c r="T79" s="1"/>
      <c r="U79" s="1"/>
    </row>
    <row r="80" spans="1:21" x14ac:dyDescent="0.2">
      <c r="A80" s="96"/>
      <c r="B80" s="101"/>
      <c r="C80" s="97"/>
      <c r="D80" s="97"/>
      <c r="E80" s="97"/>
      <c r="F80" s="97"/>
      <c r="G80" s="178"/>
      <c r="H80" s="97"/>
      <c r="I80" s="97"/>
      <c r="J80" s="97"/>
      <c r="K80" s="12" t="s">
        <v>18</v>
      </c>
      <c r="L80" s="21">
        <v>0</v>
      </c>
      <c r="M80" s="21">
        <v>0</v>
      </c>
      <c r="N80" s="21">
        <v>0</v>
      </c>
      <c r="O80" s="21">
        <v>0</v>
      </c>
      <c r="P80" s="1"/>
      <c r="Q80" s="1"/>
      <c r="R80" s="1"/>
      <c r="S80" s="1"/>
      <c r="T80" s="1"/>
      <c r="U80" s="1"/>
    </row>
    <row r="81" spans="1:21" x14ac:dyDescent="0.2">
      <c r="A81" s="96"/>
      <c r="B81" s="101"/>
      <c r="C81" s="97"/>
      <c r="D81" s="97"/>
      <c r="E81" s="97"/>
      <c r="F81" s="97"/>
      <c r="G81" s="178"/>
      <c r="H81" s="97"/>
      <c r="I81" s="97"/>
      <c r="J81" s="97"/>
      <c r="K81" s="12" t="s">
        <v>0</v>
      </c>
      <c r="L81" s="17">
        <f>SUM(L69:L80)</f>
        <v>0</v>
      </c>
      <c r="M81" s="17">
        <f t="shared" ref="M81" si="13">SUM(M69:M80)</f>
        <v>0</v>
      </c>
      <c r="N81" s="17">
        <f t="shared" ref="N81" si="14">SUM(N69:N80)</f>
        <v>0</v>
      </c>
      <c r="O81" s="17">
        <f t="shared" ref="O81" si="15">SUM(O69:O80)</f>
        <v>0</v>
      </c>
      <c r="P81" s="1"/>
      <c r="Q81" s="1"/>
      <c r="R81" s="1"/>
      <c r="S81" s="1"/>
      <c r="T81" s="1"/>
      <c r="U81" s="1"/>
    </row>
    <row r="82" spans="1:21" x14ac:dyDescent="0.2">
      <c r="P82" s="1"/>
      <c r="Q82" s="1"/>
      <c r="R82" s="1"/>
      <c r="S82" s="1"/>
      <c r="T82" s="1"/>
      <c r="U82" s="1"/>
    </row>
    <row r="83" spans="1:21" x14ac:dyDescent="0.2">
      <c r="P83" s="1"/>
      <c r="Q83" s="1"/>
      <c r="R83" s="1"/>
      <c r="S83" s="1"/>
      <c r="T83" s="1"/>
      <c r="U83" s="1"/>
    </row>
    <row r="84" spans="1:21" x14ac:dyDescent="0.2">
      <c r="P84" s="1"/>
      <c r="Q84" s="1"/>
      <c r="R84" s="1"/>
      <c r="S84" s="1"/>
      <c r="T84" s="1"/>
      <c r="U84" s="1"/>
    </row>
    <row r="85" spans="1:21" x14ac:dyDescent="0.2">
      <c r="P85" s="1"/>
      <c r="Q85" s="1"/>
      <c r="R85" s="1"/>
      <c r="S85" s="1"/>
      <c r="T85" s="1"/>
      <c r="U85" s="1"/>
    </row>
    <row r="86" spans="1:21" x14ac:dyDescent="0.2">
      <c r="P86" s="1"/>
      <c r="Q86" s="1"/>
      <c r="R86" s="1"/>
      <c r="S86" s="1"/>
      <c r="T86" s="1"/>
      <c r="U86" s="1"/>
    </row>
    <row r="87" spans="1:21" x14ac:dyDescent="0.2">
      <c r="P87" s="1"/>
      <c r="Q87" s="1"/>
      <c r="R87" s="1"/>
      <c r="S87" s="1"/>
      <c r="T87" s="1"/>
      <c r="U87" s="1"/>
    </row>
    <row r="88" spans="1:21" x14ac:dyDescent="0.2">
      <c r="P88" s="1"/>
      <c r="Q88" s="1"/>
      <c r="R88" s="1"/>
      <c r="S88" s="1"/>
      <c r="T88" s="1"/>
      <c r="U88" s="1"/>
    </row>
    <row r="89" spans="1:21" x14ac:dyDescent="0.2">
      <c r="P89" s="1"/>
      <c r="Q89" s="1"/>
      <c r="R89" s="1"/>
      <c r="S89" s="1"/>
      <c r="T89" s="1"/>
      <c r="U89" s="1"/>
    </row>
    <row r="90" spans="1:21" x14ac:dyDescent="0.2">
      <c r="P90" s="1"/>
      <c r="Q90" s="1"/>
      <c r="R90" s="1"/>
      <c r="S90" s="1"/>
      <c r="T90" s="1"/>
      <c r="U90" s="1"/>
    </row>
    <row r="91" spans="1:21" x14ac:dyDescent="0.2">
      <c r="P91" s="1"/>
      <c r="Q91" s="1"/>
      <c r="R91" s="1"/>
      <c r="S91" s="1"/>
      <c r="T91" s="1"/>
      <c r="U91" s="1"/>
    </row>
    <row r="92" spans="1:21" x14ac:dyDescent="0.2">
      <c r="P92" s="1"/>
      <c r="Q92" s="1"/>
      <c r="R92" s="1"/>
      <c r="S92" s="1"/>
      <c r="T92" s="1"/>
      <c r="U92" s="1"/>
    </row>
    <row r="93" spans="1:21" x14ac:dyDescent="0.2">
      <c r="P93" s="1"/>
      <c r="Q93" s="1"/>
      <c r="R93" s="1"/>
      <c r="S93" s="1"/>
      <c r="T93" s="1"/>
      <c r="U93" s="1"/>
    </row>
    <row r="94" spans="1:21" x14ac:dyDescent="0.2">
      <c r="P94" s="1"/>
      <c r="Q94" s="1"/>
      <c r="R94" s="1"/>
      <c r="S94" s="1"/>
      <c r="T94" s="1"/>
      <c r="U94" s="1"/>
    </row>
    <row r="95" spans="1:21" x14ac:dyDescent="0.2">
      <c r="P95" s="1"/>
      <c r="Q95" s="1"/>
      <c r="R95" s="1"/>
      <c r="S95" s="1"/>
      <c r="T95" s="1"/>
      <c r="U95" s="1"/>
    </row>
    <row r="96" spans="1:21" x14ac:dyDescent="0.2">
      <c r="P96" s="1"/>
      <c r="Q96" s="1"/>
      <c r="R96" s="1"/>
      <c r="S96" s="1"/>
      <c r="T96" s="1"/>
      <c r="U96" s="1"/>
    </row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ht="12.75" customHeigh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ht="12.75" customHeigh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ht="12.75" customHeigh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ht="12.75" customHeigh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ht="12.75" customHeigh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ht="12.75" customHeigh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ht="12.75" customHeigh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="1" customFormat="1" ht="12.75" customHeight="1" x14ac:dyDescent="0.2"/>
    <row r="226" s="1" customFormat="1" x14ac:dyDescent="0.2"/>
    <row r="227" s="1" customFormat="1" x14ac:dyDescent="0.2"/>
    <row r="228" s="1" customFormat="1" x14ac:dyDescent="0.2"/>
    <row r="229" s="1" customFormat="1" x14ac:dyDescent="0.2"/>
    <row r="230" s="1" customFormat="1" x14ac:dyDescent="0.2"/>
    <row r="231" s="1" customFormat="1" x14ac:dyDescent="0.2"/>
    <row r="232" s="1" customFormat="1" x14ac:dyDescent="0.2"/>
    <row r="233" s="1" customFormat="1" x14ac:dyDescent="0.2"/>
    <row r="234" s="1" customFormat="1" x14ac:dyDescent="0.2"/>
    <row r="235" s="1" customFormat="1" x14ac:dyDescent="0.2"/>
    <row r="236" s="1" customFormat="1" x14ac:dyDescent="0.2"/>
    <row r="237" s="1" customFormat="1" x14ac:dyDescent="0.2"/>
  </sheetData>
  <sheetProtection password="C64B" sheet="1" objects="1" scenarios="1"/>
  <mergeCells count="60">
    <mergeCell ref="G69:G81"/>
    <mergeCell ref="H69:H81"/>
    <mergeCell ref="I69:I81"/>
    <mergeCell ref="J69:J81"/>
    <mergeCell ref="B69:B81"/>
    <mergeCell ref="C69:C81"/>
    <mergeCell ref="D69:D81"/>
    <mergeCell ref="E69:E81"/>
    <mergeCell ref="F69:F81"/>
    <mergeCell ref="G56:G68"/>
    <mergeCell ref="H56:H68"/>
    <mergeCell ref="I56:I68"/>
    <mergeCell ref="J56:J68"/>
    <mergeCell ref="B43:B55"/>
    <mergeCell ref="C43:C55"/>
    <mergeCell ref="D43:D55"/>
    <mergeCell ref="B56:B68"/>
    <mergeCell ref="C56:C68"/>
    <mergeCell ref="D56:D68"/>
    <mergeCell ref="E56:E68"/>
    <mergeCell ref="F56:F68"/>
    <mergeCell ref="E43:E55"/>
    <mergeCell ref="F43:F55"/>
    <mergeCell ref="G43:G55"/>
    <mergeCell ref="H43:H55"/>
    <mergeCell ref="H17:H29"/>
    <mergeCell ref="I17:I29"/>
    <mergeCell ref="J17:J29"/>
    <mergeCell ref="G30:G42"/>
    <mergeCell ref="H30:H42"/>
    <mergeCell ref="I30:I42"/>
    <mergeCell ref="J30:J42"/>
    <mergeCell ref="I43:I55"/>
    <mergeCell ref="J43:J55"/>
    <mergeCell ref="B30:B42"/>
    <mergeCell ref="C30:C42"/>
    <mergeCell ref="D30:D42"/>
    <mergeCell ref="E30:E42"/>
    <mergeCell ref="F30:F42"/>
    <mergeCell ref="C17:C29"/>
    <mergeCell ref="D17:D29"/>
    <mergeCell ref="E17:E29"/>
    <mergeCell ref="F17:F29"/>
    <mergeCell ref="G17:G29"/>
    <mergeCell ref="A2:A81"/>
    <mergeCell ref="B1:O1"/>
    <mergeCell ref="B2:B3"/>
    <mergeCell ref="C2:K2"/>
    <mergeCell ref="L2:M2"/>
    <mergeCell ref="N2:O2"/>
    <mergeCell ref="B4:B16"/>
    <mergeCell ref="C4:C16"/>
    <mergeCell ref="D4:D16"/>
    <mergeCell ref="E4:E16"/>
    <mergeCell ref="F4:F16"/>
    <mergeCell ref="G4:G16"/>
    <mergeCell ref="H4:H16"/>
    <mergeCell ref="I4:I16"/>
    <mergeCell ref="J4:J16"/>
    <mergeCell ref="B17:B29"/>
  </mergeCells>
  <printOptions horizontalCentered="1" verticalCentered="1"/>
  <pageMargins left="0.11811023622047245" right="0" top="0.11811023622047245" bottom="0.19685039370078741" header="0.51181102362204722" footer="0.19685039370078741"/>
  <pageSetup paperSize="9" scale="65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91"/>
  <sheetViews>
    <sheetView showGridLines="0" topLeftCell="D115" zoomScale="80" zoomScaleNormal="80" zoomScaleSheetLayoutView="45" workbookViewId="0">
      <selection activeCell="D173" sqref="D173:D185"/>
    </sheetView>
  </sheetViews>
  <sheetFormatPr defaultColWidth="9.140625" defaultRowHeight="12.75" x14ac:dyDescent="0.2"/>
  <cols>
    <col min="1" max="1" width="9.140625" style="40"/>
    <col min="2" max="2" width="12" style="40" customWidth="1"/>
    <col min="3" max="3" width="20.85546875" style="52" customWidth="1"/>
    <col min="4" max="4" width="29" style="30" customWidth="1"/>
    <col min="5" max="5" width="21" style="30" customWidth="1"/>
    <col min="6" max="6" width="15.140625" style="53" customWidth="1"/>
    <col min="7" max="7" width="8.140625" style="54" customWidth="1"/>
    <col min="8" max="8" width="14.85546875" style="54" customWidth="1"/>
    <col min="9" max="9" width="12.85546875" style="54" customWidth="1"/>
    <col min="10" max="10" width="11.140625" style="54" customWidth="1"/>
    <col min="11" max="12" width="12" style="54" customWidth="1"/>
    <col min="13" max="13" width="14.42578125" style="54" customWidth="1"/>
    <col min="14" max="15" width="15.42578125" style="51" customWidth="1"/>
    <col min="16" max="20" width="8" style="39" customWidth="1"/>
    <col min="21" max="21" width="10.140625" style="39" customWidth="1"/>
    <col min="22" max="16384" width="9.140625" style="40"/>
  </cols>
  <sheetData>
    <row r="1" spans="1:15" s="30" customFormat="1" ht="21" customHeight="1" x14ac:dyDescent="0.2">
      <c r="A1" s="29"/>
      <c r="B1" s="179" t="s">
        <v>25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</row>
    <row r="2" spans="1:15" s="30" customFormat="1" ht="79.5" customHeight="1" x14ac:dyDescent="0.2">
      <c r="A2" s="180" t="s">
        <v>47</v>
      </c>
      <c r="B2" s="183" t="s">
        <v>24</v>
      </c>
      <c r="C2" s="184" t="s">
        <v>27</v>
      </c>
      <c r="D2" s="185"/>
      <c r="E2" s="185"/>
      <c r="F2" s="185"/>
      <c r="G2" s="185"/>
      <c r="H2" s="185"/>
      <c r="I2" s="185"/>
      <c r="J2" s="185"/>
      <c r="K2" s="186"/>
      <c r="L2" s="187" t="s">
        <v>90</v>
      </c>
      <c r="M2" s="187"/>
      <c r="N2" s="187" t="s">
        <v>91</v>
      </c>
      <c r="O2" s="187"/>
    </row>
    <row r="3" spans="1:15" s="33" customFormat="1" ht="26.25" customHeight="1" x14ac:dyDescent="0.2">
      <c r="A3" s="181"/>
      <c r="B3" s="183"/>
      <c r="C3" s="31" t="s">
        <v>1</v>
      </c>
      <c r="D3" s="31" t="s">
        <v>2</v>
      </c>
      <c r="E3" s="31" t="s">
        <v>3</v>
      </c>
      <c r="F3" s="31" t="s">
        <v>4</v>
      </c>
      <c r="G3" s="31" t="s">
        <v>89</v>
      </c>
      <c r="H3" s="31" t="s">
        <v>5</v>
      </c>
      <c r="I3" s="31" t="s">
        <v>20</v>
      </c>
      <c r="J3" s="31" t="s">
        <v>6</v>
      </c>
      <c r="K3" s="31" t="s">
        <v>28</v>
      </c>
      <c r="L3" s="31" t="s">
        <v>21</v>
      </c>
      <c r="M3" s="31" t="s">
        <v>22</v>
      </c>
      <c r="N3" s="32" t="s">
        <v>19</v>
      </c>
      <c r="O3" s="32" t="s">
        <v>22</v>
      </c>
    </row>
    <row r="4" spans="1:15" s="33" customFormat="1" ht="12.75" customHeight="1" x14ac:dyDescent="0.2">
      <c r="A4" s="181"/>
      <c r="B4" s="188" t="s">
        <v>48</v>
      </c>
      <c r="C4" s="189" t="s">
        <v>215</v>
      </c>
      <c r="D4" s="189" t="s">
        <v>49</v>
      </c>
      <c r="E4" s="189"/>
      <c r="F4" s="189" t="s">
        <v>87</v>
      </c>
      <c r="G4" s="189" t="s">
        <v>93</v>
      </c>
      <c r="H4" s="189"/>
      <c r="I4" s="189"/>
      <c r="J4" s="189" t="s">
        <v>233</v>
      </c>
      <c r="K4" s="34" t="s">
        <v>7</v>
      </c>
      <c r="L4" s="34"/>
      <c r="M4" s="35">
        <v>1.2991653244692618</v>
      </c>
      <c r="N4" s="36">
        <v>1</v>
      </c>
      <c r="O4" s="36"/>
    </row>
    <row r="5" spans="1:15" s="33" customFormat="1" x14ac:dyDescent="0.2">
      <c r="A5" s="181"/>
      <c r="B5" s="188"/>
      <c r="C5" s="189"/>
      <c r="D5" s="189"/>
      <c r="E5" s="189"/>
      <c r="F5" s="189"/>
      <c r="G5" s="189"/>
      <c r="H5" s="189"/>
      <c r="I5" s="189"/>
      <c r="J5" s="189"/>
      <c r="K5" s="34" t="s">
        <v>8</v>
      </c>
      <c r="L5" s="34"/>
      <c r="M5" s="35">
        <v>1.0173750593719812</v>
      </c>
      <c r="N5" s="36">
        <v>1</v>
      </c>
      <c r="O5" s="37"/>
    </row>
    <row r="6" spans="1:15" s="33" customFormat="1" x14ac:dyDescent="0.2">
      <c r="A6" s="181"/>
      <c r="B6" s="188"/>
      <c r="C6" s="189"/>
      <c r="D6" s="189"/>
      <c r="E6" s="189"/>
      <c r="F6" s="189"/>
      <c r="G6" s="189"/>
      <c r="H6" s="189"/>
      <c r="I6" s="189"/>
      <c r="J6" s="189"/>
      <c r="K6" s="34" t="s">
        <v>9</v>
      </c>
      <c r="L6" s="34"/>
      <c r="M6" s="35">
        <v>1.0011830725663846</v>
      </c>
      <c r="N6" s="36">
        <v>1</v>
      </c>
      <c r="O6" s="37"/>
    </row>
    <row r="7" spans="1:15" s="33" customFormat="1" x14ac:dyDescent="0.2">
      <c r="A7" s="181"/>
      <c r="B7" s="188"/>
      <c r="C7" s="189"/>
      <c r="D7" s="189"/>
      <c r="E7" s="189"/>
      <c r="F7" s="189"/>
      <c r="G7" s="189"/>
      <c r="H7" s="189"/>
      <c r="I7" s="189"/>
      <c r="J7" s="189"/>
      <c r="K7" s="34" t="s">
        <v>10</v>
      </c>
      <c r="L7" s="34"/>
      <c r="M7" s="35">
        <v>0.97233238726422522</v>
      </c>
      <c r="N7" s="36">
        <v>1</v>
      </c>
      <c r="O7" s="37"/>
    </row>
    <row r="8" spans="1:15" s="33" customFormat="1" x14ac:dyDescent="0.2">
      <c r="A8" s="181"/>
      <c r="B8" s="188"/>
      <c r="C8" s="189"/>
      <c r="D8" s="189"/>
      <c r="E8" s="189"/>
      <c r="F8" s="189"/>
      <c r="G8" s="189"/>
      <c r="H8" s="189"/>
      <c r="I8" s="189"/>
      <c r="J8" s="189"/>
      <c r="K8" s="34" t="s">
        <v>11</v>
      </c>
      <c r="L8" s="34"/>
      <c r="M8" s="35">
        <v>0.76833532688544337</v>
      </c>
      <c r="N8" s="36">
        <v>1</v>
      </c>
      <c r="O8" s="37"/>
    </row>
    <row r="9" spans="1:15" s="33" customFormat="1" x14ac:dyDescent="0.2">
      <c r="A9" s="181"/>
      <c r="B9" s="188"/>
      <c r="C9" s="189"/>
      <c r="D9" s="189"/>
      <c r="E9" s="189"/>
      <c r="F9" s="189"/>
      <c r="G9" s="189"/>
      <c r="H9" s="189"/>
      <c r="I9" s="189"/>
      <c r="J9" s="189"/>
      <c r="K9" s="34" t="s">
        <v>12</v>
      </c>
      <c r="L9" s="34"/>
      <c r="M9" s="35">
        <v>1.0911076491961649</v>
      </c>
      <c r="N9" s="36">
        <v>1</v>
      </c>
      <c r="O9" s="37"/>
    </row>
    <row r="10" spans="1:15" s="33" customFormat="1" x14ac:dyDescent="0.2">
      <c r="A10" s="181"/>
      <c r="B10" s="188"/>
      <c r="C10" s="189"/>
      <c r="D10" s="189"/>
      <c r="E10" s="189"/>
      <c r="F10" s="189"/>
      <c r="G10" s="189"/>
      <c r="H10" s="189"/>
      <c r="I10" s="189"/>
      <c r="J10" s="189"/>
      <c r="K10" s="34" t="s">
        <v>13</v>
      </c>
      <c r="L10" s="34"/>
      <c r="M10" s="35">
        <v>0.95734870854751541</v>
      </c>
      <c r="N10" s="36">
        <v>1</v>
      </c>
      <c r="O10" s="37"/>
    </row>
    <row r="11" spans="1:15" s="33" customFormat="1" x14ac:dyDescent="0.2">
      <c r="A11" s="181"/>
      <c r="B11" s="188"/>
      <c r="C11" s="189"/>
      <c r="D11" s="189"/>
      <c r="E11" s="189"/>
      <c r="F11" s="189"/>
      <c r="G11" s="189"/>
      <c r="H11" s="189"/>
      <c r="I11" s="189"/>
      <c r="J11" s="189"/>
      <c r="K11" s="34" t="s">
        <v>14</v>
      </c>
      <c r="L11" s="34"/>
      <c r="M11" s="35">
        <v>0.71285830129342453</v>
      </c>
      <c r="N11" s="36">
        <v>1</v>
      </c>
      <c r="O11" s="37"/>
    </row>
    <row r="12" spans="1:15" s="33" customFormat="1" x14ac:dyDescent="0.2">
      <c r="A12" s="181"/>
      <c r="B12" s="188"/>
      <c r="C12" s="189"/>
      <c r="D12" s="189"/>
      <c r="E12" s="189"/>
      <c r="F12" s="189"/>
      <c r="G12" s="189"/>
      <c r="H12" s="189"/>
      <c r="I12" s="189"/>
      <c r="J12" s="189"/>
      <c r="K12" s="34" t="s">
        <v>15</v>
      </c>
      <c r="L12" s="34"/>
      <c r="M12" s="35">
        <v>0.83485650544313106</v>
      </c>
      <c r="N12" s="36">
        <v>1</v>
      </c>
      <c r="O12" s="37"/>
    </row>
    <row r="13" spans="1:15" s="33" customFormat="1" x14ac:dyDescent="0.2">
      <c r="A13" s="181"/>
      <c r="B13" s="188"/>
      <c r="C13" s="189"/>
      <c r="D13" s="189"/>
      <c r="E13" s="189"/>
      <c r="F13" s="189"/>
      <c r="G13" s="189"/>
      <c r="H13" s="189"/>
      <c r="I13" s="189"/>
      <c r="J13" s="189"/>
      <c r="K13" s="34" t="s">
        <v>16</v>
      </c>
      <c r="L13" s="34"/>
      <c r="M13" s="35">
        <v>0.72308019319048578</v>
      </c>
      <c r="N13" s="36">
        <v>1</v>
      </c>
      <c r="O13" s="37"/>
    </row>
    <row r="14" spans="1:15" s="33" customFormat="1" x14ac:dyDescent="0.2">
      <c r="A14" s="181"/>
      <c r="B14" s="188"/>
      <c r="C14" s="189"/>
      <c r="D14" s="189"/>
      <c r="E14" s="189"/>
      <c r="F14" s="189"/>
      <c r="G14" s="189"/>
      <c r="H14" s="189"/>
      <c r="I14" s="189"/>
      <c r="J14" s="189"/>
      <c r="K14" s="34" t="s">
        <v>17</v>
      </c>
      <c r="L14" s="34"/>
      <c r="M14" s="35">
        <v>1.0151183707148816</v>
      </c>
      <c r="N14" s="36">
        <v>1</v>
      </c>
      <c r="O14" s="37"/>
    </row>
    <row r="15" spans="1:15" s="33" customFormat="1" x14ac:dyDescent="0.2">
      <c r="A15" s="181"/>
      <c r="B15" s="188"/>
      <c r="C15" s="189"/>
      <c r="D15" s="189"/>
      <c r="E15" s="189"/>
      <c r="F15" s="189"/>
      <c r="G15" s="189"/>
      <c r="H15" s="189"/>
      <c r="I15" s="189"/>
      <c r="J15" s="189"/>
      <c r="K15" s="34" t="s">
        <v>18</v>
      </c>
      <c r="L15" s="34"/>
      <c r="M15" s="35">
        <v>0.86088819659870108</v>
      </c>
      <c r="N15" s="36">
        <v>1</v>
      </c>
      <c r="O15" s="37"/>
    </row>
    <row r="16" spans="1:15" s="33" customFormat="1" x14ac:dyDescent="0.2">
      <c r="A16" s="181"/>
      <c r="B16" s="188"/>
      <c r="C16" s="189"/>
      <c r="D16" s="189"/>
      <c r="E16" s="189"/>
      <c r="F16" s="189"/>
      <c r="G16" s="189"/>
      <c r="H16" s="189"/>
      <c r="I16" s="189"/>
      <c r="J16" s="189"/>
      <c r="K16" s="34" t="s">
        <v>0</v>
      </c>
      <c r="L16" s="34"/>
      <c r="M16" s="35">
        <f>SUM(M4:M15)/12</f>
        <v>0.93780409129513342</v>
      </c>
      <c r="N16" s="35">
        <f>SUM(N4:N15)/12</f>
        <v>1</v>
      </c>
      <c r="O16" s="36"/>
    </row>
    <row r="17" spans="1:15" ht="12.75" customHeight="1" x14ac:dyDescent="0.2">
      <c r="A17" s="181"/>
      <c r="B17" s="188" t="s">
        <v>48</v>
      </c>
      <c r="C17" s="189" t="s">
        <v>216</v>
      </c>
      <c r="D17" s="189" t="s">
        <v>50</v>
      </c>
      <c r="E17" s="189" t="s">
        <v>132</v>
      </c>
      <c r="F17" s="189" t="s">
        <v>83</v>
      </c>
      <c r="G17" s="189" t="s">
        <v>93</v>
      </c>
      <c r="H17" s="189"/>
      <c r="I17" s="189"/>
      <c r="J17" s="189" t="s">
        <v>234</v>
      </c>
      <c r="K17" s="34" t="s">
        <v>7</v>
      </c>
      <c r="L17" s="34"/>
      <c r="M17" s="35">
        <v>-55.626425740877124</v>
      </c>
      <c r="N17" s="38">
        <f>100-180.949428156101</f>
        <v>-80.949428156100993</v>
      </c>
      <c r="O17" s="36"/>
    </row>
    <row r="18" spans="1:15" x14ac:dyDescent="0.2">
      <c r="A18" s="181"/>
      <c r="B18" s="188"/>
      <c r="C18" s="189"/>
      <c r="D18" s="189"/>
      <c r="E18" s="189"/>
      <c r="F18" s="189"/>
      <c r="G18" s="189"/>
      <c r="H18" s="189"/>
      <c r="I18" s="189"/>
      <c r="J18" s="189"/>
      <c r="K18" s="34" t="s">
        <v>8</v>
      </c>
      <c r="L18" s="34"/>
      <c r="M18" s="35">
        <v>7.442198255839088</v>
      </c>
      <c r="N18" s="38">
        <v>112.52410081505863</v>
      </c>
      <c r="O18" s="37"/>
    </row>
    <row r="19" spans="1:15" x14ac:dyDescent="0.2">
      <c r="A19" s="181"/>
      <c r="B19" s="188"/>
      <c r="C19" s="189"/>
      <c r="D19" s="189"/>
      <c r="E19" s="189"/>
      <c r="F19" s="189"/>
      <c r="G19" s="189"/>
      <c r="H19" s="189"/>
      <c r="I19" s="189"/>
      <c r="J19" s="189"/>
      <c r="K19" s="34" t="s">
        <v>9</v>
      </c>
      <c r="L19" s="34"/>
      <c r="M19" s="35">
        <v>-43.002747746402541</v>
      </c>
      <c r="N19" s="38">
        <v>221.52262005375593</v>
      </c>
      <c r="O19" s="37"/>
    </row>
    <row r="20" spans="1:15" x14ac:dyDescent="0.2">
      <c r="A20" s="181"/>
      <c r="B20" s="188"/>
      <c r="C20" s="189"/>
      <c r="D20" s="189"/>
      <c r="E20" s="189"/>
      <c r="F20" s="189"/>
      <c r="G20" s="189"/>
      <c r="H20" s="189"/>
      <c r="I20" s="189"/>
      <c r="J20" s="189"/>
      <c r="K20" s="34" t="s">
        <v>10</v>
      </c>
      <c r="L20" s="34"/>
      <c r="M20" s="35">
        <v>78.795851230343004</v>
      </c>
      <c r="N20" s="38">
        <v>118.05562533657009</v>
      </c>
      <c r="O20" s="37"/>
    </row>
    <row r="21" spans="1:15" x14ac:dyDescent="0.2">
      <c r="A21" s="181"/>
      <c r="B21" s="188"/>
      <c r="C21" s="189"/>
      <c r="D21" s="189"/>
      <c r="E21" s="189"/>
      <c r="F21" s="189"/>
      <c r="G21" s="189"/>
      <c r="H21" s="189"/>
      <c r="I21" s="189"/>
      <c r="J21" s="189"/>
      <c r="K21" s="34" t="s">
        <v>11</v>
      </c>
      <c r="L21" s="34"/>
      <c r="M21" s="35">
        <v>16.65654306264075</v>
      </c>
      <c r="N21" s="38">
        <v>160.29963237080582</v>
      </c>
      <c r="O21" s="37"/>
    </row>
    <row r="22" spans="1:15" x14ac:dyDescent="0.2">
      <c r="A22" s="181"/>
      <c r="B22" s="188"/>
      <c r="C22" s="189"/>
      <c r="D22" s="189"/>
      <c r="E22" s="189"/>
      <c r="F22" s="189"/>
      <c r="G22" s="189"/>
      <c r="H22" s="189"/>
      <c r="I22" s="189"/>
      <c r="J22" s="189"/>
      <c r="K22" s="34" t="s">
        <v>12</v>
      </c>
      <c r="L22" s="34"/>
      <c r="M22" s="35">
        <v>-26.242600122216189</v>
      </c>
      <c r="N22" s="38">
        <v>119.40037750051538</v>
      </c>
      <c r="O22" s="37"/>
    </row>
    <row r="23" spans="1:15" x14ac:dyDescent="0.2">
      <c r="A23" s="181"/>
      <c r="B23" s="188"/>
      <c r="C23" s="189"/>
      <c r="D23" s="189"/>
      <c r="E23" s="189"/>
      <c r="F23" s="189"/>
      <c r="G23" s="189"/>
      <c r="H23" s="189"/>
      <c r="I23" s="189"/>
      <c r="J23" s="189"/>
      <c r="K23" s="34" t="s">
        <v>13</v>
      </c>
      <c r="L23" s="34"/>
      <c r="M23" s="35">
        <v>12.891428093339655</v>
      </c>
      <c r="N23" s="38">
        <v>110.59723354788596</v>
      </c>
      <c r="O23" s="37"/>
    </row>
    <row r="24" spans="1:15" x14ac:dyDescent="0.2">
      <c r="A24" s="181"/>
      <c r="B24" s="188"/>
      <c r="C24" s="189"/>
      <c r="D24" s="189"/>
      <c r="E24" s="189"/>
      <c r="F24" s="189"/>
      <c r="G24" s="189"/>
      <c r="H24" s="189"/>
      <c r="I24" s="189"/>
      <c r="J24" s="189"/>
      <c r="K24" s="34" t="s">
        <v>14</v>
      </c>
      <c r="L24" s="34"/>
      <c r="M24" s="35">
        <v>53.247826861962011</v>
      </c>
      <c r="N24" s="38">
        <v>147.33530271009658</v>
      </c>
      <c r="O24" s="37"/>
    </row>
    <row r="25" spans="1:15" x14ac:dyDescent="0.2">
      <c r="A25" s="181"/>
      <c r="B25" s="188"/>
      <c r="C25" s="189"/>
      <c r="D25" s="189"/>
      <c r="E25" s="189"/>
      <c r="F25" s="189"/>
      <c r="G25" s="189"/>
      <c r="H25" s="189"/>
      <c r="I25" s="189"/>
      <c r="J25" s="189"/>
      <c r="K25" s="34" t="s">
        <v>15</v>
      </c>
      <c r="L25" s="34"/>
      <c r="M25" s="35">
        <v>107.14038743571331</v>
      </c>
      <c r="N25" s="38">
        <v>156.0641793786296</v>
      </c>
      <c r="O25" s="37"/>
    </row>
    <row r="26" spans="1:15" x14ac:dyDescent="0.2">
      <c r="A26" s="181"/>
      <c r="B26" s="188"/>
      <c r="C26" s="189"/>
      <c r="D26" s="189"/>
      <c r="E26" s="189"/>
      <c r="F26" s="189"/>
      <c r="G26" s="189"/>
      <c r="H26" s="189"/>
      <c r="I26" s="189"/>
      <c r="J26" s="189"/>
      <c r="K26" s="34" t="s">
        <v>16</v>
      </c>
      <c r="L26" s="34"/>
      <c r="M26" s="35">
        <v>-35.721469548119472</v>
      </c>
      <c r="N26" s="38">
        <v>276.6688954851208</v>
      </c>
      <c r="O26" s="37"/>
    </row>
    <row r="27" spans="1:15" x14ac:dyDescent="0.2">
      <c r="A27" s="181"/>
      <c r="B27" s="188"/>
      <c r="C27" s="189"/>
      <c r="D27" s="189"/>
      <c r="E27" s="189"/>
      <c r="F27" s="189"/>
      <c r="G27" s="189"/>
      <c r="H27" s="189"/>
      <c r="I27" s="189"/>
      <c r="J27" s="189"/>
      <c r="K27" s="34" t="s">
        <v>17</v>
      </c>
      <c r="L27" s="34"/>
      <c r="M27" s="35">
        <v>-0.39052843806156545</v>
      </c>
      <c r="N27" s="38">
        <v>91.97313070995699</v>
      </c>
      <c r="O27" s="37"/>
    </row>
    <row r="28" spans="1:15" x14ac:dyDescent="0.2">
      <c r="A28" s="181"/>
      <c r="B28" s="188"/>
      <c r="C28" s="189"/>
      <c r="D28" s="189"/>
      <c r="E28" s="189"/>
      <c r="F28" s="189"/>
      <c r="G28" s="189"/>
      <c r="H28" s="189"/>
      <c r="I28" s="189"/>
      <c r="J28" s="189"/>
      <c r="K28" s="34" t="s">
        <v>18</v>
      </c>
      <c r="L28" s="34"/>
      <c r="M28" s="35">
        <v>-17.637285850610425</v>
      </c>
      <c r="N28" s="38">
        <v>137.49333347036909</v>
      </c>
      <c r="O28" s="37"/>
    </row>
    <row r="29" spans="1:15" x14ac:dyDescent="0.2">
      <c r="A29" s="181"/>
      <c r="B29" s="188"/>
      <c r="C29" s="189"/>
      <c r="D29" s="189"/>
      <c r="E29" s="189"/>
      <c r="F29" s="189"/>
      <c r="G29" s="189"/>
      <c r="H29" s="189"/>
      <c r="I29" s="189"/>
      <c r="J29" s="189"/>
      <c r="K29" s="34" t="s">
        <v>0</v>
      </c>
      <c r="L29" s="34"/>
      <c r="M29" s="35">
        <f>SUM(M17:M28)/12</f>
        <v>8.1294314577958726</v>
      </c>
      <c r="N29" s="35">
        <f>SUM(N17:N28)/12</f>
        <v>130.915416935222</v>
      </c>
      <c r="O29" s="36"/>
    </row>
    <row r="30" spans="1:15" ht="12.75" customHeight="1" x14ac:dyDescent="0.2">
      <c r="A30" s="181"/>
      <c r="B30" s="190" t="s">
        <v>48</v>
      </c>
      <c r="C30" s="191" t="s">
        <v>217</v>
      </c>
      <c r="D30" s="191" t="s">
        <v>51</v>
      </c>
      <c r="E30" s="191" t="s">
        <v>115</v>
      </c>
      <c r="F30" s="192" t="s">
        <v>83</v>
      </c>
      <c r="G30" s="191" t="s">
        <v>95</v>
      </c>
      <c r="H30" s="191"/>
      <c r="I30" s="191"/>
      <c r="J30" s="191" t="s">
        <v>233</v>
      </c>
      <c r="K30" s="41" t="s">
        <v>7</v>
      </c>
      <c r="L30" s="41"/>
      <c r="M30" s="41"/>
      <c r="N30" s="42"/>
      <c r="O30" s="42"/>
    </row>
    <row r="31" spans="1:15" x14ac:dyDescent="0.2">
      <c r="A31" s="181"/>
      <c r="B31" s="190"/>
      <c r="C31" s="191"/>
      <c r="D31" s="191"/>
      <c r="E31" s="191"/>
      <c r="F31" s="192"/>
      <c r="G31" s="191"/>
      <c r="H31" s="191"/>
      <c r="I31" s="191"/>
      <c r="J31" s="191"/>
      <c r="K31" s="41" t="s">
        <v>8</v>
      </c>
      <c r="L31" s="41"/>
      <c r="M31" s="41"/>
      <c r="N31" s="43"/>
      <c r="O31" s="43"/>
    </row>
    <row r="32" spans="1:15" x14ac:dyDescent="0.2">
      <c r="A32" s="181"/>
      <c r="B32" s="190"/>
      <c r="C32" s="191"/>
      <c r="D32" s="191"/>
      <c r="E32" s="191"/>
      <c r="F32" s="192"/>
      <c r="G32" s="191"/>
      <c r="H32" s="191"/>
      <c r="I32" s="191"/>
      <c r="J32" s="191"/>
      <c r="K32" s="41" t="s">
        <v>9</v>
      </c>
      <c r="L32" s="41"/>
      <c r="M32" s="41"/>
      <c r="N32" s="43"/>
      <c r="O32" s="43"/>
    </row>
    <row r="33" spans="1:15" x14ac:dyDescent="0.2">
      <c r="A33" s="181"/>
      <c r="B33" s="190"/>
      <c r="C33" s="191"/>
      <c r="D33" s="191"/>
      <c r="E33" s="191"/>
      <c r="F33" s="192"/>
      <c r="G33" s="191"/>
      <c r="H33" s="191"/>
      <c r="I33" s="191"/>
      <c r="J33" s="191"/>
      <c r="K33" s="41" t="s">
        <v>10</v>
      </c>
      <c r="L33" s="41"/>
      <c r="M33" s="41"/>
      <c r="N33" s="43"/>
      <c r="O33" s="43"/>
    </row>
    <row r="34" spans="1:15" x14ac:dyDescent="0.2">
      <c r="A34" s="181"/>
      <c r="B34" s="190"/>
      <c r="C34" s="191"/>
      <c r="D34" s="191"/>
      <c r="E34" s="191"/>
      <c r="F34" s="192"/>
      <c r="G34" s="191"/>
      <c r="H34" s="191"/>
      <c r="I34" s="191"/>
      <c r="J34" s="191"/>
      <c r="K34" s="41" t="s">
        <v>11</v>
      </c>
      <c r="L34" s="41"/>
      <c r="M34" s="41"/>
      <c r="N34" s="43"/>
      <c r="O34" s="43"/>
    </row>
    <row r="35" spans="1:15" x14ac:dyDescent="0.2">
      <c r="A35" s="181"/>
      <c r="B35" s="190"/>
      <c r="C35" s="191"/>
      <c r="D35" s="191"/>
      <c r="E35" s="191"/>
      <c r="F35" s="192"/>
      <c r="G35" s="191"/>
      <c r="H35" s="191"/>
      <c r="I35" s="191"/>
      <c r="J35" s="191"/>
      <c r="K35" s="41" t="s">
        <v>12</v>
      </c>
      <c r="L35" s="41"/>
      <c r="M35" s="41"/>
      <c r="N35" s="43"/>
      <c r="O35" s="43"/>
    </row>
    <row r="36" spans="1:15" x14ac:dyDescent="0.2">
      <c r="A36" s="181"/>
      <c r="B36" s="190"/>
      <c r="C36" s="191"/>
      <c r="D36" s="191"/>
      <c r="E36" s="191"/>
      <c r="F36" s="192"/>
      <c r="G36" s="191"/>
      <c r="H36" s="191"/>
      <c r="I36" s="191"/>
      <c r="J36" s="191"/>
      <c r="K36" s="41" t="s">
        <v>13</v>
      </c>
      <c r="L36" s="41"/>
      <c r="M36" s="41"/>
      <c r="N36" s="43"/>
      <c r="O36" s="43"/>
    </row>
    <row r="37" spans="1:15" x14ac:dyDescent="0.2">
      <c r="A37" s="181"/>
      <c r="B37" s="190"/>
      <c r="C37" s="191"/>
      <c r="D37" s="191"/>
      <c r="E37" s="191"/>
      <c r="F37" s="192"/>
      <c r="G37" s="191"/>
      <c r="H37" s="191"/>
      <c r="I37" s="191"/>
      <c r="J37" s="191"/>
      <c r="K37" s="41" t="s">
        <v>14</v>
      </c>
      <c r="L37" s="41"/>
      <c r="M37" s="41"/>
      <c r="N37" s="43"/>
      <c r="O37" s="43"/>
    </row>
    <row r="38" spans="1:15" x14ac:dyDescent="0.2">
      <c r="A38" s="181"/>
      <c r="B38" s="190"/>
      <c r="C38" s="191"/>
      <c r="D38" s="191"/>
      <c r="E38" s="191"/>
      <c r="F38" s="192"/>
      <c r="G38" s="191"/>
      <c r="H38" s="191"/>
      <c r="I38" s="191"/>
      <c r="J38" s="191"/>
      <c r="K38" s="41" t="s">
        <v>15</v>
      </c>
      <c r="L38" s="41"/>
      <c r="M38" s="41"/>
      <c r="N38" s="43"/>
      <c r="O38" s="43"/>
    </row>
    <row r="39" spans="1:15" x14ac:dyDescent="0.2">
      <c r="A39" s="181"/>
      <c r="B39" s="190"/>
      <c r="C39" s="191"/>
      <c r="D39" s="191"/>
      <c r="E39" s="191"/>
      <c r="F39" s="192"/>
      <c r="G39" s="191"/>
      <c r="H39" s="191"/>
      <c r="I39" s="191"/>
      <c r="J39" s="191"/>
      <c r="K39" s="41" t="s">
        <v>16</v>
      </c>
      <c r="L39" s="41"/>
      <c r="M39" s="41"/>
      <c r="N39" s="43"/>
      <c r="O39" s="43"/>
    </row>
    <row r="40" spans="1:15" x14ac:dyDescent="0.2">
      <c r="A40" s="181"/>
      <c r="B40" s="190"/>
      <c r="C40" s="191"/>
      <c r="D40" s="191"/>
      <c r="E40" s="191"/>
      <c r="F40" s="192"/>
      <c r="G40" s="191"/>
      <c r="H40" s="191"/>
      <c r="I40" s="191"/>
      <c r="J40" s="191"/>
      <c r="K40" s="41" t="s">
        <v>17</v>
      </c>
      <c r="L40" s="41"/>
      <c r="M40" s="41"/>
      <c r="N40" s="43"/>
      <c r="O40" s="43"/>
    </row>
    <row r="41" spans="1:15" x14ac:dyDescent="0.2">
      <c r="A41" s="181"/>
      <c r="B41" s="190"/>
      <c r="C41" s="191"/>
      <c r="D41" s="191"/>
      <c r="E41" s="191"/>
      <c r="F41" s="192"/>
      <c r="G41" s="191"/>
      <c r="H41" s="191"/>
      <c r="I41" s="191"/>
      <c r="J41" s="191"/>
      <c r="K41" s="41" t="s">
        <v>18</v>
      </c>
      <c r="L41" s="41"/>
      <c r="M41" s="41"/>
      <c r="N41" s="43"/>
      <c r="O41" s="43"/>
    </row>
    <row r="42" spans="1:15" x14ac:dyDescent="0.2">
      <c r="A42" s="181"/>
      <c r="B42" s="190"/>
      <c r="C42" s="191"/>
      <c r="D42" s="191"/>
      <c r="E42" s="191"/>
      <c r="F42" s="192"/>
      <c r="G42" s="191"/>
      <c r="H42" s="191"/>
      <c r="I42" s="191"/>
      <c r="J42" s="191"/>
      <c r="K42" s="41" t="s">
        <v>0</v>
      </c>
      <c r="L42" s="41"/>
      <c r="M42" s="41"/>
      <c r="N42" s="42"/>
      <c r="O42" s="42"/>
    </row>
    <row r="43" spans="1:15" x14ac:dyDescent="0.2">
      <c r="A43" s="181"/>
      <c r="B43" s="188" t="s">
        <v>48</v>
      </c>
      <c r="C43" s="189" t="s">
        <v>218</v>
      </c>
      <c r="D43" s="189" t="s">
        <v>52</v>
      </c>
      <c r="E43" s="189"/>
      <c r="F43" s="189" t="s">
        <v>87</v>
      </c>
      <c r="G43" s="189" t="s">
        <v>95</v>
      </c>
      <c r="H43" s="189"/>
      <c r="I43" s="189"/>
      <c r="J43" s="189"/>
      <c r="K43" s="34" t="s">
        <v>7</v>
      </c>
      <c r="L43" s="34"/>
      <c r="M43" s="34"/>
      <c r="N43" s="36"/>
      <c r="O43" s="36"/>
    </row>
    <row r="44" spans="1:15" x14ac:dyDescent="0.2">
      <c r="A44" s="181"/>
      <c r="B44" s="188"/>
      <c r="C44" s="189"/>
      <c r="D44" s="189"/>
      <c r="E44" s="189"/>
      <c r="F44" s="189"/>
      <c r="G44" s="189"/>
      <c r="H44" s="189"/>
      <c r="I44" s="189"/>
      <c r="J44" s="189"/>
      <c r="K44" s="34" t="s">
        <v>8</v>
      </c>
      <c r="L44" s="34"/>
      <c r="M44" s="34"/>
      <c r="N44" s="37"/>
      <c r="O44" s="37"/>
    </row>
    <row r="45" spans="1:15" x14ac:dyDescent="0.2">
      <c r="A45" s="181"/>
      <c r="B45" s="188"/>
      <c r="C45" s="189"/>
      <c r="D45" s="189"/>
      <c r="E45" s="189"/>
      <c r="F45" s="189"/>
      <c r="G45" s="189"/>
      <c r="H45" s="189"/>
      <c r="I45" s="189"/>
      <c r="J45" s="189"/>
      <c r="K45" s="34" t="s">
        <v>9</v>
      </c>
      <c r="L45" s="34"/>
      <c r="M45" s="34">
        <v>35</v>
      </c>
      <c r="N45" s="37"/>
      <c r="O45" s="37"/>
    </row>
    <row r="46" spans="1:15" x14ac:dyDescent="0.2">
      <c r="A46" s="181"/>
      <c r="B46" s="188"/>
      <c r="C46" s="189"/>
      <c r="D46" s="189"/>
      <c r="E46" s="189"/>
      <c r="F46" s="189"/>
      <c r="G46" s="189"/>
      <c r="H46" s="189"/>
      <c r="I46" s="189"/>
      <c r="J46" s="189"/>
      <c r="K46" s="34" t="s">
        <v>10</v>
      </c>
      <c r="L46" s="34"/>
      <c r="M46" s="34"/>
      <c r="N46" s="37"/>
      <c r="O46" s="37"/>
    </row>
    <row r="47" spans="1:15" x14ac:dyDescent="0.2">
      <c r="A47" s="181"/>
      <c r="B47" s="188"/>
      <c r="C47" s="189"/>
      <c r="D47" s="189"/>
      <c r="E47" s="189"/>
      <c r="F47" s="189"/>
      <c r="G47" s="189"/>
      <c r="H47" s="189"/>
      <c r="I47" s="189"/>
      <c r="J47" s="189"/>
      <c r="K47" s="34" t="s">
        <v>11</v>
      </c>
      <c r="L47" s="34"/>
      <c r="M47" s="34"/>
      <c r="N47" s="37"/>
      <c r="O47" s="37"/>
    </row>
    <row r="48" spans="1:15" x14ac:dyDescent="0.2">
      <c r="A48" s="181"/>
      <c r="B48" s="188"/>
      <c r="C48" s="189"/>
      <c r="D48" s="189"/>
      <c r="E48" s="189"/>
      <c r="F48" s="189"/>
      <c r="G48" s="189"/>
      <c r="H48" s="189"/>
      <c r="I48" s="189"/>
      <c r="J48" s="189"/>
      <c r="K48" s="34" t="s">
        <v>12</v>
      </c>
      <c r="L48" s="34"/>
      <c r="M48" s="34">
        <v>35</v>
      </c>
      <c r="N48" s="37"/>
      <c r="O48" s="37"/>
    </row>
    <row r="49" spans="1:15" x14ac:dyDescent="0.2">
      <c r="A49" s="181"/>
      <c r="B49" s="188"/>
      <c r="C49" s="189"/>
      <c r="D49" s="189"/>
      <c r="E49" s="189"/>
      <c r="F49" s="189"/>
      <c r="G49" s="189"/>
      <c r="H49" s="189"/>
      <c r="I49" s="189"/>
      <c r="J49" s="189"/>
      <c r="K49" s="34" t="s">
        <v>13</v>
      </c>
      <c r="L49" s="34"/>
      <c r="M49" s="34"/>
      <c r="N49" s="37"/>
      <c r="O49" s="37"/>
    </row>
    <row r="50" spans="1:15" x14ac:dyDescent="0.2">
      <c r="A50" s="181"/>
      <c r="B50" s="188"/>
      <c r="C50" s="189"/>
      <c r="D50" s="189"/>
      <c r="E50" s="189"/>
      <c r="F50" s="189"/>
      <c r="G50" s="189"/>
      <c r="H50" s="189"/>
      <c r="I50" s="189"/>
      <c r="J50" s="189"/>
      <c r="K50" s="34" t="s">
        <v>14</v>
      </c>
      <c r="L50" s="34"/>
      <c r="M50" s="34"/>
      <c r="N50" s="37"/>
      <c r="O50" s="37"/>
    </row>
    <row r="51" spans="1:15" x14ac:dyDescent="0.2">
      <c r="A51" s="181"/>
      <c r="B51" s="188"/>
      <c r="C51" s="189"/>
      <c r="D51" s="189"/>
      <c r="E51" s="189"/>
      <c r="F51" s="189"/>
      <c r="G51" s="189"/>
      <c r="H51" s="189"/>
      <c r="I51" s="189"/>
      <c r="J51" s="189"/>
      <c r="K51" s="34" t="s">
        <v>15</v>
      </c>
      <c r="L51" s="34"/>
      <c r="M51" s="34">
        <v>35</v>
      </c>
      <c r="N51" s="37"/>
      <c r="O51" s="37"/>
    </row>
    <row r="52" spans="1:15" x14ac:dyDescent="0.2">
      <c r="A52" s="181"/>
      <c r="B52" s="188"/>
      <c r="C52" s="189"/>
      <c r="D52" s="189"/>
      <c r="E52" s="189"/>
      <c r="F52" s="189"/>
      <c r="G52" s="189"/>
      <c r="H52" s="189"/>
      <c r="I52" s="189"/>
      <c r="J52" s="189"/>
      <c r="K52" s="34" t="s">
        <v>16</v>
      </c>
      <c r="L52" s="34"/>
      <c r="M52" s="34"/>
      <c r="N52" s="37"/>
      <c r="O52" s="37"/>
    </row>
    <row r="53" spans="1:15" x14ac:dyDescent="0.2">
      <c r="A53" s="181"/>
      <c r="B53" s="188"/>
      <c r="C53" s="189"/>
      <c r="D53" s="189"/>
      <c r="E53" s="189"/>
      <c r="F53" s="189"/>
      <c r="G53" s="189"/>
      <c r="H53" s="189"/>
      <c r="I53" s="189"/>
      <c r="J53" s="189"/>
      <c r="K53" s="34" t="s">
        <v>17</v>
      </c>
      <c r="L53" s="34"/>
      <c r="M53" s="34"/>
      <c r="N53" s="37"/>
      <c r="O53" s="37"/>
    </row>
    <row r="54" spans="1:15" x14ac:dyDescent="0.2">
      <c r="A54" s="181"/>
      <c r="B54" s="188"/>
      <c r="C54" s="189"/>
      <c r="D54" s="189"/>
      <c r="E54" s="189"/>
      <c r="F54" s="189"/>
      <c r="G54" s="189"/>
      <c r="H54" s="189"/>
      <c r="I54" s="189"/>
      <c r="J54" s="189"/>
      <c r="K54" s="34" t="s">
        <v>18</v>
      </c>
      <c r="L54" s="34"/>
      <c r="M54" s="34">
        <v>35</v>
      </c>
      <c r="N54" s="37"/>
      <c r="O54" s="37"/>
    </row>
    <row r="55" spans="1:15" x14ac:dyDescent="0.2">
      <c r="A55" s="181"/>
      <c r="B55" s="188"/>
      <c r="C55" s="189"/>
      <c r="D55" s="189"/>
      <c r="E55" s="189"/>
      <c r="F55" s="189"/>
      <c r="G55" s="189"/>
      <c r="H55" s="189"/>
      <c r="I55" s="189"/>
      <c r="J55" s="189"/>
      <c r="K55" s="34" t="s">
        <v>0</v>
      </c>
      <c r="L55" s="34"/>
      <c r="M55" s="34">
        <f>(M45+M48+M51+M54)/4</f>
        <v>35</v>
      </c>
      <c r="N55" s="34">
        <f>(N45+N48+N51+N54)/4</f>
        <v>0</v>
      </c>
      <c r="O55" s="36"/>
    </row>
    <row r="56" spans="1:15" ht="12.75" customHeight="1" x14ac:dyDescent="0.2">
      <c r="A56" s="181"/>
      <c r="B56" s="190" t="s">
        <v>48</v>
      </c>
      <c r="C56" s="191" t="s">
        <v>156</v>
      </c>
      <c r="D56" s="191" t="s">
        <v>52</v>
      </c>
      <c r="E56" s="191"/>
      <c r="F56" s="192" t="s">
        <v>87</v>
      </c>
      <c r="G56" s="193" t="s">
        <v>95</v>
      </c>
      <c r="H56" s="191"/>
      <c r="I56" s="191"/>
      <c r="J56" s="191"/>
      <c r="K56" s="41" t="s">
        <v>7</v>
      </c>
      <c r="L56" s="41"/>
      <c r="M56" s="41"/>
      <c r="N56" s="42"/>
      <c r="O56" s="42"/>
    </row>
    <row r="57" spans="1:15" x14ac:dyDescent="0.2">
      <c r="A57" s="181"/>
      <c r="B57" s="190"/>
      <c r="C57" s="191"/>
      <c r="D57" s="191"/>
      <c r="E57" s="191"/>
      <c r="F57" s="192"/>
      <c r="G57" s="194"/>
      <c r="H57" s="191"/>
      <c r="I57" s="191"/>
      <c r="J57" s="191"/>
      <c r="K57" s="41" t="s">
        <v>8</v>
      </c>
      <c r="L57" s="41"/>
      <c r="M57" s="41"/>
      <c r="N57" s="43"/>
      <c r="O57" s="43"/>
    </row>
    <row r="58" spans="1:15" x14ac:dyDescent="0.2">
      <c r="A58" s="181"/>
      <c r="B58" s="190"/>
      <c r="C58" s="191"/>
      <c r="D58" s="191"/>
      <c r="E58" s="191"/>
      <c r="F58" s="192"/>
      <c r="G58" s="194"/>
      <c r="H58" s="191"/>
      <c r="I58" s="191"/>
      <c r="J58" s="191"/>
      <c r="K58" s="41" t="s">
        <v>9</v>
      </c>
      <c r="L58" s="41"/>
      <c r="M58" s="41"/>
      <c r="N58" s="43"/>
      <c r="O58" s="43"/>
    </row>
    <row r="59" spans="1:15" x14ac:dyDescent="0.2">
      <c r="A59" s="181"/>
      <c r="B59" s="190"/>
      <c r="C59" s="191"/>
      <c r="D59" s="191"/>
      <c r="E59" s="191"/>
      <c r="F59" s="192"/>
      <c r="G59" s="194"/>
      <c r="H59" s="191"/>
      <c r="I59" s="191"/>
      <c r="J59" s="191"/>
      <c r="K59" s="41" t="s">
        <v>10</v>
      </c>
      <c r="L59" s="41"/>
      <c r="M59" s="41"/>
      <c r="N59" s="43"/>
      <c r="O59" s="43"/>
    </row>
    <row r="60" spans="1:15" x14ac:dyDescent="0.2">
      <c r="A60" s="181"/>
      <c r="B60" s="190"/>
      <c r="C60" s="191"/>
      <c r="D60" s="191"/>
      <c r="E60" s="191"/>
      <c r="F60" s="192"/>
      <c r="G60" s="194"/>
      <c r="H60" s="191"/>
      <c r="I60" s="191"/>
      <c r="J60" s="191"/>
      <c r="K60" s="41" t="s">
        <v>11</v>
      </c>
      <c r="L60" s="41"/>
      <c r="M60" s="41"/>
      <c r="N60" s="43"/>
      <c r="O60" s="43"/>
    </row>
    <row r="61" spans="1:15" x14ac:dyDescent="0.2">
      <c r="A61" s="181"/>
      <c r="B61" s="190"/>
      <c r="C61" s="191"/>
      <c r="D61" s="191"/>
      <c r="E61" s="191"/>
      <c r="F61" s="192"/>
      <c r="G61" s="194"/>
      <c r="H61" s="191"/>
      <c r="I61" s="191"/>
      <c r="J61" s="191"/>
      <c r="K61" s="41" t="s">
        <v>12</v>
      </c>
      <c r="L61" s="41"/>
      <c r="M61" s="41"/>
      <c r="N61" s="43"/>
      <c r="O61" s="43"/>
    </row>
    <row r="62" spans="1:15" x14ac:dyDescent="0.2">
      <c r="A62" s="181"/>
      <c r="B62" s="190"/>
      <c r="C62" s="191"/>
      <c r="D62" s="191"/>
      <c r="E62" s="191"/>
      <c r="F62" s="192"/>
      <c r="G62" s="194"/>
      <c r="H62" s="191"/>
      <c r="I62" s="191"/>
      <c r="J62" s="191"/>
      <c r="K62" s="41" t="s">
        <v>13</v>
      </c>
      <c r="L62" s="41"/>
      <c r="M62" s="41"/>
      <c r="N62" s="43"/>
      <c r="O62" s="43"/>
    </row>
    <row r="63" spans="1:15" x14ac:dyDescent="0.2">
      <c r="A63" s="181"/>
      <c r="B63" s="190"/>
      <c r="C63" s="191"/>
      <c r="D63" s="191"/>
      <c r="E63" s="191"/>
      <c r="F63" s="192"/>
      <c r="G63" s="194"/>
      <c r="H63" s="191"/>
      <c r="I63" s="191"/>
      <c r="J63" s="191"/>
      <c r="K63" s="41" t="s">
        <v>14</v>
      </c>
      <c r="L63" s="41"/>
      <c r="M63" s="41"/>
      <c r="N63" s="43"/>
      <c r="O63" s="43"/>
    </row>
    <row r="64" spans="1:15" x14ac:dyDescent="0.2">
      <c r="A64" s="181"/>
      <c r="B64" s="190"/>
      <c r="C64" s="191"/>
      <c r="D64" s="191"/>
      <c r="E64" s="191"/>
      <c r="F64" s="192"/>
      <c r="G64" s="194"/>
      <c r="H64" s="191"/>
      <c r="I64" s="191"/>
      <c r="J64" s="191"/>
      <c r="K64" s="41" t="s">
        <v>15</v>
      </c>
      <c r="L64" s="41"/>
      <c r="M64" s="41"/>
      <c r="N64" s="43"/>
      <c r="O64" s="43"/>
    </row>
    <row r="65" spans="1:15" x14ac:dyDescent="0.2">
      <c r="A65" s="181"/>
      <c r="B65" s="190"/>
      <c r="C65" s="191"/>
      <c r="D65" s="191"/>
      <c r="E65" s="191"/>
      <c r="F65" s="192"/>
      <c r="G65" s="194"/>
      <c r="H65" s="191"/>
      <c r="I65" s="191"/>
      <c r="J65" s="191"/>
      <c r="K65" s="41" t="s">
        <v>16</v>
      </c>
      <c r="L65" s="41"/>
      <c r="M65" s="41"/>
      <c r="N65" s="43"/>
      <c r="O65" s="43"/>
    </row>
    <row r="66" spans="1:15" x14ac:dyDescent="0.2">
      <c r="A66" s="181"/>
      <c r="B66" s="190"/>
      <c r="C66" s="191"/>
      <c r="D66" s="191"/>
      <c r="E66" s="191"/>
      <c r="F66" s="192"/>
      <c r="G66" s="194"/>
      <c r="H66" s="191"/>
      <c r="I66" s="191"/>
      <c r="J66" s="191"/>
      <c r="K66" s="41" t="s">
        <v>17</v>
      </c>
      <c r="L66" s="41"/>
      <c r="M66" s="41"/>
      <c r="N66" s="43"/>
      <c r="O66" s="43"/>
    </row>
    <row r="67" spans="1:15" x14ac:dyDescent="0.2">
      <c r="A67" s="181"/>
      <c r="B67" s="190"/>
      <c r="C67" s="191"/>
      <c r="D67" s="191"/>
      <c r="E67" s="191"/>
      <c r="F67" s="192"/>
      <c r="G67" s="194"/>
      <c r="H67" s="191"/>
      <c r="I67" s="191"/>
      <c r="J67" s="191"/>
      <c r="K67" s="41" t="s">
        <v>18</v>
      </c>
      <c r="L67" s="41"/>
      <c r="M67" s="41"/>
      <c r="N67" s="43"/>
      <c r="O67" s="43"/>
    </row>
    <row r="68" spans="1:15" x14ac:dyDescent="0.2">
      <c r="A68" s="181"/>
      <c r="B68" s="190"/>
      <c r="C68" s="191"/>
      <c r="D68" s="191"/>
      <c r="E68" s="191"/>
      <c r="F68" s="192"/>
      <c r="G68" s="195"/>
      <c r="H68" s="191"/>
      <c r="I68" s="191"/>
      <c r="J68" s="191"/>
      <c r="K68" s="41" t="s">
        <v>0</v>
      </c>
      <c r="L68" s="41"/>
      <c r="M68" s="41"/>
      <c r="N68" s="42"/>
      <c r="O68" s="42"/>
    </row>
    <row r="69" spans="1:15" x14ac:dyDescent="0.2">
      <c r="A69" s="181"/>
      <c r="B69" s="190" t="s">
        <v>48</v>
      </c>
      <c r="C69" s="191" t="s">
        <v>157</v>
      </c>
      <c r="D69" s="191" t="s">
        <v>52</v>
      </c>
      <c r="E69" s="191"/>
      <c r="F69" s="192" t="s">
        <v>87</v>
      </c>
      <c r="G69" s="193" t="s">
        <v>95</v>
      </c>
      <c r="H69" s="191"/>
      <c r="I69" s="191"/>
      <c r="J69" s="191"/>
      <c r="K69" s="41" t="s">
        <v>7</v>
      </c>
      <c r="L69" s="41"/>
      <c r="M69" s="41"/>
      <c r="N69" s="42"/>
      <c r="O69" s="42"/>
    </row>
    <row r="70" spans="1:15" x14ac:dyDescent="0.2">
      <c r="A70" s="181"/>
      <c r="B70" s="190"/>
      <c r="C70" s="191"/>
      <c r="D70" s="191"/>
      <c r="E70" s="191"/>
      <c r="F70" s="192"/>
      <c r="G70" s="194"/>
      <c r="H70" s="191"/>
      <c r="I70" s="191"/>
      <c r="J70" s="191"/>
      <c r="K70" s="41" t="s">
        <v>8</v>
      </c>
      <c r="L70" s="41"/>
      <c r="M70" s="41"/>
      <c r="N70" s="43"/>
      <c r="O70" s="43"/>
    </row>
    <row r="71" spans="1:15" x14ac:dyDescent="0.2">
      <c r="A71" s="181"/>
      <c r="B71" s="190"/>
      <c r="C71" s="191"/>
      <c r="D71" s="191"/>
      <c r="E71" s="191"/>
      <c r="F71" s="192"/>
      <c r="G71" s="194"/>
      <c r="H71" s="191"/>
      <c r="I71" s="191"/>
      <c r="J71" s="191"/>
      <c r="K71" s="41" t="s">
        <v>9</v>
      </c>
      <c r="L71" s="41"/>
      <c r="M71" s="41"/>
      <c r="N71" s="43"/>
      <c r="O71" s="43"/>
    </row>
    <row r="72" spans="1:15" x14ac:dyDescent="0.2">
      <c r="A72" s="181"/>
      <c r="B72" s="190"/>
      <c r="C72" s="191"/>
      <c r="D72" s="191"/>
      <c r="E72" s="191"/>
      <c r="F72" s="192"/>
      <c r="G72" s="194"/>
      <c r="H72" s="191"/>
      <c r="I72" s="191"/>
      <c r="J72" s="191"/>
      <c r="K72" s="41" t="s">
        <v>10</v>
      </c>
      <c r="L72" s="41"/>
      <c r="M72" s="41"/>
      <c r="N72" s="43"/>
      <c r="O72" s="43"/>
    </row>
    <row r="73" spans="1:15" x14ac:dyDescent="0.2">
      <c r="A73" s="181"/>
      <c r="B73" s="190"/>
      <c r="C73" s="191"/>
      <c r="D73" s="191"/>
      <c r="E73" s="191"/>
      <c r="F73" s="192"/>
      <c r="G73" s="194"/>
      <c r="H73" s="191"/>
      <c r="I73" s="191"/>
      <c r="J73" s="191"/>
      <c r="K73" s="41" t="s">
        <v>11</v>
      </c>
      <c r="L73" s="41"/>
      <c r="M73" s="41"/>
      <c r="N73" s="43"/>
      <c r="O73" s="43"/>
    </row>
    <row r="74" spans="1:15" x14ac:dyDescent="0.2">
      <c r="A74" s="181"/>
      <c r="B74" s="190"/>
      <c r="C74" s="191"/>
      <c r="D74" s="191"/>
      <c r="E74" s="191"/>
      <c r="F74" s="192"/>
      <c r="G74" s="194"/>
      <c r="H74" s="191"/>
      <c r="I74" s="191"/>
      <c r="J74" s="191"/>
      <c r="K74" s="41" t="s">
        <v>12</v>
      </c>
      <c r="L74" s="41"/>
      <c r="M74" s="41"/>
      <c r="N74" s="43"/>
      <c r="O74" s="43"/>
    </row>
    <row r="75" spans="1:15" x14ac:dyDescent="0.2">
      <c r="A75" s="181"/>
      <c r="B75" s="190"/>
      <c r="C75" s="191"/>
      <c r="D75" s="191"/>
      <c r="E75" s="191"/>
      <c r="F75" s="192"/>
      <c r="G75" s="194"/>
      <c r="H75" s="191"/>
      <c r="I75" s="191"/>
      <c r="J75" s="191"/>
      <c r="K75" s="41" t="s">
        <v>13</v>
      </c>
      <c r="L75" s="41"/>
      <c r="M75" s="41"/>
      <c r="N75" s="43"/>
      <c r="O75" s="43"/>
    </row>
    <row r="76" spans="1:15" x14ac:dyDescent="0.2">
      <c r="A76" s="181"/>
      <c r="B76" s="190"/>
      <c r="C76" s="191"/>
      <c r="D76" s="191"/>
      <c r="E76" s="191"/>
      <c r="F76" s="192"/>
      <c r="G76" s="194"/>
      <c r="H76" s="191"/>
      <c r="I76" s="191"/>
      <c r="J76" s="191"/>
      <c r="K76" s="41" t="s">
        <v>14</v>
      </c>
      <c r="L76" s="41"/>
      <c r="M76" s="41"/>
      <c r="N76" s="43"/>
      <c r="O76" s="43"/>
    </row>
    <row r="77" spans="1:15" x14ac:dyDescent="0.2">
      <c r="A77" s="181"/>
      <c r="B77" s="190"/>
      <c r="C77" s="191"/>
      <c r="D77" s="191"/>
      <c r="E77" s="191"/>
      <c r="F77" s="192"/>
      <c r="G77" s="194"/>
      <c r="H77" s="191"/>
      <c r="I77" s="191"/>
      <c r="J77" s="191"/>
      <c r="K77" s="41" t="s">
        <v>15</v>
      </c>
      <c r="L77" s="41"/>
      <c r="M77" s="41"/>
      <c r="N77" s="43"/>
      <c r="O77" s="43"/>
    </row>
    <row r="78" spans="1:15" x14ac:dyDescent="0.2">
      <c r="A78" s="181"/>
      <c r="B78" s="190"/>
      <c r="C78" s="191"/>
      <c r="D78" s="191"/>
      <c r="E78" s="191"/>
      <c r="F78" s="192"/>
      <c r="G78" s="194"/>
      <c r="H78" s="191"/>
      <c r="I78" s="191"/>
      <c r="J78" s="191"/>
      <c r="K78" s="41" t="s">
        <v>16</v>
      </c>
      <c r="L78" s="41"/>
      <c r="M78" s="41"/>
      <c r="N78" s="43"/>
      <c r="O78" s="43"/>
    </row>
    <row r="79" spans="1:15" x14ac:dyDescent="0.2">
      <c r="A79" s="181"/>
      <c r="B79" s="190"/>
      <c r="C79" s="191"/>
      <c r="D79" s="191"/>
      <c r="E79" s="191"/>
      <c r="F79" s="192"/>
      <c r="G79" s="194"/>
      <c r="H79" s="191"/>
      <c r="I79" s="191"/>
      <c r="J79" s="191"/>
      <c r="K79" s="41" t="s">
        <v>17</v>
      </c>
      <c r="L79" s="41"/>
      <c r="M79" s="41"/>
      <c r="N79" s="43"/>
      <c r="O79" s="43"/>
    </row>
    <row r="80" spans="1:15" x14ac:dyDescent="0.2">
      <c r="A80" s="181"/>
      <c r="B80" s="190"/>
      <c r="C80" s="191"/>
      <c r="D80" s="191"/>
      <c r="E80" s="191"/>
      <c r="F80" s="192"/>
      <c r="G80" s="194"/>
      <c r="H80" s="191"/>
      <c r="I80" s="191"/>
      <c r="J80" s="191"/>
      <c r="K80" s="41" t="s">
        <v>18</v>
      </c>
      <c r="L80" s="41"/>
      <c r="M80" s="41"/>
      <c r="N80" s="43"/>
      <c r="O80" s="43"/>
    </row>
    <row r="81" spans="1:19" ht="12" customHeight="1" x14ac:dyDescent="0.2">
      <c r="A81" s="181"/>
      <c r="B81" s="190"/>
      <c r="C81" s="191"/>
      <c r="D81" s="191"/>
      <c r="E81" s="191"/>
      <c r="F81" s="192"/>
      <c r="G81" s="195"/>
      <c r="H81" s="191"/>
      <c r="I81" s="191"/>
      <c r="J81" s="191"/>
      <c r="K81" s="41" t="s">
        <v>0</v>
      </c>
      <c r="L81" s="41"/>
      <c r="M81" s="41"/>
      <c r="N81" s="42"/>
      <c r="O81" s="42"/>
    </row>
    <row r="82" spans="1:19" x14ac:dyDescent="0.2">
      <c r="A82" s="181"/>
      <c r="B82" s="188" t="s">
        <v>48</v>
      </c>
      <c r="C82" s="189" t="s">
        <v>219</v>
      </c>
      <c r="D82" s="189" t="s">
        <v>53</v>
      </c>
      <c r="E82" s="189" t="s">
        <v>124</v>
      </c>
      <c r="F82" s="189" t="s">
        <v>83</v>
      </c>
      <c r="G82" s="203" t="s">
        <v>95</v>
      </c>
      <c r="H82" s="189"/>
      <c r="I82" s="189"/>
      <c r="J82" s="189" t="s">
        <v>235</v>
      </c>
      <c r="K82" s="34" t="s">
        <v>7</v>
      </c>
      <c r="L82" s="44"/>
      <c r="M82" s="44"/>
      <c r="N82" s="36"/>
      <c r="O82" s="36"/>
    </row>
    <row r="83" spans="1:19" x14ac:dyDescent="0.2">
      <c r="A83" s="181"/>
      <c r="B83" s="188"/>
      <c r="C83" s="189"/>
      <c r="D83" s="189"/>
      <c r="E83" s="189"/>
      <c r="F83" s="189"/>
      <c r="G83" s="204"/>
      <c r="H83" s="189"/>
      <c r="I83" s="189"/>
      <c r="J83" s="189"/>
      <c r="K83" s="34" t="s">
        <v>8</v>
      </c>
      <c r="L83" s="44"/>
      <c r="M83" s="44"/>
      <c r="N83" s="37"/>
      <c r="O83" s="37"/>
      <c r="P83" s="196"/>
      <c r="Q83" s="196"/>
      <c r="R83" s="196"/>
      <c r="S83" s="196"/>
    </row>
    <row r="84" spans="1:19" x14ac:dyDescent="0.2">
      <c r="A84" s="181"/>
      <c r="B84" s="188"/>
      <c r="C84" s="189"/>
      <c r="D84" s="189"/>
      <c r="E84" s="189"/>
      <c r="F84" s="189"/>
      <c r="G84" s="204"/>
      <c r="H84" s="189"/>
      <c r="I84" s="189"/>
      <c r="J84" s="189"/>
      <c r="K84" s="34" t="s">
        <v>9</v>
      </c>
      <c r="L84" s="45">
        <v>-0.5</v>
      </c>
      <c r="M84" s="44">
        <v>0</v>
      </c>
      <c r="N84" s="44">
        <v>0</v>
      </c>
      <c r="O84" s="37"/>
    </row>
    <row r="85" spans="1:19" x14ac:dyDescent="0.2">
      <c r="A85" s="181"/>
      <c r="B85" s="188"/>
      <c r="C85" s="189"/>
      <c r="D85" s="189"/>
      <c r="E85" s="189"/>
      <c r="F85" s="189"/>
      <c r="G85" s="204"/>
      <c r="H85" s="189"/>
      <c r="I85" s="189"/>
      <c r="J85" s="189"/>
      <c r="K85" s="34" t="s">
        <v>10</v>
      </c>
      <c r="L85" s="44"/>
      <c r="M85" s="44"/>
      <c r="N85" s="37"/>
      <c r="O85" s="37"/>
    </row>
    <row r="86" spans="1:19" x14ac:dyDescent="0.2">
      <c r="A86" s="181"/>
      <c r="B86" s="188"/>
      <c r="C86" s="189"/>
      <c r="D86" s="189"/>
      <c r="E86" s="189"/>
      <c r="F86" s="189"/>
      <c r="G86" s="204"/>
      <c r="H86" s="189"/>
      <c r="I86" s="189"/>
      <c r="J86" s="189"/>
      <c r="K86" s="34" t="s">
        <v>11</v>
      </c>
      <c r="L86" s="44"/>
      <c r="M86" s="44"/>
      <c r="N86" s="37"/>
      <c r="O86" s="37"/>
    </row>
    <row r="87" spans="1:19" x14ac:dyDescent="0.2">
      <c r="A87" s="181"/>
      <c r="B87" s="188"/>
      <c r="C87" s="189"/>
      <c r="D87" s="189"/>
      <c r="E87" s="189"/>
      <c r="F87" s="189"/>
      <c r="G87" s="204"/>
      <c r="H87" s="189"/>
      <c r="I87" s="189"/>
      <c r="J87" s="189"/>
      <c r="K87" s="34" t="s">
        <v>12</v>
      </c>
      <c r="L87" s="44">
        <v>1</v>
      </c>
      <c r="M87" s="44">
        <v>1.55</v>
      </c>
      <c r="N87" s="44">
        <v>1</v>
      </c>
      <c r="O87" s="37"/>
    </row>
    <row r="88" spans="1:19" x14ac:dyDescent="0.2">
      <c r="A88" s="181"/>
      <c r="B88" s="188"/>
      <c r="C88" s="189"/>
      <c r="D88" s="189"/>
      <c r="E88" s="189"/>
      <c r="F88" s="189"/>
      <c r="G88" s="204"/>
      <c r="H88" s="189"/>
      <c r="I88" s="189"/>
      <c r="J88" s="189"/>
      <c r="K88" s="34" t="s">
        <v>13</v>
      </c>
      <c r="L88" s="44"/>
      <c r="M88" s="44"/>
      <c r="N88" s="44"/>
      <c r="O88" s="37"/>
    </row>
    <row r="89" spans="1:19" x14ac:dyDescent="0.2">
      <c r="A89" s="181"/>
      <c r="B89" s="188"/>
      <c r="C89" s="189"/>
      <c r="D89" s="189"/>
      <c r="E89" s="189"/>
      <c r="F89" s="189"/>
      <c r="G89" s="204"/>
      <c r="H89" s="189"/>
      <c r="I89" s="189"/>
      <c r="J89" s="189"/>
      <c r="K89" s="34" t="s">
        <v>14</v>
      </c>
      <c r="L89" s="44"/>
      <c r="M89" s="44"/>
      <c r="N89" s="44"/>
      <c r="O89" s="37"/>
    </row>
    <row r="90" spans="1:19" x14ac:dyDescent="0.2">
      <c r="A90" s="181"/>
      <c r="B90" s="188"/>
      <c r="C90" s="189"/>
      <c r="D90" s="189"/>
      <c r="E90" s="189"/>
      <c r="F90" s="189"/>
      <c r="G90" s="204"/>
      <c r="H90" s="189"/>
      <c r="I90" s="189"/>
      <c r="J90" s="189"/>
      <c r="K90" s="34" t="s">
        <v>15</v>
      </c>
      <c r="L90" s="44">
        <v>1.08</v>
      </c>
      <c r="M90" s="44">
        <v>1.21</v>
      </c>
      <c r="N90" s="44">
        <v>1</v>
      </c>
      <c r="O90" s="37"/>
    </row>
    <row r="91" spans="1:19" x14ac:dyDescent="0.2">
      <c r="A91" s="181"/>
      <c r="B91" s="188"/>
      <c r="C91" s="189"/>
      <c r="D91" s="189"/>
      <c r="E91" s="189"/>
      <c r="F91" s="189"/>
      <c r="G91" s="204"/>
      <c r="H91" s="189"/>
      <c r="I91" s="189"/>
      <c r="J91" s="189"/>
      <c r="K91" s="34" t="s">
        <v>16</v>
      </c>
      <c r="L91" s="44"/>
      <c r="M91" s="44"/>
      <c r="N91" s="44"/>
      <c r="O91" s="37"/>
    </row>
    <row r="92" spans="1:19" x14ac:dyDescent="0.2">
      <c r="A92" s="181"/>
      <c r="B92" s="188"/>
      <c r="C92" s="189"/>
      <c r="D92" s="189"/>
      <c r="E92" s="189"/>
      <c r="F92" s="189"/>
      <c r="G92" s="204"/>
      <c r="H92" s="189"/>
      <c r="I92" s="189"/>
      <c r="J92" s="189"/>
      <c r="K92" s="34" t="s">
        <v>17</v>
      </c>
      <c r="L92" s="44"/>
      <c r="M92" s="44"/>
      <c r="N92" s="44"/>
      <c r="O92" s="37"/>
    </row>
    <row r="93" spans="1:19" x14ac:dyDescent="0.2">
      <c r="A93" s="181"/>
      <c r="B93" s="188"/>
      <c r="C93" s="189"/>
      <c r="D93" s="189"/>
      <c r="E93" s="189"/>
      <c r="F93" s="189"/>
      <c r="G93" s="204"/>
      <c r="H93" s="189"/>
      <c r="I93" s="189"/>
      <c r="J93" s="189"/>
      <c r="K93" s="34" t="s">
        <v>18</v>
      </c>
      <c r="L93" s="44">
        <v>1.63</v>
      </c>
      <c r="M93" s="44">
        <v>0.69</v>
      </c>
      <c r="N93" s="44">
        <v>1.67</v>
      </c>
      <c r="O93" s="37"/>
    </row>
    <row r="94" spans="1:19" x14ac:dyDescent="0.2">
      <c r="A94" s="181"/>
      <c r="B94" s="188"/>
      <c r="C94" s="189"/>
      <c r="D94" s="189"/>
      <c r="E94" s="189"/>
      <c r="F94" s="189"/>
      <c r="G94" s="205"/>
      <c r="H94" s="189"/>
      <c r="I94" s="189"/>
      <c r="J94" s="189"/>
      <c r="K94" s="34" t="s">
        <v>0</v>
      </c>
      <c r="L94" s="44">
        <v>1.21</v>
      </c>
      <c r="M94" s="44">
        <v>0.9</v>
      </c>
      <c r="N94" s="44">
        <v>1.27</v>
      </c>
      <c r="O94" s="36"/>
    </row>
    <row r="95" spans="1:19" ht="12.75" customHeight="1" x14ac:dyDescent="0.2">
      <c r="A95" s="181"/>
      <c r="B95" s="197" t="s">
        <v>48</v>
      </c>
      <c r="C95" s="193" t="s">
        <v>220</v>
      </c>
      <c r="D95" s="193" t="s">
        <v>54</v>
      </c>
      <c r="E95" s="193" t="s">
        <v>124</v>
      </c>
      <c r="F95" s="200" t="s">
        <v>83</v>
      </c>
      <c r="G95" s="193" t="s">
        <v>95</v>
      </c>
      <c r="H95" s="193"/>
      <c r="I95" s="193"/>
      <c r="J95" s="193"/>
      <c r="K95" s="41" t="s">
        <v>7</v>
      </c>
      <c r="L95" s="41"/>
      <c r="M95" s="41"/>
      <c r="N95" s="42"/>
      <c r="O95" s="42"/>
    </row>
    <row r="96" spans="1:19" x14ac:dyDescent="0.2">
      <c r="A96" s="181"/>
      <c r="B96" s="198"/>
      <c r="C96" s="194"/>
      <c r="D96" s="194"/>
      <c r="E96" s="194"/>
      <c r="F96" s="201"/>
      <c r="G96" s="194"/>
      <c r="H96" s="194"/>
      <c r="I96" s="194"/>
      <c r="J96" s="194"/>
      <c r="K96" s="41" t="s">
        <v>8</v>
      </c>
      <c r="L96" s="41"/>
      <c r="M96" s="47"/>
      <c r="N96" s="43"/>
      <c r="O96" s="43"/>
    </row>
    <row r="97" spans="1:15" x14ac:dyDescent="0.2">
      <c r="A97" s="181"/>
      <c r="B97" s="198"/>
      <c r="C97" s="194"/>
      <c r="D97" s="194"/>
      <c r="E97" s="194"/>
      <c r="F97" s="201"/>
      <c r="G97" s="194"/>
      <c r="H97" s="194"/>
      <c r="I97" s="194"/>
      <c r="J97" s="194"/>
      <c r="K97" s="41" t="s">
        <v>9</v>
      </c>
      <c r="L97" s="41"/>
      <c r="M97" s="41"/>
      <c r="N97" s="43"/>
      <c r="O97" s="43"/>
    </row>
    <row r="98" spans="1:15" x14ac:dyDescent="0.2">
      <c r="A98" s="181"/>
      <c r="B98" s="198"/>
      <c r="C98" s="194"/>
      <c r="D98" s="194"/>
      <c r="E98" s="194"/>
      <c r="F98" s="201"/>
      <c r="G98" s="194"/>
      <c r="H98" s="194"/>
      <c r="I98" s="194"/>
      <c r="J98" s="194"/>
      <c r="K98" s="41" t="s">
        <v>10</v>
      </c>
      <c r="L98" s="41"/>
      <c r="M98" s="41"/>
      <c r="N98" s="43"/>
      <c r="O98" s="43"/>
    </row>
    <row r="99" spans="1:15" x14ac:dyDescent="0.2">
      <c r="A99" s="181"/>
      <c r="B99" s="198"/>
      <c r="C99" s="194"/>
      <c r="D99" s="194"/>
      <c r="E99" s="194"/>
      <c r="F99" s="201"/>
      <c r="G99" s="194"/>
      <c r="H99" s="194"/>
      <c r="I99" s="194"/>
      <c r="J99" s="194"/>
      <c r="K99" s="41" t="s">
        <v>11</v>
      </c>
      <c r="L99" s="41"/>
      <c r="M99" s="41"/>
      <c r="N99" s="43"/>
      <c r="O99" s="43"/>
    </row>
    <row r="100" spans="1:15" x14ac:dyDescent="0.2">
      <c r="A100" s="181"/>
      <c r="B100" s="198"/>
      <c r="C100" s="194"/>
      <c r="D100" s="194"/>
      <c r="E100" s="194"/>
      <c r="F100" s="201"/>
      <c r="G100" s="194"/>
      <c r="H100" s="194"/>
      <c r="I100" s="194"/>
      <c r="J100" s="194"/>
      <c r="K100" s="41" t="s">
        <v>12</v>
      </c>
      <c r="L100" s="41"/>
      <c r="M100" s="41"/>
      <c r="N100" s="43"/>
      <c r="O100" s="43"/>
    </row>
    <row r="101" spans="1:15" x14ac:dyDescent="0.2">
      <c r="A101" s="181"/>
      <c r="B101" s="198"/>
      <c r="C101" s="194"/>
      <c r="D101" s="194"/>
      <c r="E101" s="194"/>
      <c r="F101" s="201"/>
      <c r="G101" s="194"/>
      <c r="H101" s="194"/>
      <c r="I101" s="194"/>
      <c r="J101" s="194"/>
      <c r="K101" s="41" t="s">
        <v>13</v>
      </c>
      <c r="L101" s="41"/>
      <c r="M101" s="41"/>
      <c r="N101" s="43"/>
      <c r="O101" s="43"/>
    </row>
    <row r="102" spans="1:15" x14ac:dyDescent="0.2">
      <c r="A102" s="181"/>
      <c r="B102" s="198"/>
      <c r="C102" s="194"/>
      <c r="D102" s="194"/>
      <c r="E102" s="194"/>
      <c r="F102" s="201"/>
      <c r="G102" s="194"/>
      <c r="H102" s="194"/>
      <c r="I102" s="194"/>
      <c r="J102" s="194"/>
      <c r="K102" s="41" t="s">
        <v>14</v>
      </c>
      <c r="L102" s="41"/>
      <c r="M102" s="41"/>
      <c r="N102" s="43"/>
      <c r="O102" s="43"/>
    </row>
    <row r="103" spans="1:15" x14ac:dyDescent="0.2">
      <c r="A103" s="181"/>
      <c r="B103" s="198"/>
      <c r="C103" s="194"/>
      <c r="D103" s="194"/>
      <c r="E103" s="194"/>
      <c r="F103" s="201"/>
      <c r="G103" s="194"/>
      <c r="H103" s="194"/>
      <c r="I103" s="194"/>
      <c r="J103" s="194"/>
      <c r="K103" s="41" t="s">
        <v>15</v>
      </c>
      <c r="L103" s="41"/>
      <c r="M103" s="41"/>
      <c r="N103" s="43"/>
      <c r="O103" s="43"/>
    </row>
    <row r="104" spans="1:15" x14ac:dyDescent="0.2">
      <c r="A104" s="181"/>
      <c r="B104" s="198"/>
      <c r="C104" s="194"/>
      <c r="D104" s="194"/>
      <c r="E104" s="194"/>
      <c r="F104" s="201"/>
      <c r="G104" s="194"/>
      <c r="H104" s="194"/>
      <c r="I104" s="194"/>
      <c r="J104" s="194"/>
      <c r="K104" s="41" t="s">
        <v>16</v>
      </c>
      <c r="L104" s="41"/>
      <c r="M104" s="41"/>
      <c r="N104" s="43"/>
      <c r="O104" s="43"/>
    </row>
    <row r="105" spans="1:15" x14ac:dyDescent="0.2">
      <c r="A105" s="181"/>
      <c r="B105" s="198"/>
      <c r="C105" s="194"/>
      <c r="D105" s="194"/>
      <c r="E105" s="194"/>
      <c r="F105" s="201"/>
      <c r="G105" s="194"/>
      <c r="H105" s="194"/>
      <c r="I105" s="194"/>
      <c r="J105" s="194"/>
      <c r="K105" s="41" t="s">
        <v>17</v>
      </c>
      <c r="L105" s="41"/>
      <c r="M105" s="41"/>
      <c r="N105" s="43"/>
      <c r="O105" s="43"/>
    </row>
    <row r="106" spans="1:15" x14ac:dyDescent="0.2">
      <c r="A106" s="181"/>
      <c r="B106" s="198"/>
      <c r="C106" s="194"/>
      <c r="D106" s="194"/>
      <c r="E106" s="194"/>
      <c r="F106" s="201"/>
      <c r="G106" s="194"/>
      <c r="H106" s="194"/>
      <c r="I106" s="194"/>
      <c r="J106" s="194"/>
      <c r="K106" s="41" t="s">
        <v>18</v>
      </c>
      <c r="L106" s="41"/>
      <c r="M106" s="41"/>
      <c r="N106" s="43"/>
      <c r="O106" s="43"/>
    </row>
    <row r="107" spans="1:15" ht="12.75" customHeight="1" x14ac:dyDescent="0.2">
      <c r="A107" s="181"/>
      <c r="B107" s="199"/>
      <c r="C107" s="195"/>
      <c r="D107" s="195"/>
      <c r="E107" s="195"/>
      <c r="F107" s="202"/>
      <c r="G107" s="195"/>
      <c r="H107" s="195"/>
      <c r="I107" s="195"/>
      <c r="J107" s="195"/>
      <c r="K107" s="41" t="s">
        <v>0</v>
      </c>
      <c r="L107" s="41"/>
      <c r="M107" s="41"/>
      <c r="N107" s="42"/>
      <c r="O107" s="42"/>
    </row>
    <row r="108" spans="1:15" ht="12.75" customHeight="1" x14ac:dyDescent="0.2">
      <c r="A108" s="181"/>
      <c r="B108" s="190" t="s">
        <v>48</v>
      </c>
      <c r="C108" s="191" t="s">
        <v>221</v>
      </c>
      <c r="D108" s="191" t="s">
        <v>125</v>
      </c>
      <c r="E108" s="191" t="s">
        <v>126</v>
      </c>
      <c r="F108" s="192" t="s">
        <v>83</v>
      </c>
      <c r="G108" s="191" t="s">
        <v>93</v>
      </c>
      <c r="H108" s="191"/>
      <c r="I108" s="191"/>
      <c r="J108" s="191"/>
      <c r="K108" s="41" t="s">
        <v>7</v>
      </c>
      <c r="L108" s="41"/>
      <c r="M108" s="41"/>
      <c r="N108" s="42"/>
      <c r="O108" s="42"/>
    </row>
    <row r="109" spans="1:15" x14ac:dyDescent="0.2">
      <c r="A109" s="181"/>
      <c r="B109" s="190"/>
      <c r="C109" s="191"/>
      <c r="D109" s="191"/>
      <c r="E109" s="191"/>
      <c r="F109" s="192"/>
      <c r="G109" s="191"/>
      <c r="H109" s="191"/>
      <c r="I109" s="191"/>
      <c r="J109" s="191"/>
      <c r="K109" s="41" t="s">
        <v>8</v>
      </c>
      <c r="L109" s="41"/>
      <c r="M109" s="41"/>
      <c r="N109" s="43"/>
      <c r="O109" s="43"/>
    </row>
    <row r="110" spans="1:15" x14ac:dyDescent="0.2">
      <c r="A110" s="181"/>
      <c r="B110" s="190"/>
      <c r="C110" s="191"/>
      <c r="D110" s="191"/>
      <c r="E110" s="191"/>
      <c r="F110" s="192"/>
      <c r="G110" s="191"/>
      <c r="H110" s="191"/>
      <c r="I110" s="191"/>
      <c r="J110" s="191"/>
      <c r="K110" s="41" t="s">
        <v>9</v>
      </c>
      <c r="L110" s="41"/>
      <c r="M110" s="41"/>
      <c r="N110" s="43"/>
      <c r="O110" s="43"/>
    </row>
    <row r="111" spans="1:15" x14ac:dyDescent="0.2">
      <c r="A111" s="181"/>
      <c r="B111" s="190"/>
      <c r="C111" s="191"/>
      <c r="D111" s="191"/>
      <c r="E111" s="191"/>
      <c r="F111" s="192"/>
      <c r="G111" s="191"/>
      <c r="H111" s="191"/>
      <c r="I111" s="191"/>
      <c r="J111" s="191"/>
      <c r="K111" s="41" t="s">
        <v>10</v>
      </c>
      <c r="L111" s="41"/>
      <c r="M111" s="41"/>
      <c r="N111" s="43"/>
      <c r="O111" s="43"/>
    </row>
    <row r="112" spans="1:15" x14ac:dyDescent="0.2">
      <c r="A112" s="181"/>
      <c r="B112" s="190"/>
      <c r="C112" s="191"/>
      <c r="D112" s="191"/>
      <c r="E112" s="191"/>
      <c r="F112" s="192"/>
      <c r="G112" s="191"/>
      <c r="H112" s="191"/>
      <c r="I112" s="191"/>
      <c r="J112" s="191"/>
      <c r="K112" s="41" t="s">
        <v>11</v>
      </c>
      <c r="L112" s="41"/>
      <c r="M112" s="41"/>
      <c r="N112" s="43"/>
      <c r="O112" s="43"/>
    </row>
    <row r="113" spans="1:15" x14ac:dyDescent="0.2">
      <c r="A113" s="181"/>
      <c r="B113" s="190"/>
      <c r="C113" s="191"/>
      <c r="D113" s="191"/>
      <c r="E113" s="191"/>
      <c r="F113" s="192"/>
      <c r="G113" s="191"/>
      <c r="H113" s="191"/>
      <c r="I113" s="191"/>
      <c r="J113" s="191"/>
      <c r="K113" s="41" t="s">
        <v>12</v>
      </c>
      <c r="L113" s="41"/>
      <c r="M113" s="41"/>
      <c r="N113" s="43"/>
      <c r="O113" s="43"/>
    </row>
    <row r="114" spans="1:15" x14ac:dyDescent="0.2">
      <c r="A114" s="181"/>
      <c r="B114" s="190"/>
      <c r="C114" s="191"/>
      <c r="D114" s="191"/>
      <c r="E114" s="191"/>
      <c r="F114" s="192"/>
      <c r="G114" s="191"/>
      <c r="H114" s="191"/>
      <c r="I114" s="191"/>
      <c r="J114" s="191"/>
      <c r="K114" s="41" t="s">
        <v>13</v>
      </c>
      <c r="L114" s="41"/>
      <c r="M114" s="41"/>
      <c r="N114" s="43"/>
      <c r="O114" s="43"/>
    </row>
    <row r="115" spans="1:15" x14ac:dyDescent="0.2">
      <c r="A115" s="181"/>
      <c r="B115" s="190"/>
      <c r="C115" s="191"/>
      <c r="D115" s="191"/>
      <c r="E115" s="191"/>
      <c r="F115" s="192"/>
      <c r="G115" s="191"/>
      <c r="H115" s="191"/>
      <c r="I115" s="191"/>
      <c r="J115" s="191"/>
      <c r="K115" s="41" t="s">
        <v>14</v>
      </c>
      <c r="L115" s="41"/>
      <c r="M115" s="41"/>
      <c r="N115" s="43"/>
      <c r="O115" s="43"/>
    </row>
    <row r="116" spans="1:15" x14ac:dyDescent="0.2">
      <c r="A116" s="181"/>
      <c r="B116" s="190"/>
      <c r="C116" s="191"/>
      <c r="D116" s="191"/>
      <c r="E116" s="191"/>
      <c r="F116" s="192"/>
      <c r="G116" s="191"/>
      <c r="H116" s="191"/>
      <c r="I116" s="191"/>
      <c r="J116" s="191"/>
      <c r="K116" s="41" t="s">
        <v>15</v>
      </c>
      <c r="L116" s="41"/>
      <c r="M116" s="41"/>
      <c r="N116" s="43"/>
      <c r="O116" s="43"/>
    </row>
    <row r="117" spans="1:15" x14ac:dyDescent="0.2">
      <c r="A117" s="181"/>
      <c r="B117" s="190"/>
      <c r="C117" s="191"/>
      <c r="D117" s="191"/>
      <c r="E117" s="191"/>
      <c r="F117" s="192"/>
      <c r="G117" s="191"/>
      <c r="H117" s="191"/>
      <c r="I117" s="191"/>
      <c r="J117" s="191"/>
      <c r="K117" s="41" t="s">
        <v>16</v>
      </c>
      <c r="L117" s="41"/>
      <c r="M117" s="41"/>
      <c r="N117" s="43"/>
      <c r="O117" s="43"/>
    </row>
    <row r="118" spans="1:15" x14ac:dyDescent="0.2">
      <c r="A118" s="181"/>
      <c r="B118" s="190"/>
      <c r="C118" s="191"/>
      <c r="D118" s="191"/>
      <c r="E118" s="191"/>
      <c r="F118" s="192"/>
      <c r="G118" s="191"/>
      <c r="H118" s="191"/>
      <c r="I118" s="191"/>
      <c r="J118" s="191"/>
      <c r="K118" s="41" t="s">
        <v>17</v>
      </c>
      <c r="L118" s="41"/>
      <c r="M118" s="41"/>
      <c r="N118" s="43"/>
      <c r="O118" s="43"/>
    </row>
    <row r="119" spans="1:15" x14ac:dyDescent="0.2">
      <c r="A119" s="181"/>
      <c r="B119" s="190"/>
      <c r="C119" s="191"/>
      <c r="D119" s="191"/>
      <c r="E119" s="191"/>
      <c r="F119" s="192"/>
      <c r="G119" s="191"/>
      <c r="H119" s="191"/>
      <c r="I119" s="191"/>
      <c r="J119" s="191"/>
      <c r="K119" s="41" t="s">
        <v>18</v>
      </c>
      <c r="L119" s="41"/>
      <c r="M119" s="41"/>
      <c r="N119" s="43"/>
      <c r="O119" s="43"/>
    </row>
    <row r="120" spans="1:15" x14ac:dyDescent="0.2">
      <c r="A120" s="181"/>
      <c r="B120" s="190"/>
      <c r="C120" s="191"/>
      <c r="D120" s="191"/>
      <c r="E120" s="191"/>
      <c r="F120" s="192"/>
      <c r="G120" s="191"/>
      <c r="H120" s="191"/>
      <c r="I120" s="191"/>
      <c r="J120" s="191"/>
      <c r="K120" s="41" t="s">
        <v>0</v>
      </c>
      <c r="L120" s="41"/>
      <c r="M120" s="41"/>
      <c r="N120" s="42"/>
      <c r="O120" s="42"/>
    </row>
    <row r="121" spans="1:15" ht="12.75" customHeight="1" x14ac:dyDescent="0.2">
      <c r="A121" s="181"/>
      <c r="B121" s="190" t="s">
        <v>48</v>
      </c>
      <c r="C121" s="191" t="s">
        <v>222</v>
      </c>
      <c r="D121" s="191" t="s">
        <v>55</v>
      </c>
      <c r="E121" s="191" t="s">
        <v>147</v>
      </c>
      <c r="F121" s="192" t="s">
        <v>88</v>
      </c>
      <c r="G121" s="193" t="s">
        <v>95</v>
      </c>
      <c r="H121" s="191"/>
      <c r="I121" s="191"/>
      <c r="J121" s="191"/>
      <c r="K121" s="41" t="s">
        <v>7</v>
      </c>
      <c r="L121" s="41"/>
      <c r="M121" s="41"/>
      <c r="N121" s="42"/>
      <c r="O121" s="42"/>
    </row>
    <row r="122" spans="1:15" x14ac:dyDescent="0.2">
      <c r="A122" s="181"/>
      <c r="B122" s="190"/>
      <c r="C122" s="191"/>
      <c r="D122" s="191"/>
      <c r="E122" s="191"/>
      <c r="F122" s="192"/>
      <c r="G122" s="194"/>
      <c r="H122" s="191"/>
      <c r="I122" s="191"/>
      <c r="J122" s="191"/>
      <c r="K122" s="41" t="s">
        <v>8</v>
      </c>
      <c r="L122" s="41"/>
      <c r="M122" s="41"/>
      <c r="N122" s="43"/>
      <c r="O122" s="43"/>
    </row>
    <row r="123" spans="1:15" x14ac:dyDescent="0.2">
      <c r="A123" s="181"/>
      <c r="B123" s="190"/>
      <c r="C123" s="191"/>
      <c r="D123" s="191"/>
      <c r="E123" s="191"/>
      <c r="F123" s="192"/>
      <c r="G123" s="194"/>
      <c r="H123" s="191"/>
      <c r="I123" s="191"/>
      <c r="J123" s="191"/>
      <c r="K123" s="41" t="s">
        <v>9</v>
      </c>
      <c r="L123" s="41"/>
      <c r="M123" s="41"/>
      <c r="N123" s="43"/>
      <c r="O123" s="43"/>
    </row>
    <row r="124" spans="1:15" x14ac:dyDescent="0.2">
      <c r="A124" s="181"/>
      <c r="B124" s="190"/>
      <c r="C124" s="191"/>
      <c r="D124" s="191"/>
      <c r="E124" s="191"/>
      <c r="F124" s="192"/>
      <c r="G124" s="194"/>
      <c r="H124" s="191"/>
      <c r="I124" s="191"/>
      <c r="J124" s="191"/>
      <c r="K124" s="41" t="s">
        <v>10</v>
      </c>
      <c r="L124" s="41"/>
      <c r="M124" s="41"/>
      <c r="N124" s="43"/>
      <c r="O124" s="43"/>
    </row>
    <row r="125" spans="1:15" x14ac:dyDescent="0.2">
      <c r="A125" s="181"/>
      <c r="B125" s="190"/>
      <c r="C125" s="191"/>
      <c r="D125" s="191"/>
      <c r="E125" s="191"/>
      <c r="F125" s="192"/>
      <c r="G125" s="194"/>
      <c r="H125" s="191"/>
      <c r="I125" s="191"/>
      <c r="J125" s="191"/>
      <c r="K125" s="41" t="s">
        <v>11</v>
      </c>
      <c r="L125" s="41"/>
      <c r="M125" s="41"/>
      <c r="N125" s="43"/>
      <c r="O125" s="43"/>
    </row>
    <row r="126" spans="1:15" x14ac:dyDescent="0.2">
      <c r="A126" s="181"/>
      <c r="B126" s="190"/>
      <c r="C126" s="191"/>
      <c r="D126" s="191"/>
      <c r="E126" s="191"/>
      <c r="F126" s="192"/>
      <c r="G126" s="194"/>
      <c r="H126" s="191"/>
      <c r="I126" s="191"/>
      <c r="J126" s="191"/>
      <c r="K126" s="41" t="s">
        <v>12</v>
      </c>
      <c r="L126" s="41"/>
      <c r="M126" s="41"/>
      <c r="N126" s="43"/>
      <c r="O126" s="43"/>
    </row>
    <row r="127" spans="1:15" x14ac:dyDescent="0.2">
      <c r="A127" s="181"/>
      <c r="B127" s="190"/>
      <c r="C127" s="191"/>
      <c r="D127" s="191"/>
      <c r="E127" s="191"/>
      <c r="F127" s="192"/>
      <c r="G127" s="194"/>
      <c r="H127" s="191"/>
      <c r="I127" s="191"/>
      <c r="J127" s="191"/>
      <c r="K127" s="41" t="s">
        <v>13</v>
      </c>
      <c r="L127" s="41"/>
      <c r="M127" s="41"/>
      <c r="N127" s="43"/>
      <c r="O127" s="43"/>
    </row>
    <row r="128" spans="1:15" x14ac:dyDescent="0.2">
      <c r="A128" s="181"/>
      <c r="B128" s="190"/>
      <c r="C128" s="191"/>
      <c r="D128" s="191"/>
      <c r="E128" s="191"/>
      <c r="F128" s="192"/>
      <c r="G128" s="194"/>
      <c r="H128" s="191"/>
      <c r="I128" s="191"/>
      <c r="J128" s="191"/>
      <c r="K128" s="41" t="s">
        <v>14</v>
      </c>
      <c r="L128" s="41"/>
      <c r="M128" s="41"/>
      <c r="N128" s="43"/>
      <c r="O128" s="43"/>
    </row>
    <row r="129" spans="1:15" x14ac:dyDescent="0.2">
      <c r="A129" s="181"/>
      <c r="B129" s="190"/>
      <c r="C129" s="191"/>
      <c r="D129" s="191"/>
      <c r="E129" s="191"/>
      <c r="F129" s="192"/>
      <c r="G129" s="194"/>
      <c r="H129" s="191"/>
      <c r="I129" s="191"/>
      <c r="J129" s="191"/>
      <c r="K129" s="41" t="s">
        <v>15</v>
      </c>
      <c r="L129" s="41"/>
      <c r="M129" s="41"/>
      <c r="N129" s="43"/>
      <c r="O129" s="43"/>
    </row>
    <row r="130" spans="1:15" x14ac:dyDescent="0.2">
      <c r="A130" s="181"/>
      <c r="B130" s="190"/>
      <c r="C130" s="191"/>
      <c r="D130" s="191"/>
      <c r="E130" s="191"/>
      <c r="F130" s="192"/>
      <c r="G130" s="194"/>
      <c r="H130" s="191"/>
      <c r="I130" s="191"/>
      <c r="J130" s="191"/>
      <c r="K130" s="41" t="s">
        <v>16</v>
      </c>
      <c r="L130" s="41"/>
      <c r="M130" s="41"/>
      <c r="N130" s="43"/>
      <c r="O130" s="43"/>
    </row>
    <row r="131" spans="1:15" x14ac:dyDescent="0.2">
      <c r="A131" s="181"/>
      <c r="B131" s="190"/>
      <c r="C131" s="191"/>
      <c r="D131" s="191"/>
      <c r="E131" s="191"/>
      <c r="F131" s="192"/>
      <c r="G131" s="194"/>
      <c r="H131" s="191"/>
      <c r="I131" s="191"/>
      <c r="J131" s="191"/>
      <c r="K131" s="41" t="s">
        <v>17</v>
      </c>
      <c r="L131" s="41"/>
      <c r="M131" s="41"/>
      <c r="N131" s="43"/>
      <c r="O131" s="43"/>
    </row>
    <row r="132" spans="1:15" x14ac:dyDescent="0.2">
      <c r="A132" s="181"/>
      <c r="B132" s="190"/>
      <c r="C132" s="191"/>
      <c r="D132" s="191"/>
      <c r="E132" s="191"/>
      <c r="F132" s="192"/>
      <c r="G132" s="194"/>
      <c r="H132" s="191"/>
      <c r="I132" s="191"/>
      <c r="J132" s="191"/>
      <c r="K132" s="41" t="s">
        <v>18</v>
      </c>
      <c r="L132" s="41"/>
      <c r="M132" s="41"/>
      <c r="N132" s="43"/>
      <c r="O132" s="43"/>
    </row>
    <row r="133" spans="1:15" x14ac:dyDescent="0.2">
      <c r="A133" s="181"/>
      <c r="B133" s="190"/>
      <c r="C133" s="191"/>
      <c r="D133" s="191"/>
      <c r="E133" s="191"/>
      <c r="F133" s="192"/>
      <c r="G133" s="195"/>
      <c r="H133" s="191"/>
      <c r="I133" s="191"/>
      <c r="J133" s="191"/>
      <c r="K133" s="41" t="s">
        <v>0</v>
      </c>
      <c r="L133" s="41"/>
      <c r="M133" s="41"/>
      <c r="N133" s="42"/>
      <c r="O133" s="42"/>
    </row>
    <row r="134" spans="1:15" ht="12.75" customHeight="1" x14ac:dyDescent="0.2">
      <c r="A134" s="181"/>
      <c r="B134" s="188" t="s">
        <v>56</v>
      </c>
      <c r="C134" s="189" t="s">
        <v>223</v>
      </c>
      <c r="D134" s="189" t="s">
        <v>138</v>
      </c>
      <c r="E134" s="189"/>
      <c r="F134" s="203" t="s">
        <v>87</v>
      </c>
      <c r="G134" s="189" t="s">
        <v>93</v>
      </c>
      <c r="H134" s="189"/>
      <c r="I134" s="189"/>
      <c r="J134" s="189"/>
      <c r="K134" s="34" t="s">
        <v>7</v>
      </c>
      <c r="L134" s="34"/>
      <c r="M134" s="34"/>
      <c r="N134" s="36"/>
      <c r="O134" s="36"/>
    </row>
    <row r="135" spans="1:15" x14ac:dyDescent="0.2">
      <c r="A135" s="181"/>
      <c r="B135" s="188"/>
      <c r="C135" s="189"/>
      <c r="D135" s="189"/>
      <c r="E135" s="189"/>
      <c r="F135" s="204"/>
      <c r="G135" s="189"/>
      <c r="H135" s="189"/>
      <c r="I135" s="189"/>
      <c r="J135" s="189"/>
      <c r="K135" s="34" t="s">
        <v>8</v>
      </c>
      <c r="L135" s="34"/>
      <c r="M135" s="34"/>
      <c r="N135" s="37"/>
      <c r="O135" s="37"/>
    </row>
    <row r="136" spans="1:15" x14ac:dyDescent="0.2">
      <c r="A136" s="181"/>
      <c r="B136" s="188"/>
      <c r="C136" s="189"/>
      <c r="D136" s="189"/>
      <c r="E136" s="189"/>
      <c r="F136" s="204"/>
      <c r="G136" s="189"/>
      <c r="H136" s="189"/>
      <c r="I136" s="189"/>
      <c r="J136" s="189"/>
      <c r="K136" s="34" t="s">
        <v>9</v>
      </c>
      <c r="L136" s="34"/>
      <c r="M136" s="34">
        <v>42</v>
      </c>
      <c r="N136" s="37"/>
      <c r="O136" s="37"/>
    </row>
    <row r="137" spans="1:15" x14ac:dyDescent="0.2">
      <c r="A137" s="181"/>
      <c r="B137" s="188"/>
      <c r="C137" s="189"/>
      <c r="D137" s="189"/>
      <c r="E137" s="189"/>
      <c r="F137" s="204"/>
      <c r="G137" s="189"/>
      <c r="H137" s="189"/>
      <c r="I137" s="189"/>
      <c r="J137" s="189"/>
      <c r="K137" s="34" t="s">
        <v>10</v>
      </c>
      <c r="L137" s="34"/>
      <c r="M137" s="34"/>
      <c r="N137" s="37"/>
      <c r="O137" s="37"/>
    </row>
    <row r="138" spans="1:15" x14ac:dyDescent="0.2">
      <c r="A138" s="181"/>
      <c r="B138" s="188"/>
      <c r="C138" s="189"/>
      <c r="D138" s="189"/>
      <c r="E138" s="189"/>
      <c r="F138" s="204"/>
      <c r="G138" s="189"/>
      <c r="H138" s="189"/>
      <c r="I138" s="189"/>
      <c r="J138" s="189"/>
      <c r="K138" s="34" t="s">
        <v>11</v>
      </c>
      <c r="L138" s="34"/>
      <c r="M138" s="34"/>
      <c r="N138" s="37"/>
      <c r="O138" s="37"/>
    </row>
    <row r="139" spans="1:15" x14ac:dyDescent="0.2">
      <c r="A139" s="181"/>
      <c r="B139" s="188"/>
      <c r="C139" s="189"/>
      <c r="D139" s="189"/>
      <c r="E139" s="189"/>
      <c r="F139" s="204"/>
      <c r="G139" s="189"/>
      <c r="H139" s="189"/>
      <c r="I139" s="189"/>
      <c r="J139" s="189"/>
      <c r="K139" s="34" t="s">
        <v>12</v>
      </c>
      <c r="L139" s="34"/>
      <c r="M139" s="34">
        <v>42</v>
      </c>
      <c r="N139" s="37"/>
      <c r="O139" s="37"/>
    </row>
    <row r="140" spans="1:15" x14ac:dyDescent="0.2">
      <c r="A140" s="181"/>
      <c r="B140" s="188"/>
      <c r="C140" s="189"/>
      <c r="D140" s="189"/>
      <c r="E140" s="189"/>
      <c r="F140" s="204"/>
      <c r="G140" s="189"/>
      <c r="H140" s="189"/>
      <c r="I140" s="189"/>
      <c r="J140" s="189"/>
      <c r="K140" s="34" t="s">
        <v>13</v>
      </c>
      <c r="L140" s="34"/>
      <c r="M140" s="34"/>
      <c r="N140" s="37"/>
      <c r="O140" s="37"/>
    </row>
    <row r="141" spans="1:15" x14ac:dyDescent="0.2">
      <c r="A141" s="181"/>
      <c r="B141" s="188"/>
      <c r="C141" s="189"/>
      <c r="D141" s="189"/>
      <c r="E141" s="189"/>
      <c r="F141" s="204"/>
      <c r="G141" s="189"/>
      <c r="H141" s="189"/>
      <c r="I141" s="189"/>
      <c r="J141" s="189"/>
      <c r="K141" s="34" t="s">
        <v>14</v>
      </c>
      <c r="L141" s="34"/>
      <c r="M141" s="34"/>
      <c r="N141" s="37"/>
      <c r="O141" s="37"/>
    </row>
    <row r="142" spans="1:15" x14ac:dyDescent="0.2">
      <c r="A142" s="181"/>
      <c r="B142" s="188"/>
      <c r="C142" s="189"/>
      <c r="D142" s="189"/>
      <c r="E142" s="189"/>
      <c r="F142" s="204"/>
      <c r="G142" s="189"/>
      <c r="H142" s="189"/>
      <c r="I142" s="189"/>
      <c r="J142" s="189"/>
      <c r="K142" s="34" t="s">
        <v>15</v>
      </c>
      <c r="L142" s="34"/>
      <c r="M142" s="34">
        <v>42</v>
      </c>
      <c r="N142" s="37"/>
      <c r="O142" s="37"/>
    </row>
    <row r="143" spans="1:15" x14ac:dyDescent="0.2">
      <c r="A143" s="181"/>
      <c r="B143" s="188"/>
      <c r="C143" s="189"/>
      <c r="D143" s="189"/>
      <c r="E143" s="189"/>
      <c r="F143" s="204"/>
      <c r="G143" s="189"/>
      <c r="H143" s="189"/>
      <c r="I143" s="189"/>
      <c r="J143" s="189"/>
      <c r="K143" s="34" t="s">
        <v>16</v>
      </c>
      <c r="L143" s="34"/>
      <c r="M143" s="34"/>
      <c r="N143" s="37"/>
      <c r="O143" s="37"/>
    </row>
    <row r="144" spans="1:15" x14ac:dyDescent="0.2">
      <c r="A144" s="181"/>
      <c r="B144" s="188"/>
      <c r="C144" s="189"/>
      <c r="D144" s="189"/>
      <c r="E144" s="189"/>
      <c r="F144" s="204"/>
      <c r="G144" s="189"/>
      <c r="H144" s="189"/>
      <c r="I144" s="189"/>
      <c r="J144" s="189"/>
      <c r="K144" s="34" t="s">
        <v>17</v>
      </c>
      <c r="L144" s="34"/>
      <c r="M144" s="34"/>
      <c r="N144" s="37"/>
      <c r="O144" s="37"/>
    </row>
    <row r="145" spans="1:15" x14ac:dyDescent="0.2">
      <c r="A145" s="181"/>
      <c r="B145" s="188"/>
      <c r="C145" s="189"/>
      <c r="D145" s="189"/>
      <c r="E145" s="189"/>
      <c r="F145" s="204"/>
      <c r="G145" s="189"/>
      <c r="H145" s="189"/>
      <c r="I145" s="189"/>
      <c r="J145" s="189"/>
      <c r="K145" s="34" t="s">
        <v>18</v>
      </c>
      <c r="L145" s="34"/>
      <c r="M145" s="34">
        <v>42</v>
      </c>
      <c r="N145" s="37"/>
      <c r="O145" s="37"/>
    </row>
    <row r="146" spans="1:15" x14ac:dyDescent="0.2">
      <c r="A146" s="181"/>
      <c r="B146" s="188"/>
      <c r="C146" s="189"/>
      <c r="D146" s="189"/>
      <c r="E146" s="189"/>
      <c r="F146" s="205"/>
      <c r="G146" s="189"/>
      <c r="H146" s="189"/>
      <c r="I146" s="189"/>
      <c r="J146" s="189"/>
      <c r="K146" s="34" t="s">
        <v>0</v>
      </c>
      <c r="L146" s="34"/>
      <c r="M146" s="34">
        <f>(M136+M139+M142+M145)/4</f>
        <v>42</v>
      </c>
      <c r="N146" s="34">
        <f>(N136+N139+N142+N145)/4</f>
        <v>0</v>
      </c>
      <c r="O146" s="36"/>
    </row>
    <row r="147" spans="1:15" ht="12.75" customHeight="1" x14ac:dyDescent="0.2">
      <c r="A147" s="181"/>
      <c r="B147" s="190" t="s">
        <v>56</v>
      </c>
      <c r="C147" s="191" t="s">
        <v>158</v>
      </c>
      <c r="D147" s="191" t="s">
        <v>138</v>
      </c>
      <c r="E147" s="191"/>
      <c r="F147" s="200" t="s">
        <v>87</v>
      </c>
      <c r="G147" s="191" t="s">
        <v>93</v>
      </c>
      <c r="H147" s="191"/>
      <c r="I147" s="191"/>
      <c r="J147" s="191"/>
      <c r="K147" s="41" t="s">
        <v>7</v>
      </c>
      <c r="L147" s="41"/>
      <c r="M147" s="41"/>
      <c r="N147" s="42"/>
      <c r="O147" s="42"/>
    </row>
    <row r="148" spans="1:15" x14ac:dyDescent="0.2">
      <c r="A148" s="181"/>
      <c r="B148" s="190"/>
      <c r="C148" s="191"/>
      <c r="D148" s="191"/>
      <c r="E148" s="191"/>
      <c r="F148" s="201"/>
      <c r="G148" s="191"/>
      <c r="H148" s="191"/>
      <c r="I148" s="191"/>
      <c r="J148" s="191"/>
      <c r="K148" s="41" t="s">
        <v>8</v>
      </c>
      <c r="L148" s="41"/>
      <c r="M148" s="41"/>
      <c r="N148" s="43"/>
      <c r="O148" s="43"/>
    </row>
    <row r="149" spans="1:15" x14ac:dyDescent="0.2">
      <c r="A149" s="181"/>
      <c r="B149" s="190"/>
      <c r="C149" s="191"/>
      <c r="D149" s="191"/>
      <c r="E149" s="191"/>
      <c r="F149" s="201"/>
      <c r="G149" s="191"/>
      <c r="H149" s="191"/>
      <c r="I149" s="191"/>
      <c r="J149" s="191"/>
      <c r="K149" s="41" t="s">
        <v>9</v>
      </c>
      <c r="L149" s="41"/>
      <c r="M149" s="41"/>
      <c r="N149" s="43"/>
      <c r="O149" s="43"/>
    </row>
    <row r="150" spans="1:15" x14ac:dyDescent="0.2">
      <c r="A150" s="181"/>
      <c r="B150" s="190"/>
      <c r="C150" s="191"/>
      <c r="D150" s="191"/>
      <c r="E150" s="191"/>
      <c r="F150" s="201"/>
      <c r="G150" s="191"/>
      <c r="H150" s="191"/>
      <c r="I150" s="191"/>
      <c r="J150" s="191"/>
      <c r="K150" s="41" t="s">
        <v>10</v>
      </c>
      <c r="L150" s="41"/>
      <c r="M150" s="41"/>
      <c r="N150" s="43"/>
      <c r="O150" s="43"/>
    </row>
    <row r="151" spans="1:15" x14ac:dyDescent="0.2">
      <c r="A151" s="181"/>
      <c r="B151" s="190"/>
      <c r="C151" s="191"/>
      <c r="D151" s="191"/>
      <c r="E151" s="191"/>
      <c r="F151" s="201"/>
      <c r="G151" s="191"/>
      <c r="H151" s="191"/>
      <c r="I151" s="191"/>
      <c r="J151" s="191"/>
      <c r="K151" s="41" t="s">
        <v>11</v>
      </c>
      <c r="L151" s="41"/>
      <c r="M151" s="41"/>
      <c r="N151" s="43"/>
      <c r="O151" s="43"/>
    </row>
    <row r="152" spans="1:15" x14ac:dyDescent="0.2">
      <c r="A152" s="181"/>
      <c r="B152" s="190"/>
      <c r="C152" s="191"/>
      <c r="D152" s="191"/>
      <c r="E152" s="191"/>
      <c r="F152" s="201"/>
      <c r="G152" s="191"/>
      <c r="H152" s="191"/>
      <c r="I152" s="191"/>
      <c r="J152" s="191"/>
      <c r="K152" s="41" t="s">
        <v>12</v>
      </c>
      <c r="L152" s="41"/>
      <c r="M152" s="41"/>
      <c r="N152" s="43"/>
      <c r="O152" s="43"/>
    </row>
    <row r="153" spans="1:15" x14ac:dyDescent="0.2">
      <c r="A153" s="181"/>
      <c r="B153" s="190"/>
      <c r="C153" s="191"/>
      <c r="D153" s="191"/>
      <c r="E153" s="191"/>
      <c r="F153" s="201"/>
      <c r="G153" s="191"/>
      <c r="H153" s="191"/>
      <c r="I153" s="191"/>
      <c r="J153" s="191"/>
      <c r="K153" s="41" t="s">
        <v>13</v>
      </c>
      <c r="L153" s="41"/>
      <c r="M153" s="41"/>
      <c r="N153" s="43"/>
      <c r="O153" s="43"/>
    </row>
    <row r="154" spans="1:15" x14ac:dyDescent="0.2">
      <c r="A154" s="181"/>
      <c r="B154" s="190"/>
      <c r="C154" s="191"/>
      <c r="D154" s="191"/>
      <c r="E154" s="191"/>
      <c r="F154" s="201"/>
      <c r="G154" s="191"/>
      <c r="H154" s="191"/>
      <c r="I154" s="191"/>
      <c r="J154" s="191"/>
      <c r="K154" s="41" t="s">
        <v>14</v>
      </c>
      <c r="L154" s="41"/>
      <c r="M154" s="41"/>
      <c r="N154" s="43"/>
      <c r="O154" s="43"/>
    </row>
    <row r="155" spans="1:15" x14ac:dyDescent="0.2">
      <c r="A155" s="181"/>
      <c r="B155" s="190"/>
      <c r="C155" s="191"/>
      <c r="D155" s="191"/>
      <c r="E155" s="191"/>
      <c r="F155" s="201"/>
      <c r="G155" s="191"/>
      <c r="H155" s="191"/>
      <c r="I155" s="191"/>
      <c r="J155" s="191"/>
      <c r="K155" s="41" t="s">
        <v>15</v>
      </c>
      <c r="L155" s="41"/>
      <c r="M155" s="41"/>
      <c r="N155" s="43"/>
      <c r="O155" s="43"/>
    </row>
    <row r="156" spans="1:15" x14ac:dyDescent="0.2">
      <c r="A156" s="181"/>
      <c r="B156" s="190"/>
      <c r="C156" s="191"/>
      <c r="D156" s="191"/>
      <c r="E156" s="191"/>
      <c r="F156" s="201"/>
      <c r="G156" s="191"/>
      <c r="H156" s="191"/>
      <c r="I156" s="191"/>
      <c r="J156" s="191"/>
      <c r="K156" s="41" t="s">
        <v>16</v>
      </c>
      <c r="L156" s="41"/>
      <c r="M156" s="41"/>
      <c r="N156" s="43"/>
      <c r="O156" s="43"/>
    </row>
    <row r="157" spans="1:15" x14ac:dyDescent="0.2">
      <c r="A157" s="181"/>
      <c r="B157" s="190"/>
      <c r="C157" s="191"/>
      <c r="D157" s="191"/>
      <c r="E157" s="191"/>
      <c r="F157" s="201"/>
      <c r="G157" s="191"/>
      <c r="H157" s="191"/>
      <c r="I157" s="191"/>
      <c r="J157" s="191"/>
      <c r="K157" s="41" t="s">
        <v>17</v>
      </c>
      <c r="L157" s="41"/>
      <c r="M157" s="41"/>
      <c r="N157" s="43"/>
      <c r="O157" s="43"/>
    </row>
    <row r="158" spans="1:15" x14ac:dyDescent="0.2">
      <c r="A158" s="181"/>
      <c r="B158" s="190"/>
      <c r="C158" s="191"/>
      <c r="D158" s="191"/>
      <c r="E158" s="191"/>
      <c r="F158" s="201"/>
      <c r="G158" s="191"/>
      <c r="H158" s="191"/>
      <c r="I158" s="191"/>
      <c r="J158" s="191"/>
      <c r="K158" s="41" t="s">
        <v>18</v>
      </c>
      <c r="L158" s="41"/>
      <c r="M158" s="41"/>
      <c r="N158" s="43"/>
      <c r="O158" s="43"/>
    </row>
    <row r="159" spans="1:15" x14ac:dyDescent="0.2">
      <c r="A159" s="181"/>
      <c r="B159" s="190"/>
      <c r="C159" s="191"/>
      <c r="D159" s="191"/>
      <c r="E159" s="191"/>
      <c r="F159" s="202"/>
      <c r="G159" s="191"/>
      <c r="H159" s="191"/>
      <c r="I159" s="191"/>
      <c r="J159" s="191"/>
      <c r="K159" s="41" t="s">
        <v>0</v>
      </c>
      <c r="L159" s="41"/>
      <c r="M159" s="41"/>
      <c r="N159" s="42"/>
      <c r="O159" s="42"/>
    </row>
    <row r="160" spans="1:15" ht="12.75" customHeight="1" x14ac:dyDescent="0.2">
      <c r="A160" s="181"/>
      <c r="B160" s="188" t="s">
        <v>56</v>
      </c>
      <c r="C160" s="189" t="s">
        <v>224</v>
      </c>
      <c r="D160" s="189" t="s">
        <v>57</v>
      </c>
      <c r="E160" s="189" t="s">
        <v>127</v>
      </c>
      <c r="F160" s="189" t="s">
        <v>83</v>
      </c>
      <c r="G160" s="189" t="s">
        <v>93</v>
      </c>
      <c r="H160" s="189"/>
      <c r="I160" s="189"/>
      <c r="J160" s="189" t="s">
        <v>234</v>
      </c>
      <c r="K160" s="34" t="s">
        <v>7</v>
      </c>
      <c r="L160" s="34"/>
      <c r="M160" s="44">
        <f>228751/256241</f>
        <v>0.89271818327277841</v>
      </c>
      <c r="N160" s="46">
        <v>1.41</v>
      </c>
      <c r="O160" s="36"/>
    </row>
    <row r="161" spans="1:15" x14ac:dyDescent="0.2">
      <c r="A161" s="181"/>
      <c r="B161" s="188"/>
      <c r="C161" s="189"/>
      <c r="D161" s="189"/>
      <c r="E161" s="189"/>
      <c r="F161" s="189"/>
      <c r="G161" s="189"/>
      <c r="H161" s="189"/>
      <c r="I161" s="189"/>
      <c r="J161" s="189"/>
      <c r="K161" s="34" t="s">
        <v>8</v>
      </c>
      <c r="L161" s="34"/>
      <c r="M161" s="44">
        <f>187781/287729</f>
        <v>0.65263146919497161</v>
      </c>
      <c r="N161" s="46">
        <v>1.37</v>
      </c>
      <c r="O161" s="37"/>
    </row>
    <row r="162" spans="1:15" x14ac:dyDescent="0.2">
      <c r="A162" s="181"/>
      <c r="B162" s="188"/>
      <c r="C162" s="189"/>
      <c r="D162" s="189"/>
      <c r="E162" s="189"/>
      <c r="F162" s="189"/>
      <c r="G162" s="189"/>
      <c r="H162" s="189"/>
      <c r="I162" s="189"/>
      <c r="J162" s="189"/>
      <c r="K162" s="34" t="s">
        <v>9</v>
      </c>
      <c r="L162" s="34"/>
      <c r="M162" s="44">
        <f>230861/356816</f>
        <v>0.64700293708802292</v>
      </c>
      <c r="N162" s="46">
        <v>1.49</v>
      </c>
      <c r="O162" s="37"/>
    </row>
    <row r="163" spans="1:15" x14ac:dyDescent="0.2">
      <c r="A163" s="181"/>
      <c r="B163" s="188"/>
      <c r="C163" s="189"/>
      <c r="D163" s="189"/>
      <c r="E163" s="189"/>
      <c r="F163" s="189"/>
      <c r="G163" s="189"/>
      <c r="H163" s="189"/>
      <c r="I163" s="189"/>
      <c r="J163" s="189"/>
      <c r="K163" s="34" t="s">
        <v>10</v>
      </c>
      <c r="L163" s="34"/>
      <c r="M163" s="44">
        <f>326433/487950</f>
        <v>0.66898862588379959</v>
      </c>
      <c r="N163" s="46">
        <v>1.49</v>
      </c>
      <c r="O163" s="37"/>
    </row>
    <row r="164" spans="1:15" x14ac:dyDescent="0.2">
      <c r="A164" s="181"/>
      <c r="B164" s="188"/>
      <c r="C164" s="189"/>
      <c r="D164" s="189"/>
      <c r="E164" s="189"/>
      <c r="F164" s="189"/>
      <c r="G164" s="189"/>
      <c r="H164" s="189"/>
      <c r="I164" s="189"/>
      <c r="J164" s="189"/>
      <c r="K164" s="34" t="s">
        <v>11</v>
      </c>
      <c r="L164" s="34"/>
      <c r="M164" s="44">
        <f>417522/340345</f>
        <v>1.2267610806681455</v>
      </c>
      <c r="N164" s="46">
        <v>1.04</v>
      </c>
      <c r="O164" s="37"/>
    </row>
    <row r="165" spans="1:15" x14ac:dyDescent="0.2">
      <c r="A165" s="181"/>
      <c r="B165" s="188"/>
      <c r="C165" s="189"/>
      <c r="D165" s="189"/>
      <c r="E165" s="189"/>
      <c r="F165" s="189"/>
      <c r="G165" s="189"/>
      <c r="H165" s="189"/>
      <c r="I165" s="189"/>
      <c r="J165" s="189"/>
      <c r="K165" s="34" t="s">
        <v>12</v>
      </c>
      <c r="L165" s="34"/>
      <c r="M165" s="44">
        <f>277202/392456</f>
        <v>0.70632631428746151</v>
      </c>
      <c r="N165" s="46">
        <v>1.1100000000000001</v>
      </c>
      <c r="O165" s="37"/>
    </row>
    <row r="166" spans="1:15" x14ac:dyDescent="0.2">
      <c r="A166" s="181"/>
      <c r="B166" s="188"/>
      <c r="C166" s="189"/>
      <c r="D166" s="189"/>
      <c r="E166" s="189"/>
      <c r="F166" s="189"/>
      <c r="G166" s="189"/>
      <c r="H166" s="189"/>
      <c r="I166" s="189"/>
      <c r="J166" s="189"/>
      <c r="K166" s="34" t="s">
        <v>13</v>
      </c>
      <c r="L166" s="34"/>
      <c r="M166" s="44">
        <f>269800/226448</f>
        <v>1.1914435102098495</v>
      </c>
      <c r="N166" s="46">
        <v>1.07</v>
      </c>
      <c r="O166" s="37"/>
    </row>
    <row r="167" spans="1:15" x14ac:dyDescent="0.2">
      <c r="A167" s="181"/>
      <c r="B167" s="188"/>
      <c r="C167" s="189"/>
      <c r="D167" s="189"/>
      <c r="E167" s="189"/>
      <c r="F167" s="189"/>
      <c r="G167" s="189"/>
      <c r="H167" s="189"/>
      <c r="I167" s="189"/>
      <c r="J167" s="189"/>
      <c r="K167" s="34" t="s">
        <v>14</v>
      </c>
      <c r="L167" s="34"/>
      <c r="M167" s="44">
        <f>178552/174226</f>
        <v>1.0248298187411753</v>
      </c>
      <c r="N167" s="46">
        <v>1.02</v>
      </c>
      <c r="O167" s="37"/>
    </row>
    <row r="168" spans="1:15" x14ac:dyDescent="0.2">
      <c r="A168" s="181"/>
      <c r="B168" s="188"/>
      <c r="C168" s="189"/>
      <c r="D168" s="189"/>
      <c r="E168" s="189"/>
      <c r="F168" s="189"/>
      <c r="G168" s="189"/>
      <c r="H168" s="189"/>
      <c r="I168" s="189"/>
      <c r="J168" s="189"/>
      <c r="K168" s="34" t="s">
        <v>15</v>
      </c>
      <c r="L168" s="34"/>
      <c r="M168" s="44">
        <f>317352/504086</f>
        <v>0.62955924187539425</v>
      </c>
      <c r="N168" s="46">
        <v>1.21</v>
      </c>
      <c r="O168" s="37"/>
    </row>
    <row r="169" spans="1:15" x14ac:dyDescent="0.2">
      <c r="A169" s="181"/>
      <c r="B169" s="188"/>
      <c r="C169" s="189"/>
      <c r="D169" s="189"/>
      <c r="E169" s="189"/>
      <c r="F169" s="189"/>
      <c r="G169" s="189"/>
      <c r="H169" s="189"/>
      <c r="I169" s="189"/>
      <c r="J169" s="189"/>
      <c r="K169" s="34" t="s">
        <v>16</v>
      </c>
      <c r="L169" s="34"/>
      <c r="M169" s="44">
        <f>301006/351067</f>
        <v>0.8574032876915233</v>
      </c>
      <c r="N169" s="46">
        <v>1.55</v>
      </c>
      <c r="O169" s="37"/>
    </row>
    <row r="170" spans="1:15" x14ac:dyDescent="0.2">
      <c r="A170" s="181"/>
      <c r="B170" s="188"/>
      <c r="C170" s="189"/>
      <c r="D170" s="189"/>
      <c r="E170" s="189"/>
      <c r="F170" s="189"/>
      <c r="G170" s="189"/>
      <c r="H170" s="189"/>
      <c r="I170" s="189"/>
      <c r="J170" s="189"/>
      <c r="K170" s="34" t="s">
        <v>17</v>
      </c>
      <c r="L170" s="34"/>
      <c r="M170" s="44">
        <f>1018460/774479</f>
        <v>1.3150259722987969</v>
      </c>
      <c r="N170" s="46">
        <v>0.98</v>
      </c>
      <c r="O170" s="37"/>
    </row>
    <row r="171" spans="1:15" x14ac:dyDescent="0.2">
      <c r="A171" s="181"/>
      <c r="B171" s="188"/>
      <c r="C171" s="189"/>
      <c r="D171" s="189"/>
      <c r="E171" s="189"/>
      <c r="F171" s="189"/>
      <c r="G171" s="189"/>
      <c r="H171" s="189"/>
      <c r="I171" s="189"/>
      <c r="J171" s="189"/>
      <c r="K171" s="34" t="s">
        <v>18</v>
      </c>
      <c r="L171" s="34"/>
      <c r="M171" s="44">
        <f>450000/694855</f>
        <v>0.64761712875348099</v>
      </c>
      <c r="N171" s="46">
        <v>1.07</v>
      </c>
      <c r="O171" s="37"/>
    </row>
    <row r="172" spans="1:15" x14ac:dyDescent="0.2">
      <c r="A172" s="182"/>
      <c r="B172" s="188"/>
      <c r="C172" s="189"/>
      <c r="D172" s="189"/>
      <c r="E172" s="189"/>
      <c r="F172" s="189"/>
      <c r="G172" s="189"/>
      <c r="H172" s="189"/>
      <c r="I172" s="189"/>
      <c r="J172" s="189"/>
      <c r="K172" s="34" t="s">
        <v>0</v>
      </c>
      <c r="L172" s="34"/>
      <c r="M172" s="44">
        <v>0.85</v>
      </c>
      <c r="N172" s="46">
        <v>1.18</v>
      </c>
      <c r="O172" s="36"/>
    </row>
    <row r="173" spans="1:15" x14ac:dyDescent="0.2">
      <c r="B173" s="190" t="s">
        <v>56</v>
      </c>
      <c r="C173" s="191" t="s">
        <v>225</v>
      </c>
      <c r="D173" s="191" t="s">
        <v>236</v>
      </c>
      <c r="E173" s="191"/>
      <c r="F173" s="192" t="s">
        <v>83</v>
      </c>
      <c r="G173" s="191" t="s">
        <v>93</v>
      </c>
      <c r="H173" s="191"/>
      <c r="I173" s="191"/>
      <c r="J173" s="191"/>
      <c r="K173" s="41" t="s">
        <v>7</v>
      </c>
      <c r="L173" s="47">
        <v>0.37</v>
      </c>
      <c r="M173" s="47">
        <v>0.24</v>
      </c>
      <c r="N173" s="42"/>
      <c r="O173" s="42"/>
    </row>
    <row r="174" spans="1:15" x14ac:dyDescent="0.2">
      <c r="B174" s="190"/>
      <c r="C174" s="191"/>
      <c r="D174" s="191"/>
      <c r="E174" s="191"/>
      <c r="F174" s="192"/>
      <c r="G174" s="191"/>
      <c r="H174" s="191"/>
      <c r="I174" s="191"/>
      <c r="J174" s="191"/>
      <c r="K174" s="41" t="s">
        <v>8</v>
      </c>
      <c r="L174" s="47">
        <v>0.31</v>
      </c>
      <c r="M174" s="47">
        <v>0.21</v>
      </c>
      <c r="N174" s="43"/>
      <c r="O174" s="43"/>
    </row>
    <row r="175" spans="1:15" x14ac:dyDescent="0.2">
      <c r="B175" s="190"/>
      <c r="C175" s="191"/>
      <c r="D175" s="191"/>
      <c r="E175" s="191"/>
      <c r="F175" s="192"/>
      <c r="G175" s="191"/>
      <c r="H175" s="191"/>
      <c r="I175" s="191"/>
      <c r="J175" s="191"/>
      <c r="K175" s="41" t="s">
        <v>9</v>
      </c>
      <c r="L175" s="47">
        <v>0.41</v>
      </c>
      <c r="M175" s="47">
        <v>0.43</v>
      </c>
      <c r="N175" s="43"/>
      <c r="O175" s="43"/>
    </row>
    <row r="176" spans="1:15" x14ac:dyDescent="0.2">
      <c r="B176" s="190"/>
      <c r="C176" s="191"/>
      <c r="D176" s="191"/>
      <c r="E176" s="191"/>
      <c r="F176" s="192"/>
      <c r="G176" s="191"/>
      <c r="H176" s="191"/>
      <c r="I176" s="191"/>
      <c r="J176" s="191"/>
      <c r="K176" s="41" t="s">
        <v>10</v>
      </c>
      <c r="L176" s="47">
        <v>0.62</v>
      </c>
      <c r="M176" s="47">
        <v>0.47</v>
      </c>
      <c r="N176" s="43"/>
      <c r="O176" s="43"/>
    </row>
    <row r="177" spans="2:15" x14ac:dyDescent="0.2">
      <c r="B177" s="190"/>
      <c r="C177" s="191"/>
      <c r="D177" s="191"/>
      <c r="E177" s="191"/>
      <c r="F177" s="192"/>
      <c r="G177" s="191"/>
      <c r="H177" s="191"/>
      <c r="I177" s="191"/>
      <c r="J177" s="191"/>
      <c r="K177" s="41" t="s">
        <v>11</v>
      </c>
      <c r="L177" s="47">
        <v>0.49</v>
      </c>
      <c r="M177" s="47">
        <v>0.83</v>
      </c>
      <c r="N177" s="43"/>
      <c r="O177" s="43"/>
    </row>
    <row r="178" spans="2:15" x14ac:dyDescent="0.2">
      <c r="B178" s="190"/>
      <c r="C178" s="191"/>
      <c r="D178" s="191"/>
      <c r="E178" s="191"/>
      <c r="F178" s="192"/>
      <c r="G178" s="191"/>
      <c r="H178" s="191"/>
      <c r="I178" s="191"/>
      <c r="J178" s="191"/>
      <c r="K178" s="41" t="s">
        <v>12</v>
      </c>
      <c r="L178" s="47">
        <v>0.62</v>
      </c>
      <c r="M178" s="47">
        <v>0.57999999999999996</v>
      </c>
      <c r="N178" s="43"/>
      <c r="O178" s="43"/>
    </row>
    <row r="179" spans="2:15" x14ac:dyDescent="0.2">
      <c r="B179" s="190"/>
      <c r="C179" s="191"/>
      <c r="D179" s="191"/>
      <c r="E179" s="191"/>
      <c r="F179" s="192"/>
      <c r="G179" s="191"/>
      <c r="H179" s="191"/>
      <c r="I179" s="191"/>
      <c r="J179" s="191"/>
      <c r="K179" s="41" t="s">
        <v>13</v>
      </c>
      <c r="L179" s="47">
        <v>0.26</v>
      </c>
      <c r="M179" s="47">
        <v>0.44</v>
      </c>
      <c r="N179" s="43"/>
      <c r="O179" s="43"/>
    </row>
    <row r="180" spans="2:15" x14ac:dyDescent="0.2">
      <c r="B180" s="190"/>
      <c r="C180" s="191"/>
      <c r="D180" s="191"/>
      <c r="E180" s="191"/>
      <c r="F180" s="192"/>
      <c r="G180" s="191"/>
      <c r="H180" s="191"/>
      <c r="I180" s="191"/>
      <c r="J180" s="191"/>
      <c r="K180" s="41" t="s">
        <v>14</v>
      </c>
      <c r="L180" s="47">
        <v>0.77</v>
      </c>
      <c r="M180" s="47">
        <v>0.37</v>
      </c>
      <c r="N180" s="43"/>
      <c r="O180" s="43"/>
    </row>
    <row r="181" spans="2:15" x14ac:dyDescent="0.2">
      <c r="B181" s="190"/>
      <c r="C181" s="191"/>
      <c r="D181" s="191"/>
      <c r="E181" s="191"/>
      <c r="F181" s="192"/>
      <c r="G181" s="191"/>
      <c r="H181" s="191"/>
      <c r="I181" s="191"/>
      <c r="J181" s="191"/>
      <c r="K181" s="41" t="s">
        <v>15</v>
      </c>
      <c r="L181" s="47">
        <v>0.62</v>
      </c>
      <c r="M181" s="47">
        <v>0.5</v>
      </c>
      <c r="N181" s="43"/>
      <c r="O181" s="43"/>
    </row>
    <row r="182" spans="2:15" x14ac:dyDescent="0.2">
      <c r="B182" s="190"/>
      <c r="C182" s="191"/>
      <c r="D182" s="191"/>
      <c r="E182" s="191"/>
      <c r="F182" s="192"/>
      <c r="G182" s="191"/>
      <c r="H182" s="191"/>
      <c r="I182" s="191"/>
      <c r="J182" s="191"/>
      <c r="K182" s="41" t="s">
        <v>16</v>
      </c>
      <c r="L182" s="47">
        <v>0.43</v>
      </c>
      <c r="M182" s="47">
        <v>0.77</v>
      </c>
      <c r="N182" s="43"/>
      <c r="O182" s="43"/>
    </row>
    <row r="183" spans="2:15" x14ac:dyDescent="0.2">
      <c r="B183" s="190"/>
      <c r="C183" s="191"/>
      <c r="D183" s="191"/>
      <c r="E183" s="191"/>
      <c r="F183" s="192"/>
      <c r="G183" s="191"/>
      <c r="H183" s="191"/>
      <c r="I183" s="191"/>
      <c r="J183" s="191"/>
      <c r="K183" s="41" t="s">
        <v>17</v>
      </c>
      <c r="L183" s="47">
        <v>1.44</v>
      </c>
      <c r="M183" s="47">
        <v>1.3</v>
      </c>
      <c r="N183" s="43"/>
      <c r="O183" s="43"/>
    </row>
    <row r="184" spans="2:15" x14ac:dyDescent="0.2">
      <c r="B184" s="190"/>
      <c r="C184" s="191"/>
      <c r="D184" s="191"/>
      <c r="E184" s="191"/>
      <c r="F184" s="192"/>
      <c r="G184" s="191"/>
      <c r="H184" s="191"/>
      <c r="I184" s="191"/>
      <c r="J184" s="191"/>
      <c r="K184" s="41" t="s">
        <v>18</v>
      </c>
      <c r="L184" s="47">
        <v>1.29</v>
      </c>
      <c r="M184" s="47">
        <v>0.62</v>
      </c>
      <c r="N184" s="43"/>
      <c r="O184" s="43"/>
    </row>
    <row r="185" spans="2:15" x14ac:dyDescent="0.2">
      <c r="B185" s="190"/>
      <c r="C185" s="191"/>
      <c r="D185" s="191"/>
      <c r="E185" s="191"/>
      <c r="F185" s="192"/>
      <c r="G185" s="191"/>
      <c r="H185" s="191"/>
      <c r="I185" s="191"/>
      <c r="J185" s="191"/>
      <c r="K185" s="41" t="s">
        <v>0</v>
      </c>
      <c r="L185" s="47">
        <v>0.63</v>
      </c>
      <c r="M185" s="47">
        <v>0.64</v>
      </c>
      <c r="N185" s="42"/>
      <c r="O185" s="42"/>
    </row>
    <row r="191" spans="2:15" x14ac:dyDescent="0.2">
      <c r="C191" s="48"/>
      <c r="D191" s="49"/>
      <c r="E191" s="49"/>
      <c r="F191" s="50"/>
      <c r="G191" s="48"/>
      <c r="H191" s="48"/>
      <c r="I191" s="48"/>
      <c r="J191" s="48"/>
      <c r="K191" s="48"/>
      <c r="L191" s="48"/>
      <c r="M191" s="48"/>
      <c r="N191" s="48"/>
    </row>
  </sheetData>
  <mergeCells count="133">
    <mergeCell ref="J173:J185"/>
    <mergeCell ref="I160:I172"/>
    <mergeCell ref="J160:J172"/>
    <mergeCell ref="B173:B185"/>
    <mergeCell ref="C173:C185"/>
    <mergeCell ref="D173:D185"/>
    <mergeCell ref="E173:E185"/>
    <mergeCell ref="F173:F185"/>
    <mergeCell ref="G173:G185"/>
    <mergeCell ref="H173:H185"/>
    <mergeCell ref="I173:I185"/>
    <mergeCell ref="H147:H159"/>
    <mergeCell ref="I147:I159"/>
    <mergeCell ref="J147:J159"/>
    <mergeCell ref="B160:B172"/>
    <mergeCell ref="C160:C172"/>
    <mergeCell ref="D160:D172"/>
    <mergeCell ref="E160:E172"/>
    <mergeCell ref="F160:F172"/>
    <mergeCell ref="G160:G172"/>
    <mergeCell ref="H160:H172"/>
    <mergeCell ref="B147:B159"/>
    <mergeCell ref="C147:C159"/>
    <mergeCell ref="D147:D159"/>
    <mergeCell ref="E147:E159"/>
    <mergeCell ref="F147:F159"/>
    <mergeCell ref="G147:G159"/>
    <mergeCell ref="B134:B146"/>
    <mergeCell ref="C134:C146"/>
    <mergeCell ref="D134:D146"/>
    <mergeCell ref="E134:E146"/>
    <mergeCell ref="F134:F146"/>
    <mergeCell ref="G134:G146"/>
    <mergeCell ref="H134:H146"/>
    <mergeCell ref="I134:I146"/>
    <mergeCell ref="J134:J146"/>
    <mergeCell ref="B121:B133"/>
    <mergeCell ref="C121:C133"/>
    <mergeCell ref="D121:D133"/>
    <mergeCell ref="E121:E133"/>
    <mergeCell ref="F121:F133"/>
    <mergeCell ref="G121:G133"/>
    <mergeCell ref="H121:H133"/>
    <mergeCell ref="I121:I133"/>
    <mergeCell ref="J121:J133"/>
    <mergeCell ref="B108:B120"/>
    <mergeCell ref="C108:C120"/>
    <mergeCell ref="D108:D120"/>
    <mergeCell ref="E108:E120"/>
    <mergeCell ref="F108:F120"/>
    <mergeCell ref="G108:G120"/>
    <mergeCell ref="H108:H120"/>
    <mergeCell ref="I108:I120"/>
    <mergeCell ref="J108:J120"/>
    <mergeCell ref="H82:H94"/>
    <mergeCell ref="I82:I94"/>
    <mergeCell ref="J82:J94"/>
    <mergeCell ref="P83:S83"/>
    <mergeCell ref="B95:B107"/>
    <mergeCell ref="C95:C107"/>
    <mergeCell ref="D95:D107"/>
    <mergeCell ref="E95:E107"/>
    <mergeCell ref="F95:F107"/>
    <mergeCell ref="G95:G107"/>
    <mergeCell ref="B82:B94"/>
    <mergeCell ref="C82:C94"/>
    <mergeCell ref="D82:D94"/>
    <mergeCell ref="E82:E94"/>
    <mergeCell ref="F82:F94"/>
    <mergeCell ref="G82:G94"/>
    <mergeCell ref="H95:H107"/>
    <mergeCell ref="I95:I107"/>
    <mergeCell ref="J95:J107"/>
    <mergeCell ref="B69:B81"/>
    <mergeCell ref="C69:C81"/>
    <mergeCell ref="D69:D81"/>
    <mergeCell ref="E69:E81"/>
    <mergeCell ref="F69:F81"/>
    <mergeCell ref="G69:G81"/>
    <mergeCell ref="H69:H81"/>
    <mergeCell ref="I69:I81"/>
    <mergeCell ref="J69:J81"/>
    <mergeCell ref="B56:B68"/>
    <mergeCell ref="C56:C68"/>
    <mergeCell ref="D56:D68"/>
    <mergeCell ref="E56:E68"/>
    <mergeCell ref="F56:F68"/>
    <mergeCell ref="G56:G68"/>
    <mergeCell ref="H56:H68"/>
    <mergeCell ref="I56:I68"/>
    <mergeCell ref="J56:J68"/>
    <mergeCell ref="B43:B55"/>
    <mergeCell ref="C43:C55"/>
    <mergeCell ref="D43:D55"/>
    <mergeCell ref="E43:E55"/>
    <mergeCell ref="F43:F55"/>
    <mergeCell ref="G43:G55"/>
    <mergeCell ref="H43:H55"/>
    <mergeCell ref="I43:I55"/>
    <mergeCell ref="J43:J55"/>
    <mergeCell ref="B30:B42"/>
    <mergeCell ref="C30:C42"/>
    <mergeCell ref="D30:D42"/>
    <mergeCell ref="E30:E42"/>
    <mergeCell ref="F30:F42"/>
    <mergeCell ref="G30:G42"/>
    <mergeCell ref="H30:H42"/>
    <mergeCell ref="I30:I42"/>
    <mergeCell ref="J30:J42"/>
    <mergeCell ref="B1:O1"/>
    <mergeCell ref="A2:A172"/>
    <mergeCell ref="B2:B3"/>
    <mergeCell ref="C2:K2"/>
    <mergeCell ref="L2:M2"/>
    <mergeCell ref="N2:O2"/>
    <mergeCell ref="B4:B16"/>
    <mergeCell ref="C4:C16"/>
    <mergeCell ref="D4:D16"/>
    <mergeCell ref="E4:E16"/>
    <mergeCell ref="F4:F16"/>
    <mergeCell ref="G4:G16"/>
    <mergeCell ref="H4:H16"/>
    <mergeCell ref="I4:I16"/>
    <mergeCell ref="J4:J16"/>
    <mergeCell ref="B17:B29"/>
    <mergeCell ref="C17:C29"/>
    <mergeCell ref="D17:D29"/>
    <mergeCell ref="E17:E29"/>
    <mergeCell ref="F17:F29"/>
    <mergeCell ref="G17:G29"/>
    <mergeCell ref="H17:H29"/>
    <mergeCell ref="I17:I29"/>
    <mergeCell ref="J17:J29"/>
  </mergeCells>
  <conditionalFormatting sqref="B13 G13">
    <cfRule type="expression" priority="285" stopIfTrue="1">
      <formula>K1</formula>
    </cfRule>
  </conditionalFormatting>
  <conditionalFormatting sqref="B13">
    <cfRule type="cellIs" dxfId="1" priority="284" stopIfTrue="1" operator="equal">
      <formula>"ŞUBE DOLU OLMALI"</formula>
    </cfRule>
    <cfRule type="cellIs" dxfId="0" priority="286" stopIfTrue="1" operator="equal">
      <formula>"ŞUBE DOLU OLMALI"</formula>
    </cfRule>
  </conditionalFormatting>
  <conditionalFormatting sqref="D13:D17">
    <cfRule type="expression" priority="1" stopIfTrue="1">
      <formula>M1</formula>
    </cfRule>
  </conditionalFormatting>
  <conditionalFormatting sqref="I13">
    <cfRule type="expression" priority="10" stopIfTrue="1">
      <formula>R1</formula>
    </cfRule>
  </conditionalFormatting>
  <dataValidations count="9">
    <dataValidation type="whole" allowBlank="1" showInputMessage="1" showErrorMessage="1" errorTitle="ŞUBE KODU HATASI" error="Şube kodu sayısal değer olmalıdır.Şube kodu 1 ile 5 hane arası olmalıdır" sqref="D18:D5000" xr:uid="{00000000-0002-0000-0700-000000000000}">
      <formula1>1</formula1>
      <formula2>99999</formula2>
    </dataValidation>
    <dataValidation type="textLength" allowBlank="1" showInputMessage="1" showErrorMessage="1" errorTitle="HESAP KODU HATASI" error="Hesap Numarası 5 ile 15 hane arası olmalıdır" sqref="E16:E5000" xr:uid="{00000000-0002-0000-0700-000001000000}">
      <formula1>5</formula1>
      <formula2>15</formula2>
    </dataValidation>
    <dataValidation type="list" allowBlank="1" showInputMessage="1" showErrorMessage="1" errorTitle="ÖDEME TİPİ HATASI" error="Sadece Listedeki ödeme tipiniz seçebilirsiniz." sqref="B8" xr:uid="{00000000-0002-0000-0700-000002000000}">
      <formula1>$O$1:$O$16</formula1>
    </dataValidation>
    <dataValidation type="textLength" allowBlank="1" showInputMessage="1" showErrorMessage="1" errorTitle="BORÇ İZAHAT" error="Borç izahat sahası maximum 32 karakter olmalıdır." sqref="B9 D9 G9" xr:uid="{00000000-0002-0000-0700-000003000000}">
      <formula1>1</formula1>
      <formula2>32</formula2>
    </dataValidation>
    <dataValidation type="textLength" operator="equal" allowBlank="1" showInputMessage="1" showErrorMessage="1" errorTitle="ÖDEME TARİHİ FORMAT HATASI" error="Ödeme tarihi ggaayyyy formatında olmalıdır. Örnek: 07112008 " promptTitle="ÖDEME TARİHİ FORMAT HATASI" sqref="B7" xr:uid="{00000000-0002-0000-0700-000004000000}">
      <formula1>8</formula1>
    </dataValidation>
    <dataValidation type="list" allowBlank="1" showInputMessage="1" showErrorMessage="1" errorTitle="DÖVİZ CİNSİ HATASI" error="Sadece listedeki döviz cinslerini seçebilirsiniz." promptTitle="DÖVİZ CİNSİ HATASI" sqref="B6" xr:uid="{00000000-0002-0000-0700-000005000000}">
      <formula1>$N$1:$N$6</formula1>
    </dataValidation>
    <dataValidation type="whole" allowBlank="1" showInputMessage="1" showErrorMessage="1" errorTitle="HESAP NUMARASI  HATASI" error="Hesap numaranız sayısal değer olmalıdır. Hesap numaranız toplam 7 hane olmalıdır." sqref="B3" xr:uid="{00000000-0002-0000-0700-000006000000}">
      <formula1>1000000</formula1>
      <formula2>9999999</formula2>
    </dataValidation>
    <dataValidation type="whole" allowBlank="1" showErrorMessage="1" errorTitle="ŞUBE KODU HATASI" error="Şube kodunuz sadece sayısal değer olabilir. Şube kodunuz 1 ile 5 hane arasında olmalıdır." sqref="B2" xr:uid="{00000000-0002-0000-0700-000007000000}">
      <formula1>1</formula1>
      <formula2>99999</formula2>
    </dataValidation>
    <dataValidation type="whole" allowBlank="1" showErrorMessage="1" errorTitle="KURUM KODU HATASI" error="Kurum kodunuz sadece sayısal değer olabilir._x000a_Kurum kodu 1 ile 5 hane arası olmalıdır." promptTitle="kuru" sqref="B1" xr:uid="{00000000-0002-0000-0700-000008000000}">
      <formula1>1</formula1>
      <formula2>99999</formula2>
    </dataValidation>
  </dataValidations>
  <printOptions horizontalCentered="1" verticalCentered="1"/>
  <pageMargins left="0.11811023622047245" right="0" top="0.11811023622047245" bottom="0.19685039370078741" header="0.51181102362204722" footer="0.19685039370078741"/>
  <pageSetup paperSize="9" scale="65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8"/>
  <sheetViews>
    <sheetView showGridLines="0" zoomScale="80" zoomScaleNormal="80" zoomScaleSheetLayoutView="4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25" sqref="L25"/>
    </sheetView>
  </sheetViews>
  <sheetFormatPr defaultColWidth="9.140625" defaultRowHeight="12.75" x14ac:dyDescent="0.2"/>
  <cols>
    <col min="1" max="1" width="9.140625" style="1"/>
    <col min="2" max="2" width="12" style="1" customWidth="1"/>
    <col min="3" max="3" width="20.85546875" style="4" customWidth="1"/>
    <col min="4" max="4" width="29" style="2" customWidth="1"/>
    <col min="5" max="5" width="21" style="2" customWidth="1"/>
    <col min="6" max="6" width="15.140625" style="5" customWidth="1"/>
    <col min="7" max="7" width="8.140625" style="6" customWidth="1"/>
    <col min="8" max="8" width="14.85546875" style="6" customWidth="1"/>
    <col min="9" max="9" width="12.85546875" style="6" customWidth="1"/>
    <col min="10" max="10" width="11.140625" style="6" customWidth="1"/>
    <col min="11" max="12" width="12" style="6" customWidth="1"/>
    <col min="13" max="13" width="14.42578125" style="6" customWidth="1"/>
    <col min="14" max="15" width="15.42578125" style="9" customWidth="1"/>
    <col min="16" max="20" width="8" style="7" customWidth="1"/>
    <col min="21" max="21" width="10.140625" style="7" customWidth="1"/>
    <col min="22" max="16384" width="9.140625" style="1"/>
  </cols>
  <sheetData>
    <row r="1" spans="1:15" s="2" customFormat="1" ht="21" customHeight="1" x14ac:dyDescent="0.2">
      <c r="A1" s="15"/>
      <c r="B1" s="100" t="s">
        <v>25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2" customFormat="1" ht="79.5" customHeight="1" x14ac:dyDescent="0.2">
      <c r="A2" s="206" t="s">
        <v>47</v>
      </c>
      <c r="B2" s="99" t="s">
        <v>24</v>
      </c>
      <c r="C2" s="102" t="s">
        <v>27</v>
      </c>
      <c r="D2" s="103"/>
      <c r="E2" s="103"/>
      <c r="F2" s="103"/>
      <c r="G2" s="103"/>
      <c r="H2" s="103"/>
      <c r="I2" s="103"/>
      <c r="J2" s="103"/>
      <c r="K2" s="104"/>
      <c r="L2" s="98" t="s">
        <v>90</v>
      </c>
      <c r="M2" s="98"/>
      <c r="N2" s="98" t="s">
        <v>91</v>
      </c>
      <c r="O2" s="98"/>
    </row>
    <row r="3" spans="1:15" s="3" customFormat="1" ht="26.25" customHeight="1" x14ac:dyDescent="0.2">
      <c r="A3" s="207"/>
      <c r="B3" s="99"/>
      <c r="C3" s="13" t="s">
        <v>1</v>
      </c>
      <c r="D3" s="13" t="s">
        <v>2</v>
      </c>
      <c r="E3" s="13" t="s">
        <v>3</v>
      </c>
      <c r="F3" s="13" t="s">
        <v>4</v>
      </c>
      <c r="G3" s="13" t="s">
        <v>89</v>
      </c>
      <c r="H3" s="13" t="s">
        <v>5</v>
      </c>
      <c r="I3" s="13" t="s">
        <v>20</v>
      </c>
      <c r="J3" s="13" t="s">
        <v>6</v>
      </c>
      <c r="K3" s="13" t="s">
        <v>28</v>
      </c>
      <c r="L3" s="13" t="s">
        <v>21</v>
      </c>
      <c r="M3" s="13" t="s">
        <v>22</v>
      </c>
      <c r="N3" s="14" t="s">
        <v>19</v>
      </c>
      <c r="O3" s="14" t="s">
        <v>22</v>
      </c>
    </row>
    <row r="4" spans="1:15" s="3" customFormat="1" ht="12.75" customHeight="1" x14ac:dyDescent="0.2">
      <c r="A4" s="207"/>
      <c r="B4" s="101" t="s">
        <v>48</v>
      </c>
      <c r="C4" s="97" t="s">
        <v>215</v>
      </c>
      <c r="D4" s="97" t="s">
        <v>49</v>
      </c>
      <c r="E4" s="97"/>
      <c r="F4" s="97" t="s">
        <v>87</v>
      </c>
      <c r="G4" s="97" t="s">
        <v>93</v>
      </c>
      <c r="H4" s="97"/>
      <c r="I4" s="97"/>
      <c r="J4" s="97"/>
      <c r="K4" s="16" t="s">
        <v>7</v>
      </c>
      <c r="L4" s="22">
        <v>0</v>
      </c>
      <c r="M4" s="22">
        <v>0</v>
      </c>
      <c r="N4" s="22">
        <v>0</v>
      </c>
      <c r="O4" s="22">
        <v>0</v>
      </c>
    </row>
    <row r="5" spans="1:15" s="3" customFormat="1" x14ac:dyDescent="0.2">
      <c r="A5" s="207"/>
      <c r="B5" s="101"/>
      <c r="C5" s="97"/>
      <c r="D5" s="97"/>
      <c r="E5" s="97"/>
      <c r="F5" s="97"/>
      <c r="G5" s="97"/>
      <c r="H5" s="97"/>
      <c r="I5" s="97"/>
      <c r="J5" s="97"/>
      <c r="K5" s="16" t="s">
        <v>8</v>
      </c>
      <c r="L5" s="22">
        <v>0</v>
      </c>
      <c r="M5" s="22">
        <v>0</v>
      </c>
      <c r="N5" s="22">
        <v>0</v>
      </c>
      <c r="O5" s="22">
        <v>0</v>
      </c>
    </row>
    <row r="6" spans="1:15" s="3" customFormat="1" x14ac:dyDescent="0.2">
      <c r="A6" s="207"/>
      <c r="B6" s="101"/>
      <c r="C6" s="97"/>
      <c r="D6" s="97"/>
      <c r="E6" s="97"/>
      <c r="F6" s="97"/>
      <c r="G6" s="97"/>
      <c r="H6" s="97"/>
      <c r="I6" s="97"/>
      <c r="J6" s="97"/>
      <c r="K6" s="16" t="s">
        <v>9</v>
      </c>
      <c r="L6" s="22">
        <v>0</v>
      </c>
      <c r="M6" s="22">
        <v>0</v>
      </c>
      <c r="N6" s="22">
        <v>0</v>
      </c>
      <c r="O6" s="22">
        <v>0</v>
      </c>
    </row>
    <row r="7" spans="1:15" s="3" customFormat="1" x14ac:dyDescent="0.2">
      <c r="A7" s="207"/>
      <c r="B7" s="101"/>
      <c r="C7" s="97"/>
      <c r="D7" s="97"/>
      <c r="E7" s="97"/>
      <c r="F7" s="97"/>
      <c r="G7" s="97"/>
      <c r="H7" s="97"/>
      <c r="I7" s="97"/>
      <c r="J7" s="97"/>
      <c r="K7" s="16" t="s">
        <v>10</v>
      </c>
      <c r="L7" s="22">
        <v>0</v>
      </c>
      <c r="M7" s="22">
        <v>0</v>
      </c>
      <c r="N7" s="22">
        <v>0</v>
      </c>
      <c r="O7" s="22">
        <v>0</v>
      </c>
    </row>
    <row r="8" spans="1:15" s="3" customFormat="1" x14ac:dyDescent="0.2">
      <c r="A8" s="207"/>
      <c r="B8" s="101"/>
      <c r="C8" s="97"/>
      <c r="D8" s="97"/>
      <c r="E8" s="97"/>
      <c r="F8" s="97"/>
      <c r="G8" s="97"/>
      <c r="H8" s="97"/>
      <c r="I8" s="97"/>
      <c r="J8" s="97"/>
      <c r="K8" s="16" t="s">
        <v>11</v>
      </c>
      <c r="L8" s="22">
        <v>0</v>
      </c>
      <c r="M8" s="22">
        <v>0</v>
      </c>
      <c r="N8" s="22">
        <v>0</v>
      </c>
      <c r="O8" s="22">
        <v>0</v>
      </c>
    </row>
    <row r="9" spans="1:15" s="3" customFormat="1" x14ac:dyDescent="0.2">
      <c r="A9" s="207"/>
      <c r="B9" s="101"/>
      <c r="C9" s="97"/>
      <c r="D9" s="97"/>
      <c r="E9" s="97"/>
      <c r="F9" s="97"/>
      <c r="G9" s="97"/>
      <c r="H9" s="97"/>
      <c r="I9" s="97"/>
      <c r="J9" s="97"/>
      <c r="K9" s="16" t="s">
        <v>12</v>
      </c>
      <c r="L9" s="22">
        <v>0</v>
      </c>
      <c r="M9" s="22">
        <v>0</v>
      </c>
      <c r="N9" s="22">
        <v>0</v>
      </c>
      <c r="O9" s="22">
        <v>0</v>
      </c>
    </row>
    <row r="10" spans="1:15" s="3" customFormat="1" x14ac:dyDescent="0.2">
      <c r="A10" s="207"/>
      <c r="B10" s="101"/>
      <c r="C10" s="97"/>
      <c r="D10" s="97"/>
      <c r="E10" s="97"/>
      <c r="F10" s="97"/>
      <c r="G10" s="97"/>
      <c r="H10" s="97"/>
      <c r="I10" s="97"/>
      <c r="J10" s="97"/>
      <c r="K10" s="16" t="s">
        <v>13</v>
      </c>
      <c r="L10" s="22">
        <v>0</v>
      </c>
      <c r="M10" s="22">
        <v>0</v>
      </c>
      <c r="N10" s="22">
        <v>0</v>
      </c>
      <c r="O10" s="22">
        <v>0</v>
      </c>
    </row>
    <row r="11" spans="1:15" s="3" customFormat="1" x14ac:dyDescent="0.2">
      <c r="A11" s="207"/>
      <c r="B11" s="101"/>
      <c r="C11" s="97"/>
      <c r="D11" s="97"/>
      <c r="E11" s="97"/>
      <c r="F11" s="97"/>
      <c r="G11" s="97"/>
      <c r="H11" s="97"/>
      <c r="I11" s="97"/>
      <c r="J11" s="97"/>
      <c r="K11" s="16" t="s">
        <v>14</v>
      </c>
      <c r="L11" s="22">
        <v>0</v>
      </c>
      <c r="M11" s="22">
        <v>0</v>
      </c>
      <c r="N11" s="22">
        <v>0</v>
      </c>
      <c r="O11" s="22">
        <v>0</v>
      </c>
    </row>
    <row r="12" spans="1:15" s="3" customFormat="1" x14ac:dyDescent="0.2">
      <c r="A12" s="207"/>
      <c r="B12" s="101"/>
      <c r="C12" s="97"/>
      <c r="D12" s="97"/>
      <c r="E12" s="97"/>
      <c r="F12" s="97"/>
      <c r="G12" s="97"/>
      <c r="H12" s="97"/>
      <c r="I12" s="97"/>
      <c r="J12" s="97"/>
      <c r="K12" s="16" t="s">
        <v>15</v>
      </c>
      <c r="L12" s="22">
        <v>0</v>
      </c>
      <c r="M12" s="22">
        <v>0</v>
      </c>
      <c r="N12" s="22">
        <v>0</v>
      </c>
      <c r="O12" s="22">
        <v>0</v>
      </c>
    </row>
    <row r="13" spans="1:15" s="3" customFormat="1" x14ac:dyDescent="0.2">
      <c r="A13" s="207"/>
      <c r="B13" s="101"/>
      <c r="C13" s="97"/>
      <c r="D13" s="97"/>
      <c r="E13" s="97"/>
      <c r="F13" s="97"/>
      <c r="G13" s="97"/>
      <c r="H13" s="97"/>
      <c r="I13" s="97"/>
      <c r="J13" s="97"/>
      <c r="K13" s="16" t="s">
        <v>16</v>
      </c>
      <c r="L13" s="22">
        <v>0</v>
      </c>
      <c r="M13" s="22">
        <v>0</v>
      </c>
      <c r="N13" s="22">
        <v>0</v>
      </c>
      <c r="O13" s="22">
        <v>0</v>
      </c>
    </row>
    <row r="14" spans="1:15" s="3" customFormat="1" x14ac:dyDescent="0.2">
      <c r="A14" s="207"/>
      <c r="B14" s="101"/>
      <c r="C14" s="97"/>
      <c r="D14" s="97"/>
      <c r="E14" s="97"/>
      <c r="F14" s="97"/>
      <c r="G14" s="97"/>
      <c r="H14" s="97"/>
      <c r="I14" s="97"/>
      <c r="J14" s="97"/>
      <c r="K14" s="16" t="s">
        <v>17</v>
      </c>
      <c r="L14" s="22">
        <v>0</v>
      </c>
      <c r="M14" s="22">
        <v>0</v>
      </c>
      <c r="N14" s="22">
        <v>0</v>
      </c>
      <c r="O14" s="22">
        <v>0</v>
      </c>
    </row>
    <row r="15" spans="1:15" s="3" customFormat="1" x14ac:dyDescent="0.2">
      <c r="A15" s="207"/>
      <c r="B15" s="101"/>
      <c r="C15" s="97"/>
      <c r="D15" s="97"/>
      <c r="E15" s="97"/>
      <c r="F15" s="97"/>
      <c r="G15" s="97"/>
      <c r="H15" s="97"/>
      <c r="I15" s="97"/>
      <c r="J15" s="97"/>
      <c r="K15" s="16" t="s">
        <v>18</v>
      </c>
      <c r="L15" s="22">
        <v>0</v>
      </c>
      <c r="M15" s="22">
        <v>0</v>
      </c>
      <c r="N15" s="22">
        <v>0</v>
      </c>
      <c r="O15" s="22">
        <v>0</v>
      </c>
    </row>
    <row r="16" spans="1:15" s="3" customFormat="1" x14ac:dyDescent="0.2">
      <c r="A16" s="207"/>
      <c r="B16" s="101"/>
      <c r="C16" s="97"/>
      <c r="D16" s="97"/>
      <c r="E16" s="97"/>
      <c r="F16" s="97"/>
      <c r="G16" s="97"/>
      <c r="H16" s="97"/>
      <c r="I16" s="97"/>
      <c r="J16" s="97"/>
      <c r="K16" s="16" t="s">
        <v>0</v>
      </c>
      <c r="L16" s="18">
        <f>SUM(L4:L15)</f>
        <v>0</v>
      </c>
      <c r="M16" s="18">
        <f t="shared" ref="M16:O16" si="0">SUM(M4:M15)</f>
        <v>0</v>
      </c>
      <c r="N16" s="18">
        <f t="shared" si="0"/>
        <v>0</v>
      </c>
      <c r="O16" s="18">
        <f t="shared" si="0"/>
        <v>0</v>
      </c>
    </row>
    <row r="17" spans="1:15" ht="12.75" customHeight="1" x14ac:dyDescent="0.2">
      <c r="A17" s="207"/>
      <c r="B17" s="101" t="s">
        <v>48</v>
      </c>
      <c r="C17" s="97" t="s">
        <v>216</v>
      </c>
      <c r="D17" s="97" t="s">
        <v>50</v>
      </c>
      <c r="E17" s="97" t="s">
        <v>132</v>
      </c>
      <c r="F17" s="97" t="s">
        <v>83</v>
      </c>
      <c r="G17" s="97" t="s">
        <v>93</v>
      </c>
      <c r="H17" s="97"/>
      <c r="I17" s="97"/>
      <c r="J17" s="97"/>
      <c r="K17" s="16" t="s">
        <v>7</v>
      </c>
      <c r="L17" s="21">
        <v>0</v>
      </c>
      <c r="M17" s="21">
        <v>0</v>
      </c>
      <c r="N17" s="21">
        <v>0</v>
      </c>
      <c r="O17" s="21">
        <v>0</v>
      </c>
    </row>
    <row r="18" spans="1:15" x14ac:dyDescent="0.2">
      <c r="A18" s="207"/>
      <c r="B18" s="101"/>
      <c r="C18" s="97"/>
      <c r="D18" s="97"/>
      <c r="E18" s="97"/>
      <c r="F18" s="97"/>
      <c r="G18" s="97"/>
      <c r="H18" s="97"/>
      <c r="I18" s="97"/>
      <c r="J18" s="97"/>
      <c r="K18" s="16" t="s">
        <v>8</v>
      </c>
      <c r="L18" s="21">
        <v>0</v>
      </c>
      <c r="M18" s="21">
        <v>0</v>
      </c>
      <c r="N18" s="21">
        <v>0</v>
      </c>
      <c r="O18" s="21">
        <v>0</v>
      </c>
    </row>
    <row r="19" spans="1:15" x14ac:dyDescent="0.2">
      <c r="A19" s="207"/>
      <c r="B19" s="101"/>
      <c r="C19" s="97"/>
      <c r="D19" s="97"/>
      <c r="E19" s="97"/>
      <c r="F19" s="97"/>
      <c r="G19" s="97"/>
      <c r="H19" s="97"/>
      <c r="I19" s="97"/>
      <c r="J19" s="97"/>
      <c r="K19" s="16" t="s">
        <v>9</v>
      </c>
      <c r="L19" s="21">
        <v>0</v>
      </c>
      <c r="M19" s="21">
        <v>0</v>
      </c>
      <c r="N19" s="21">
        <v>0</v>
      </c>
      <c r="O19" s="21">
        <v>0</v>
      </c>
    </row>
    <row r="20" spans="1:15" x14ac:dyDescent="0.2">
      <c r="A20" s="207"/>
      <c r="B20" s="101"/>
      <c r="C20" s="97"/>
      <c r="D20" s="97"/>
      <c r="E20" s="97"/>
      <c r="F20" s="97"/>
      <c r="G20" s="97"/>
      <c r="H20" s="97"/>
      <c r="I20" s="97"/>
      <c r="J20" s="97"/>
      <c r="K20" s="16" t="s">
        <v>10</v>
      </c>
      <c r="L20" s="21">
        <v>0</v>
      </c>
      <c r="M20" s="21">
        <v>0</v>
      </c>
      <c r="N20" s="21">
        <v>0</v>
      </c>
      <c r="O20" s="21">
        <v>0</v>
      </c>
    </row>
    <row r="21" spans="1:15" x14ac:dyDescent="0.2">
      <c r="A21" s="207"/>
      <c r="B21" s="101"/>
      <c r="C21" s="97"/>
      <c r="D21" s="97"/>
      <c r="E21" s="97"/>
      <c r="F21" s="97"/>
      <c r="G21" s="97"/>
      <c r="H21" s="97"/>
      <c r="I21" s="97"/>
      <c r="J21" s="97"/>
      <c r="K21" s="16" t="s">
        <v>11</v>
      </c>
      <c r="L21" s="21">
        <v>0</v>
      </c>
      <c r="M21" s="21">
        <v>0</v>
      </c>
      <c r="N21" s="21">
        <v>0</v>
      </c>
      <c r="O21" s="21">
        <v>0</v>
      </c>
    </row>
    <row r="22" spans="1:15" x14ac:dyDescent="0.2">
      <c r="A22" s="207"/>
      <c r="B22" s="101"/>
      <c r="C22" s="97"/>
      <c r="D22" s="97"/>
      <c r="E22" s="97"/>
      <c r="F22" s="97"/>
      <c r="G22" s="97"/>
      <c r="H22" s="97"/>
      <c r="I22" s="97"/>
      <c r="J22" s="97"/>
      <c r="K22" s="16" t="s">
        <v>12</v>
      </c>
      <c r="L22" s="21">
        <v>0</v>
      </c>
      <c r="M22" s="21">
        <v>0</v>
      </c>
      <c r="N22" s="21">
        <v>0</v>
      </c>
      <c r="O22" s="21">
        <v>0</v>
      </c>
    </row>
    <row r="23" spans="1:15" x14ac:dyDescent="0.2">
      <c r="A23" s="207"/>
      <c r="B23" s="101"/>
      <c r="C23" s="97"/>
      <c r="D23" s="97"/>
      <c r="E23" s="97"/>
      <c r="F23" s="97"/>
      <c r="G23" s="97"/>
      <c r="H23" s="97"/>
      <c r="I23" s="97"/>
      <c r="J23" s="97"/>
      <c r="K23" s="16" t="s">
        <v>13</v>
      </c>
      <c r="L23" s="21">
        <v>0</v>
      </c>
      <c r="M23" s="21">
        <v>0</v>
      </c>
      <c r="N23" s="21">
        <v>0</v>
      </c>
      <c r="O23" s="21">
        <v>0</v>
      </c>
    </row>
    <row r="24" spans="1:15" x14ac:dyDescent="0.2">
      <c r="A24" s="207"/>
      <c r="B24" s="101"/>
      <c r="C24" s="97"/>
      <c r="D24" s="97"/>
      <c r="E24" s="97"/>
      <c r="F24" s="97"/>
      <c r="G24" s="97"/>
      <c r="H24" s="97"/>
      <c r="I24" s="97"/>
      <c r="J24" s="97"/>
      <c r="K24" s="16" t="s">
        <v>14</v>
      </c>
      <c r="L24" s="21">
        <v>0.2</v>
      </c>
      <c r="M24" s="21">
        <v>0</v>
      </c>
      <c r="N24" s="21">
        <v>0</v>
      </c>
      <c r="O24" s="21">
        <v>0</v>
      </c>
    </row>
    <row r="25" spans="1:15" x14ac:dyDescent="0.2">
      <c r="A25" s="207"/>
      <c r="B25" s="101"/>
      <c r="C25" s="97"/>
      <c r="D25" s="97"/>
      <c r="E25" s="97"/>
      <c r="F25" s="97"/>
      <c r="G25" s="97"/>
      <c r="H25" s="97"/>
      <c r="I25" s="97"/>
      <c r="J25" s="97"/>
      <c r="K25" s="16" t="s">
        <v>15</v>
      </c>
      <c r="L25" s="21">
        <v>0</v>
      </c>
      <c r="M25" s="21">
        <v>0</v>
      </c>
      <c r="N25" s="21">
        <v>0</v>
      </c>
      <c r="O25" s="21">
        <v>0</v>
      </c>
    </row>
    <row r="26" spans="1:15" x14ac:dyDescent="0.2">
      <c r="A26" s="207"/>
      <c r="B26" s="101"/>
      <c r="C26" s="97"/>
      <c r="D26" s="97"/>
      <c r="E26" s="97"/>
      <c r="F26" s="97"/>
      <c r="G26" s="97"/>
      <c r="H26" s="97"/>
      <c r="I26" s="97"/>
      <c r="J26" s="97"/>
      <c r="K26" s="16" t="s">
        <v>16</v>
      </c>
      <c r="L26" s="21">
        <v>0</v>
      </c>
      <c r="M26" s="21">
        <v>0</v>
      </c>
      <c r="N26" s="21">
        <v>0</v>
      </c>
      <c r="O26" s="21">
        <v>0</v>
      </c>
    </row>
    <row r="27" spans="1:15" x14ac:dyDescent="0.2">
      <c r="A27" s="207"/>
      <c r="B27" s="101"/>
      <c r="C27" s="97"/>
      <c r="D27" s="97"/>
      <c r="E27" s="97"/>
      <c r="F27" s="97"/>
      <c r="G27" s="97"/>
      <c r="H27" s="97"/>
      <c r="I27" s="97"/>
      <c r="J27" s="97"/>
      <c r="K27" s="16" t="s">
        <v>17</v>
      </c>
      <c r="L27" s="21">
        <v>0</v>
      </c>
      <c r="M27" s="21">
        <v>0</v>
      </c>
      <c r="N27" s="21">
        <v>0.25</v>
      </c>
      <c r="O27" s="21">
        <v>0</v>
      </c>
    </row>
    <row r="28" spans="1:15" x14ac:dyDescent="0.2">
      <c r="A28" s="207"/>
      <c r="B28" s="101"/>
      <c r="C28" s="97"/>
      <c r="D28" s="97"/>
      <c r="E28" s="97"/>
      <c r="F28" s="97"/>
      <c r="G28" s="97"/>
      <c r="H28" s="97"/>
      <c r="I28" s="97"/>
      <c r="J28" s="97"/>
      <c r="K28" s="16" t="s">
        <v>18</v>
      </c>
      <c r="L28" s="21">
        <v>0</v>
      </c>
      <c r="M28" s="21">
        <v>0</v>
      </c>
      <c r="N28" s="21">
        <v>0</v>
      </c>
      <c r="O28" s="21">
        <v>0</v>
      </c>
    </row>
    <row r="29" spans="1:15" x14ac:dyDescent="0.2">
      <c r="A29" s="207"/>
      <c r="B29" s="101"/>
      <c r="C29" s="97"/>
      <c r="D29" s="97"/>
      <c r="E29" s="97"/>
      <c r="F29" s="97"/>
      <c r="G29" s="97"/>
      <c r="H29" s="97"/>
      <c r="I29" s="97"/>
      <c r="J29" s="97"/>
      <c r="K29" s="16" t="s">
        <v>0</v>
      </c>
      <c r="L29" s="17">
        <f>SUM(L17:L28)</f>
        <v>0.2</v>
      </c>
      <c r="M29" s="17">
        <f t="shared" ref="M29" si="1">SUM(M17:M28)</f>
        <v>0</v>
      </c>
      <c r="N29" s="17">
        <f t="shared" ref="N29" si="2">SUM(N17:N28)</f>
        <v>0.25</v>
      </c>
      <c r="O29" s="17">
        <f t="shared" ref="O29" si="3">SUM(O17:O28)</f>
        <v>0</v>
      </c>
    </row>
    <row r="30" spans="1:15" ht="12.75" customHeight="1" x14ac:dyDescent="0.2">
      <c r="A30" s="207"/>
      <c r="B30" s="101" t="s">
        <v>48</v>
      </c>
      <c r="C30" s="97" t="s">
        <v>217</v>
      </c>
      <c r="D30" s="97" t="s">
        <v>51</v>
      </c>
      <c r="E30" s="97" t="s">
        <v>115</v>
      </c>
      <c r="F30" s="97" t="s">
        <v>83</v>
      </c>
      <c r="G30" s="97" t="s">
        <v>95</v>
      </c>
      <c r="H30" s="97"/>
      <c r="I30" s="97"/>
      <c r="J30" s="97"/>
      <c r="K30" s="16" t="s">
        <v>7</v>
      </c>
      <c r="L30" s="21">
        <v>0</v>
      </c>
      <c r="M30" s="21">
        <v>0</v>
      </c>
      <c r="N30" s="21">
        <v>0</v>
      </c>
      <c r="O30" s="21">
        <v>0</v>
      </c>
    </row>
    <row r="31" spans="1:15" x14ac:dyDescent="0.2">
      <c r="A31" s="207"/>
      <c r="B31" s="101"/>
      <c r="C31" s="97"/>
      <c r="D31" s="97"/>
      <c r="E31" s="97"/>
      <c r="F31" s="97"/>
      <c r="G31" s="97"/>
      <c r="H31" s="97"/>
      <c r="I31" s="97"/>
      <c r="J31" s="97"/>
      <c r="K31" s="16" t="s">
        <v>8</v>
      </c>
      <c r="L31" s="21">
        <v>0</v>
      </c>
      <c r="M31" s="21">
        <v>0</v>
      </c>
      <c r="N31" s="21">
        <v>0</v>
      </c>
      <c r="O31" s="21">
        <v>0</v>
      </c>
    </row>
    <row r="32" spans="1:15" x14ac:dyDescent="0.2">
      <c r="A32" s="207"/>
      <c r="B32" s="101"/>
      <c r="C32" s="97"/>
      <c r="D32" s="97"/>
      <c r="E32" s="97"/>
      <c r="F32" s="97"/>
      <c r="G32" s="97"/>
      <c r="H32" s="97"/>
      <c r="I32" s="97"/>
      <c r="J32" s="97"/>
      <c r="K32" s="16" t="s">
        <v>9</v>
      </c>
      <c r="L32" s="21">
        <v>0</v>
      </c>
      <c r="M32" s="21">
        <v>0</v>
      </c>
      <c r="N32" s="21">
        <v>0</v>
      </c>
      <c r="O32" s="21">
        <v>0</v>
      </c>
    </row>
    <row r="33" spans="1:15" x14ac:dyDescent="0.2">
      <c r="A33" s="207"/>
      <c r="B33" s="101"/>
      <c r="C33" s="97"/>
      <c r="D33" s="97"/>
      <c r="E33" s="97"/>
      <c r="F33" s="97"/>
      <c r="G33" s="97"/>
      <c r="H33" s="97"/>
      <c r="I33" s="97"/>
      <c r="J33" s="97"/>
      <c r="K33" s="16" t="s">
        <v>10</v>
      </c>
      <c r="L33" s="21">
        <v>0</v>
      </c>
      <c r="M33" s="21">
        <v>0</v>
      </c>
      <c r="N33" s="21">
        <v>0</v>
      </c>
      <c r="O33" s="21">
        <v>0</v>
      </c>
    </row>
    <row r="34" spans="1:15" x14ac:dyDescent="0.2">
      <c r="A34" s="207"/>
      <c r="B34" s="101"/>
      <c r="C34" s="97"/>
      <c r="D34" s="97"/>
      <c r="E34" s="97"/>
      <c r="F34" s="97"/>
      <c r="G34" s="97"/>
      <c r="H34" s="97"/>
      <c r="I34" s="97"/>
      <c r="J34" s="97"/>
      <c r="K34" s="16" t="s">
        <v>11</v>
      </c>
      <c r="L34" s="21">
        <v>0</v>
      </c>
      <c r="M34" s="21">
        <v>0</v>
      </c>
      <c r="N34" s="21">
        <v>0</v>
      </c>
      <c r="O34" s="21">
        <v>0</v>
      </c>
    </row>
    <row r="35" spans="1:15" x14ac:dyDescent="0.2">
      <c r="A35" s="207"/>
      <c r="B35" s="101"/>
      <c r="C35" s="97"/>
      <c r="D35" s="97"/>
      <c r="E35" s="97"/>
      <c r="F35" s="97"/>
      <c r="G35" s="97"/>
      <c r="H35" s="97"/>
      <c r="I35" s="97"/>
      <c r="J35" s="97"/>
      <c r="K35" s="16" t="s">
        <v>12</v>
      </c>
      <c r="L35" s="21">
        <v>0</v>
      </c>
      <c r="M35" s="21">
        <v>0</v>
      </c>
      <c r="N35" s="21">
        <v>0</v>
      </c>
      <c r="O35" s="21">
        <v>0</v>
      </c>
    </row>
    <row r="36" spans="1:15" x14ac:dyDescent="0.2">
      <c r="A36" s="207"/>
      <c r="B36" s="101"/>
      <c r="C36" s="97"/>
      <c r="D36" s="97"/>
      <c r="E36" s="97"/>
      <c r="F36" s="97"/>
      <c r="G36" s="97"/>
      <c r="H36" s="97"/>
      <c r="I36" s="97"/>
      <c r="J36" s="97"/>
      <c r="K36" s="16" t="s">
        <v>13</v>
      </c>
      <c r="L36" s="21">
        <v>0</v>
      </c>
      <c r="M36" s="21">
        <v>0</v>
      </c>
      <c r="N36" s="21">
        <v>0</v>
      </c>
      <c r="O36" s="21">
        <v>0</v>
      </c>
    </row>
    <row r="37" spans="1:15" x14ac:dyDescent="0.2">
      <c r="A37" s="207"/>
      <c r="B37" s="101"/>
      <c r="C37" s="97"/>
      <c r="D37" s="97"/>
      <c r="E37" s="97"/>
      <c r="F37" s="97"/>
      <c r="G37" s="97"/>
      <c r="H37" s="97"/>
      <c r="I37" s="97"/>
      <c r="J37" s="97"/>
      <c r="K37" s="16" t="s">
        <v>14</v>
      </c>
      <c r="L37" s="21">
        <v>0</v>
      </c>
      <c r="M37" s="21">
        <v>0</v>
      </c>
      <c r="N37" s="21">
        <v>0</v>
      </c>
      <c r="O37" s="21">
        <v>0</v>
      </c>
    </row>
    <row r="38" spans="1:15" x14ac:dyDescent="0.2">
      <c r="A38" s="207"/>
      <c r="B38" s="101"/>
      <c r="C38" s="97"/>
      <c r="D38" s="97"/>
      <c r="E38" s="97"/>
      <c r="F38" s="97"/>
      <c r="G38" s="97"/>
      <c r="H38" s="97"/>
      <c r="I38" s="97"/>
      <c r="J38" s="97"/>
      <c r="K38" s="16" t="s">
        <v>15</v>
      </c>
      <c r="L38" s="21">
        <v>0</v>
      </c>
      <c r="M38" s="21">
        <v>0</v>
      </c>
      <c r="N38" s="21">
        <v>0</v>
      </c>
      <c r="O38" s="21">
        <v>0</v>
      </c>
    </row>
    <row r="39" spans="1:15" x14ac:dyDescent="0.2">
      <c r="A39" s="207"/>
      <c r="B39" s="101"/>
      <c r="C39" s="97"/>
      <c r="D39" s="97"/>
      <c r="E39" s="97"/>
      <c r="F39" s="97"/>
      <c r="G39" s="97"/>
      <c r="H39" s="97"/>
      <c r="I39" s="97"/>
      <c r="J39" s="97"/>
      <c r="K39" s="16" t="s">
        <v>16</v>
      </c>
      <c r="L39" s="21">
        <v>0</v>
      </c>
      <c r="M39" s="21">
        <v>0</v>
      </c>
      <c r="N39" s="21">
        <v>0</v>
      </c>
      <c r="O39" s="21">
        <v>0</v>
      </c>
    </row>
    <row r="40" spans="1:15" x14ac:dyDescent="0.2">
      <c r="A40" s="207"/>
      <c r="B40" s="101"/>
      <c r="C40" s="97"/>
      <c r="D40" s="97"/>
      <c r="E40" s="97"/>
      <c r="F40" s="97"/>
      <c r="G40" s="97"/>
      <c r="H40" s="97"/>
      <c r="I40" s="97"/>
      <c r="J40" s="97"/>
      <c r="K40" s="16" t="s">
        <v>17</v>
      </c>
      <c r="L40" s="21">
        <v>0</v>
      </c>
      <c r="M40" s="21">
        <v>0</v>
      </c>
      <c r="N40" s="21">
        <v>0</v>
      </c>
      <c r="O40" s="21">
        <v>0</v>
      </c>
    </row>
    <row r="41" spans="1:15" x14ac:dyDescent="0.2">
      <c r="A41" s="207"/>
      <c r="B41" s="101"/>
      <c r="C41" s="97"/>
      <c r="D41" s="97"/>
      <c r="E41" s="97"/>
      <c r="F41" s="97"/>
      <c r="G41" s="97"/>
      <c r="H41" s="97"/>
      <c r="I41" s="97"/>
      <c r="J41" s="97"/>
      <c r="K41" s="16" t="s">
        <v>18</v>
      </c>
      <c r="L41" s="21">
        <v>0</v>
      </c>
      <c r="M41" s="21">
        <v>0</v>
      </c>
      <c r="N41" s="21">
        <v>0</v>
      </c>
      <c r="O41" s="21">
        <v>0</v>
      </c>
    </row>
    <row r="42" spans="1:15" x14ac:dyDescent="0.2">
      <c r="A42" s="207"/>
      <c r="B42" s="101"/>
      <c r="C42" s="97"/>
      <c r="D42" s="97"/>
      <c r="E42" s="97"/>
      <c r="F42" s="97"/>
      <c r="G42" s="97"/>
      <c r="H42" s="97"/>
      <c r="I42" s="97"/>
      <c r="J42" s="97"/>
      <c r="K42" s="16" t="s">
        <v>0</v>
      </c>
      <c r="L42" s="17">
        <f>SUM(L30:L41)</f>
        <v>0</v>
      </c>
      <c r="M42" s="17">
        <f t="shared" ref="M42" si="4">SUM(M30:M41)</f>
        <v>0</v>
      </c>
      <c r="N42" s="17">
        <f t="shared" ref="N42" si="5">SUM(N30:N41)</f>
        <v>0</v>
      </c>
      <c r="O42" s="17">
        <f t="shared" ref="O42" si="6">SUM(O30:O41)</f>
        <v>0</v>
      </c>
    </row>
    <row r="43" spans="1:15" x14ac:dyDescent="0.2">
      <c r="A43" s="207"/>
      <c r="B43" s="101" t="s">
        <v>48</v>
      </c>
      <c r="C43" s="97" t="s">
        <v>218</v>
      </c>
      <c r="D43" s="97" t="s">
        <v>52</v>
      </c>
      <c r="E43" s="97"/>
      <c r="F43" s="97" t="s">
        <v>87</v>
      </c>
      <c r="G43" s="97" t="s">
        <v>95</v>
      </c>
      <c r="H43" s="97"/>
      <c r="I43" s="97"/>
      <c r="J43" s="97"/>
      <c r="K43" s="16" t="s">
        <v>7</v>
      </c>
      <c r="L43" s="22">
        <v>0</v>
      </c>
      <c r="M43" s="22">
        <v>0</v>
      </c>
      <c r="N43" s="22">
        <v>0</v>
      </c>
      <c r="O43" s="22">
        <v>0</v>
      </c>
    </row>
    <row r="44" spans="1:15" x14ac:dyDescent="0.2">
      <c r="A44" s="207"/>
      <c r="B44" s="101"/>
      <c r="C44" s="97"/>
      <c r="D44" s="97"/>
      <c r="E44" s="97"/>
      <c r="F44" s="97"/>
      <c r="G44" s="97"/>
      <c r="H44" s="97"/>
      <c r="I44" s="97"/>
      <c r="J44" s="97"/>
      <c r="K44" s="16" t="s">
        <v>8</v>
      </c>
      <c r="L44" s="22">
        <v>0</v>
      </c>
      <c r="M44" s="22">
        <v>0</v>
      </c>
      <c r="N44" s="22">
        <v>0</v>
      </c>
      <c r="O44" s="22">
        <v>0</v>
      </c>
    </row>
    <row r="45" spans="1:15" x14ac:dyDescent="0.2">
      <c r="A45" s="207"/>
      <c r="B45" s="101"/>
      <c r="C45" s="97"/>
      <c r="D45" s="97"/>
      <c r="E45" s="97"/>
      <c r="F45" s="97"/>
      <c r="G45" s="97"/>
      <c r="H45" s="97"/>
      <c r="I45" s="97"/>
      <c r="J45" s="97"/>
      <c r="K45" s="16" t="s">
        <v>9</v>
      </c>
      <c r="L45" s="22">
        <v>0</v>
      </c>
      <c r="M45" s="22">
        <v>0</v>
      </c>
      <c r="N45" s="22">
        <v>0</v>
      </c>
      <c r="O45" s="22">
        <v>0</v>
      </c>
    </row>
    <row r="46" spans="1:15" x14ac:dyDescent="0.2">
      <c r="A46" s="207"/>
      <c r="B46" s="101"/>
      <c r="C46" s="97"/>
      <c r="D46" s="97"/>
      <c r="E46" s="97"/>
      <c r="F46" s="97"/>
      <c r="G46" s="97"/>
      <c r="H46" s="97"/>
      <c r="I46" s="97"/>
      <c r="J46" s="97"/>
      <c r="K46" s="16" t="s">
        <v>10</v>
      </c>
      <c r="L46" s="22">
        <v>0</v>
      </c>
      <c r="M46" s="22">
        <v>0</v>
      </c>
      <c r="N46" s="22">
        <v>0</v>
      </c>
      <c r="O46" s="22">
        <v>0</v>
      </c>
    </row>
    <row r="47" spans="1:15" x14ac:dyDescent="0.2">
      <c r="A47" s="207"/>
      <c r="B47" s="101"/>
      <c r="C47" s="97"/>
      <c r="D47" s="97"/>
      <c r="E47" s="97"/>
      <c r="F47" s="97"/>
      <c r="G47" s="97"/>
      <c r="H47" s="97"/>
      <c r="I47" s="97"/>
      <c r="J47" s="97"/>
      <c r="K47" s="16" t="s">
        <v>11</v>
      </c>
      <c r="L47" s="22">
        <v>0</v>
      </c>
      <c r="M47" s="22">
        <v>0</v>
      </c>
      <c r="N47" s="22">
        <v>0</v>
      </c>
      <c r="O47" s="22">
        <v>0</v>
      </c>
    </row>
    <row r="48" spans="1:15" x14ac:dyDescent="0.2">
      <c r="A48" s="207"/>
      <c r="B48" s="101"/>
      <c r="C48" s="97"/>
      <c r="D48" s="97"/>
      <c r="E48" s="97"/>
      <c r="F48" s="97"/>
      <c r="G48" s="97"/>
      <c r="H48" s="97"/>
      <c r="I48" s="97"/>
      <c r="J48" s="97"/>
      <c r="K48" s="16" t="s">
        <v>12</v>
      </c>
      <c r="L48" s="22">
        <v>0</v>
      </c>
      <c r="M48" s="22">
        <v>0</v>
      </c>
      <c r="N48" s="22">
        <v>0</v>
      </c>
      <c r="O48" s="22">
        <v>0</v>
      </c>
    </row>
    <row r="49" spans="1:15" x14ac:dyDescent="0.2">
      <c r="A49" s="207"/>
      <c r="B49" s="101"/>
      <c r="C49" s="97"/>
      <c r="D49" s="97"/>
      <c r="E49" s="97"/>
      <c r="F49" s="97"/>
      <c r="G49" s="97"/>
      <c r="H49" s="97"/>
      <c r="I49" s="97"/>
      <c r="J49" s="97"/>
      <c r="K49" s="16" t="s">
        <v>13</v>
      </c>
      <c r="L49" s="22">
        <v>0</v>
      </c>
      <c r="M49" s="22">
        <v>0</v>
      </c>
      <c r="N49" s="22">
        <v>0</v>
      </c>
      <c r="O49" s="22">
        <v>0</v>
      </c>
    </row>
    <row r="50" spans="1:15" x14ac:dyDescent="0.2">
      <c r="A50" s="207"/>
      <c r="B50" s="101"/>
      <c r="C50" s="97"/>
      <c r="D50" s="97"/>
      <c r="E50" s="97"/>
      <c r="F50" s="97"/>
      <c r="G50" s="97"/>
      <c r="H50" s="97"/>
      <c r="I50" s="97"/>
      <c r="J50" s="97"/>
      <c r="K50" s="16" t="s">
        <v>14</v>
      </c>
      <c r="L50" s="22">
        <v>0</v>
      </c>
      <c r="M50" s="22">
        <v>0</v>
      </c>
      <c r="N50" s="22">
        <v>0</v>
      </c>
      <c r="O50" s="22">
        <v>0</v>
      </c>
    </row>
    <row r="51" spans="1:15" x14ac:dyDescent="0.2">
      <c r="A51" s="207"/>
      <c r="B51" s="101"/>
      <c r="C51" s="97"/>
      <c r="D51" s="97"/>
      <c r="E51" s="97"/>
      <c r="F51" s="97"/>
      <c r="G51" s="97"/>
      <c r="H51" s="97"/>
      <c r="I51" s="97"/>
      <c r="J51" s="97"/>
      <c r="K51" s="16" t="s">
        <v>15</v>
      </c>
      <c r="L51" s="22">
        <v>0</v>
      </c>
      <c r="M51" s="22">
        <v>0</v>
      </c>
      <c r="N51" s="22">
        <v>0</v>
      </c>
      <c r="O51" s="22">
        <v>0</v>
      </c>
    </row>
    <row r="52" spans="1:15" x14ac:dyDescent="0.2">
      <c r="A52" s="207"/>
      <c r="B52" s="101"/>
      <c r="C52" s="97"/>
      <c r="D52" s="97"/>
      <c r="E52" s="97"/>
      <c r="F52" s="97"/>
      <c r="G52" s="97"/>
      <c r="H52" s="97"/>
      <c r="I52" s="97"/>
      <c r="J52" s="97"/>
      <c r="K52" s="16" t="s">
        <v>16</v>
      </c>
      <c r="L52" s="22">
        <v>0</v>
      </c>
      <c r="M52" s="22">
        <v>0</v>
      </c>
      <c r="N52" s="22">
        <v>0</v>
      </c>
      <c r="O52" s="22">
        <v>0</v>
      </c>
    </row>
    <row r="53" spans="1:15" x14ac:dyDescent="0.2">
      <c r="A53" s="207"/>
      <c r="B53" s="101"/>
      <c r="C53" s="97"/>
      <c r="D53" s="97"/>
      <c r="E53" s="97"/>
      <c r="F53" s="97"/>
      <c r="G53" s="97"/>
      <c r="H53" s="97"/>
      <c r="I53" s="97"/>
      <c r="J53" s="97"/>
      <c r="K53" s="16" t="s">
        <v>17</v>
      </c>
      <c r="L53" s="22">
        <v>0</v>
      </c>
      <c r="M53" s="22">
        <v>0</v>
      </c>
      <c r="N53" s="22">
        <v>0</v>
      </c>
      <c r="O53" s="22">
        <v>0</v>
      </c>
    </row>
    <row r="54" spans="1:15" x14ac:dyDescent="0.2">
      <c r="A54" s="207"/>
      <c r="B54" s="101"/>
      <c r="C54" s="97"/>
      <c r="D54" s="97"/>
      <c r="E54" s="97"/>
      <c r="F54" s="97"/>
      <c r="G54" s="97"/>
      <c r="H54" s="97"/>
      <c r="I54" s="97"/>
      <c r="J54" s="97"/>
      <c r="K54" s="16" t="s">
        <v>18</v>
      </c>
      <c r="L54" s="22">
        <v>0</v>
      </c>
      <c r="M54" s="22">
        <v>0</v>
      </c>
      <c r="N54" s="22">
        <v>0</v>
      </c>
      <c r="O54" s="22">
        <v>0</v>
      </c>
    </row>
    <row r="55" spans="1:15" x14ac:dyDescent="0.2">
      <c r="A55" s="207"/>
      <c r="B55" s="101"/>
      <c r="C55" s="97"/>
      <c r="D55" s="97"/>
      <c r="E55" s="97"/>
      <c r="F55" s="97"/>
      <c r="G55" s="97"/>
      <c r="H55" s="97"/>
      <c r="I55" s="97"/>
      <c r="J55" s="97"/>
      <c r="K55" s="16" t="s">
        <v>0</v>
      </c>
      <c r="L55" s="18">
        <f>SUM(L43:L54)</f>
        <v>0</v>
      </c>
      <c r="M55" s="18">
        <f t="shared" ref="M55" si="7">SUM(M43:M54)</f>
        <v>0</v>
      </c>
      <c r="N55" s="18">
        <f t="shared" ref="N55" si="8">SUM(N43:N54)</f>
        <v>0</v>
      </c>
      <c r="O55" s="18">
        <f t="shared" ref="O55" si="9">SUM(O43:O54)</f>
        <v>0</v>
      </c>
    </row>
    <row r="56" spans="1:15" ht="12.75" customHeight="1" x14ac:dyDescent="0.2">
      <c r="A56" s="207"/>
      <c r="B56" s="101" t="s">
        <v>48</v>
      </c>
      <c r="C56" s="97" t="s">
        <v>156</v>
      </c>
      <c r="D56" s="97" t="s">
        <v>52</v>
      </c>
      <c r="E56" s="97"/>
      <c r="F56" s="97" t="s">
        <v>87</v>
      </c>
      <c r="G56" s="105" t="s">
        <v>95</v>
      </c>
      <c r="H56" s="97"/>
      <c r="I56" s="97"/>
      <c r="J56" s="97"/>
      <c r="K56" s="16" t="s">
        <v>7</v>
      </c>
      <c r="L56" s="22">
        <v>0</v>
      </c>
      <c r="M56" s="22">
        <v>0</v>
      </c>
      <c r="N56" s="22">
        <v>0</v>
      </c>
      <c r="O56" s="22">
        <v>0</v>
      </c>
    </row>
    <row r="57" spans="1:15" x14ac:dyDescent="0.2">
      <c r="A57" s="207"/>
      <c r="B57" s="101"/>
      <c r="C57" s="97"/>
      <c r="D57" s="97"/>
      <c r="E57" s="97"/>
      <c r="F57" s="97"/>
      <c r="G57" s="106"/>
      <c r="H57" s="97"/>
      <c r="I57" s="97"/>
      <c r="J57" s="97"/>
      <c r="K57" s="16" t="s">
        <v>8</v>
      </c>
      <c r="L57" s="22">
        <v>0</v>
      </c>
      <c r="M57" s="22">
        <v>0</v>
      </c>
      <c r="N57" s="22">
        <v>0</v>
      </c>
      <c r="O57" s="22">
        <v>0</v>
      </c>
    </row>
    <row r="58" spans="1:15" x14ac:dyDescent="0.2">
      <c r="A58" s="207"/>
      <c r="B58" s="101"/>
      <c r="C58" s="97"/>
      <c r="D58" s="97"/>
      <c r="E58" s="97"/>
      <c r="F58" s="97"/>
      <c r="G58" s="106"/>
      <c r="H58" s="97"/>
      <c r="I58" s="97"/>
      <c r="J58" s="97"/>
      <c r="K58" s="16" t="s">
        <v>9</v>
      </c>
      <c r="L58" s="22">
        <v>0</v>
      </c>
      <c r="M58" s="22">
        <v>0</v>
      </c>
      <c r="N58" s="22">
        <v>0</v>
      </c>
      <c r="O58" s="22">
        <v>0</v>
      </c>
    </row>
    <row r="59" spans="1:15" x14ac:dyDescent="0.2">
      <c r="A59" s="207"/>
      <c r="B59" s="101"/>
      <c r="C59" s="97"/>
      <c r="D59" s="97"/>
      <c r="E59" s="97"/>
      <c r="F59" s="97"/>
      <c r="G59" s="106"/>
      <c r="H59" s="97"/>
      <c r="I59" s="97"/>
      <c r="J59" s="97"/>
      <c r="K59" s="16" t="s">
        <v>10</v>
      </c>
      <c r="L59" s="22">
        <v>0</v>
      </c>
      <c r="M59" s="22">
        <v>0</v>
      </c>
      <c r="N59" s="22">
        <v>0</v>
      </c>
      <c r="O59" s="22">
        <v>0</v>
      </c>
    </row>
    <row r="60" spans="1:15" x14ac:dyDescent="0.2">
      <c r="A60" s="207"/>
      <c r="B60" s="101"/>
      <c r="C60" s="97"/>
      <c r="D60" s="97"/>
      <c r="E60" s="97"/>
      <c r="F60" s="97"/>
      <c r="G60" s="106"/>
      <c r="H60" s="97"/>
      <c r="I60" s="97"/>
      <c r="J60" s="97"/>
      <c r="K60" s="16" t="s">
        <v>11</v>
      </c>
      <c r="L60" s="22">
        <v>0</v>
      </c>
      <c r="M60" s="22">
        <v>0</v>
      </c>
      <c r="N60" s="22">
        <v>0</v>
      </c>
      <c r="O60" s="22">
        <v>0</v>
      </c>
    </row>
    <row r="61" spans="1:15" x14ac:dyDescent="0.2">
      <c r="A61" s="207"/>
      <c r="B61" s="101"/>
      <c r="C61" s="97"/>
      <c r="D61" s="97"/>
      <c r="E61" s="97"/>
      <c r="F61" s="97"/>
      <c r="G61" s="106"/>
      <c r="H61" s="97"/>
      <c r="I61" s="97"/>
      <c r="J61" s="97"/>
      <c r="K61" s="16" t="s">
        <v>12</v>
      </c>
      <c r="L61" s="22">
        <v>0</v>
      </c>
      <c r="M61" s="22">
        <v>0</v>
      </c>
      <c r="N61" s="22">
        <v>0</v>
      </c>
      <c r="O61" s="22">
        <v>0</v>
      </c>
    </row>
    <row r="62" spans="1:15" x14ac:dyDescent="0.2">
      <c r="A62" s="207"/>
      <c r="B62" s="101"/>
      <c r="C62" s="97"/>
      <c r="D62" s="97"/>
      <c r="E62" s="97"/>
      <c r="F62" s="97"/>
      <c r="G62" s="106"/>
      <c r="H62" s="97"/>
      <c r="I62" s="97"/>
      <c r="J62" s="97"/>
      <c r="K62" s="16" t="s">
        <v>13</v>
      </c>
      <c r="L62" s="22">
        <v>0</v>
      </c>
      <c r="M62" s="22">
        <v>0</v>
      </c>
      <c r="N62" s="22">
        <v>0</v>
      </c>
      <c r="O62" s="22">
        <v>0</v>
      </c>
    </row>
    <row r="63" spans="1:15" x14ac:dyDescent="0.2">
      <c r="A63" s="207"/>
      <c r="B63" s="101"/>
      <c r="C63" s="97"/>
      <c r="D63" s="97"/>
      <c r="E63" s="97"/>
      <c r="F63" s="97"/>
      <c r="G63" s="106"/>
      <c r="H63" s="97"/>
      <c r="I63" s="97"/>
      <c r="J63" s="97"/>
      <c r="K63" s="16" t="s">
        <v>14</v>
      </c>
      <c r="L63" s="22">
        <v>0</v>
      </c>
      <c r="M63" s="22">
        <v>0</v>
      </c>
      <c r="N63" s="22">
        <v>0</v>
      </c>
      <c r="O63" s="22">
        <v>0</v>
      </c>
    </row>
    <row r="64" spans="1:15" x14ac:dyDescent="0.2">
      <c r="A64" s="207"/>
      <c r="B64" s="101"/>
      <c r="C64" s="97"/>
      <c r="D64" s="97"/>
      <c r="E64" s="97"/>
      <c r="F64" s="97"/>
      <c r="G64" s="106"/>
      <c r="H64" s="97"/>
      <c r="I64" s="97"/>
      <c r="J64" s="97"/>
      <c r="K64" s="16" t="s">
        <v>15</v>
      </c>
      <c r="L64" s="22">
        <v>0</v>
      </c>
      <c r="M64" s="22">
        <v>0</v>
      </c>
      <c r="N64" s="22">
        <v>0</v>
      </c>
      <c r="O64" s="22">
        <v>0</v>
      </c>
    </row>
    <row r="65" spans="1:15" x14ac:dyDescent="0.2">
      <c r="A65" s="207"/>
      <c r="B65" s="101"/>
      <c r="C65" s="97"/>
      <c r="D65" s="97"/>
      <c r="E65" s="97"/>
      <c r="F65" s="97"/>
      <c r="G65" s="106"/>
      <c r="H65" s="97"/>
      <c r="I65" s="97"/>
      <c r="J65" s="97"/>
      <c r="K65" s="16" t="s">
        <v>16</v>
      </c>
      <c r="L65" s="22">
        <v>0</v>
      </c>
      <c r="M65" s="22">
        <v>0</v>
      </c>
      <c r="N65" s="22">
        <v>0</v>
      </c>
      <c r="O65" s="22">
        <v>0</v>
      </c>
    </row>
    <row r="66" spans="1:15" x14ac:dyDescent="0.2">
      <c r="A66" s="207"/>
      <c r="B66" s="101"/>
      <c r="C66" s="97"/>
      <c r="D66" s="97"/>
      <c r="E66" s="97"/>
      <c r="F66" s="97"/>
      <c r="G66" s="106"/>
      <c r="H66" s="97"/>
      <c r="I66" s="97"/>
      <c r="J66" s="97"/>
      <c r="K66" s="16" t="s">
        <v>17</v>
      </c>
      <c r="L66" s="22">
        <v>0</v>
      </c>
      <c r="M66" s="22">
        <v>0</v>
      </c>
      <c r="N66" s="22">
        <v>0</v>
      </c>
      <c r="O66" s="22">
        <v>0</v>
      </c>
    </row>
    <row r="67" spans="1:15" x14ac:dyDescent="0.2">
      <c r="A67" s="207"/>
      <c r="B67" s="101"/>
      <c r="C67" s="97"/>
      <c r="D67" s="97"/>
      <c r="E67" s="97"/>
      <c r="F67" s="97"/>
      <c r="G67" s="106"/>
      <c r="H67" s="97"/>
      <c r="I67" s="97"/>
      <c r="J67" s="97"/>
      <c r="K67" s="16" t="s">
        <v>18</v>
      </c>
      <c r="L67" s="22">
        <v>0</v>
      </c>
      <c r="M67" s="22">
        <v>0</v>
      </c>
      <c r="N67" s="22">
        <v>0</v>
      </c>
      <c r="O67" s="22">
        <v>0</v>
      </c>
    </row>
    <row r="68" spans="1:15" x14ac:dyDescent="0.2">
      <c r="A68" s="207"/>
      <c r="B68" s="101"/>
      <c r="C68" s="97"/>
      <c r="D68" s="97"/>
      <c r="E68" s="97"/>
      <c r="F68" s="97"/>
      <c r="G68" s="107"/>
      <c r="H68" s="97"/>
      <c r="I68" s="97"/>
      <c r="J68" s="97"/>
      <c r="K68" s="16" t="s">
        <v>0</v>
      </c>
      <c r="L68" s="18">
        <f>SUM(L56:L67)</f>
        <v>0</v>
      </c>
      <c r="M68" s="18">
        <f t="shared" ref="M68" si="10">SUM(M56:M67)</f>
        <v>0</v>
      </c>
      <c r="N68" s="18">
        <f t="shared" ref="N68" si="11">SUM(N56:N67)</f>
        <v>0</v>
      </c>
      <c r="O68" s="18">
        <f t="shared" ref="O68" si="12">SUM(O56:O67)</f>
        <v>0</v>
      </c>
    </row>
    <row r="69" spans="1:15" x14ac:dyDescent="0.2">
      <c r="A69" s="207"/>
      <c r="B69" s="101" t="s">
        <v>48</v>
      </c>
      <c r="C69" s="208" t="s">
        <v>157</v>
      </c>
      <c r="D69" s="97" t="s">
        <v>52</v>
      </c>
      <c r="E69" s="97"/>
      <c r="F69" s="97" t="s">
        <v>87</v>
      </c>
      <c r="G69" s="105" t="s">
        <v>95</v>
      </c>
      <c r="H69" s="97"/>
      <c r="I69" s="97"/>
      <c r="J69" s="97"/>
      <c r="K69" s="16" t="s">
        <v>7</v>
      </c>
      <c r="L69" s="22">
        <v>0</v>
      </c>
      <c r="M69" s="22">
        <v>0</v>
      </c>
      <c r="N69" s="22">
        <v>0</v>
      </c>
      <c r="O69" s="22">
        <v>0</v>
      </c>
    </row>
    <row r="70" spans="1:15" x14ac:dyDescent="0.2">
      <c r="A70" s="207"/>
      <c r="B70" s="101"/>
      <c r="C70" s="97"/>
      <c r="D70" s="97"/>
      <c r="E70" s="97"/>
      <c r="F70" s="97"/>
      <c r="G70" s="106"/>
      <c r="H70" s="97"/>
      <c r="I70" s="97"/>
      <c r="J70" s="97"/>
      <c r="K70" s="16" t="s">
        <v>8</v>
      </c>
      <c r="L70" s="22">
        <v>0</v>
      </c>
      <c r="M70" s="22">
        <v>0</v>
      </c>
      <c r="N70" s="22">
        <v>0</v>
      </c>
      <c r="O70" s="22">
        <v>0</v>
      </c>
    </row>
    <row r="71" spans="1:15" x14ac:dyDescent="0.2">
      <c r="A71" s="207"/>
      <c r="B71" s="101"/>
      <c r="C71" s="97"/>
      <c r="D71" s="97"/>
      <c r="E71" s="97"/>
      <c r="F71" s="97"/>
      <c r="G71" s="106"/>
      <c r="H71" s="97"/>
      <c r="I71" s="97"/>
      <c r="J71" s="97"/>
      <c r="K71" s="16" t="s">
        <v>9</v>
      </c>
      <c r="L71" s="22">
        <v>0</v>
      </c>
      <c r="M71" s="22">
        <v>0</v>
      </c>
      <c r="N71" s="22">
        <v>0</v>
      </c>
      <c r="O71" s="22">
        <v>0</v>
      </c>
    </row>
    <row r="72" spans="1:15" x14ac:dyDescent="0.2">
      <c r="A72" s="207"/>
      <c r="B72" s="101"/>
      <c r="C72" s="97"/>
      <c r="D72" s="97"/>
      <c r="E72" s="97"/>
      <c r="F72" s="97"/>
      <c r="G72" s="106"/>
      <c r="H72" s="97"/>
      <c r="I72" s="97"/>
      <c r="J72" s="97"/>
      <c r="K72" s="16" t="s">
        <v>10</v>
      </c>
      <c r="L72" s="22">
        <v>0</v>
      </c>
      <c r="M72" s="22">
        <v>0</v>
      </c>
      <c r="N72" s="22">
        <v>0</v>
      </c>
      <c r="O72" s="22">
        <v>0</v>
      </c>
    </row>
    <row r="73" spans="1:15" x14ac:dyDescent="0.2">
      <c r="A73" s="207"/>
      <c r="B73" s="101"/>
      <c r="C73" s="97"/>
      <c r="D73" s="97"/>
      <c r="E73" s="97"/>
      <c r="F73" s="97"/>
      <c r="G73" s="106"/>
      <c r="H73" s="97"/>
      <c r="I73" s="97"/>
      <c r="J73" s="97"/>
      <c r="K73" s="16" t="s">
        <v>11</v>
      </c>
      <c r="L73" s="22">
        <v>0</v>
      </c>
      <c r="M73" s="22">
        <v>0</v>
      </c>
      <c r="N73" s="22">
        <v>0</v>
      </c>
      <c r="O73" s="22">
        <v>0</v>
      </c>
    </row>
    <row r="74" spans="1:15" x14ac:dyDescent="0.2">
      <c r="A74" s="207"/>
      <c r="B74" s="101"/>
      <c r="C74" s="97"/>
      <c r="D74" s="97"/>
      <c r="E74" s="97"/>
      <c r="F74" s="97"/>
      <c r="G74" s="106"/>
      <c r="H74" s="97"/>
      <c r="I74" s="97"/>
      <c r="J74" s="97"/>
      <c r="K74" s="16" t="s">
        <v>12</v>
      </c>
      <c r="L74" s="22">
        <v>0</v>
      </c>
      <c r="M74" s="22">
        <v>0</v>
      </c>
      <c r="N74" s="22">
        <v>0</v>
      </c>
      <c r="O74" s="22">
        <v>0</v>
      </c>
    </row>
    <row r="75" spans="1:15" x14ac:dyDescent="0.2">
      <c r="A75" s="207"/>
      <c r="B75" s="101"/>
      <c r="C75" s="97"/>
      <c r="D75" s="97"/>
      <c r="E75" s="97"/>
      <c r="F75" s="97"/>
      <c r="G75" s="106"/>
      <c r="H75" s="97"/>
      <c r="I75" s="97"/>
      <c r="J75" s="97"/>
      <c r="K75" s="16" t="s">
        <v>13</v>
      </c>
      <c r="L75" s="22">
        <v>0</v>
      </c>
      <c r="M75" s="22">
        <v>0</v>
      </c>
      <c r="N75" s="22">
        <v>0</v>
      </c>
      <c r="O75" s="22">
        <v>0</v>
      </c>
    </row>
    <row r="76" spans="1:15" x14ac:dyDescent="0.2">
      <c r="A76" s="207"/>
      <c r="B76" s="101"/>
      <c r="C76" s="97"/>
      <c r="D76" s="97"/>
      <c r="E76" s="97"/>
      <c r="F76" s="97"/>
      <c r="G76" s="106"/>
      <c r="H76" s="97"/>
      <c r="I76" s="97"/>
      <c r="J76" s="97"/>
      <c r="K76" s="16" t="s">
        <v>14</v>
      </c>
      <c r="L76" s="22">
        <v>0</v>
      </c>
      <c r="M76" s="22">
        <v>0</v>
      </c>
      <c r="N76" s="22">
        <v>0</v>
      </c>
      <c r="O76" s="22">
        <v>0</v>
      </c>
    </row>
    <row r="77" spans="1:15" x14ac:dyDescent="0.2">
      <c r="A77" s="207"/>
      <c r="B77" s="101"/>
      <c r="C77" s="97"/>
      <c r="D77" s="97"/>
      <c r="E77" s="97"/>
      <c r="F77" s="97"/>
      <c r="G77" s="106"/>
      <c r="H77" s="97"/>
      <c r="I77" s="97"/>
      <c r="J77" s="97"/>
      <c r="K77" s="16" t="s">
        <v>15</v>
      </c>
      <c r="L77" s="22">
        <v>0</v>
      </c>
      <c r="M77" s="22">
        <v>0</v>
      </c>
      <c r="N77" s="22">
        <v>0</v>
      </c>
      <c r="O77" s="22">
        <v>0</v>
      </c>
    </row>
    <row r="78" spans="1:15" x14ac:dyDescent="0.2">
      <c r="A78" s="207"/>
      <c r="B78" s="101"/>
      <c r="C78" s="97"/>
      <c r="D78" s="97"/>
      <c r="E78" s="97"/>
      <c r="F78" s="97"/>
      <c r="G78" s="106"/>
      <c r="H78" s="97"/>
      <c r="I78" s="97"/>
      <c r="J78" s="97"/>
      <c r="K78" s="16" t="s">
        <v>16</v>
      </c>
      <c r="L78" s="22">
        <v>0</v>
      </c>
      <c r="M78" s="22">
        <v>0</v>
      </c>
      <c r="N78" s="22">
        <v>0</v>
      </c>
      <c r="O78" s="22">
        <v>0</v>
      </c>
    </row>
    <row r="79" spans="1:15" x14ac:dyDescent="0.2">
      <c r="A79" s="207"/>
      <c r="B79" s="101"/>
      <c r="C79" s="97"/>
      <c r="D79" s="97"/>
      <c r="E79" s="97"/>
      <c r="F79" s="97"/>
      <c r="G79" s="106"/>
      <c r="H79" s="97"/>
      <c r="I79" s="97"/>
      <c r="J79" s="97"/>
      <c r="K79" s="16" t="s">
        <v>17</v>
      </c>
      <c r="L79" s="22">
        <v>0</v>
      </c>
      <c r="M79" s="22">
        <v>0</v>
      </c>
      <c r="N79" s="22">
        <v>0</v>
      </c>
      <c r="O79" s="22">
        <v>0</v>
      </c>
    </row>
    <row r="80" spans="1:15" x14ac:dyDescent="0.2">
      <c r="A80" s="207"/>
      <c r="B80" s="101"/>
      <c r="C80" s="97"/>
      <c r="D80" s="97"/>
      <c r="E80" s="97"/>
      <c r="F80" s="97"/>
      <c r="G80" s="106"/>
      <c r="H80" s="97"/>
      <c r="I80" s="97"/>
      <c r="J80" s="97"/>
      <c r="K80" s="16" t="s">
        <v>18</v>
      </c>
      <c r="L80" s="22">
        <v>0</v>
      </c>
      <c r="M80" s="22">
        <v>0</v>
      </c>
      <c r="N80" s="22">
        <v>0</v>
      </c>
      <c r="O80" s="22">
        <v>0</v>
      </c>
    </row>
    <row r="81" spans="1:19" ht="12" customHeight="1" x14ac:dyDescent="0.2">
      <c r="A81" s="207"/>
      <c r="B81" s="101"/>
      <c r="C81" s="97"/>
      <c r="D81" s="97"/>
      <c r="E81" s="97"/>
      <c r="F81" s="97"/>
      <c r="G81" s="107"/>
      <c r="H81" s="97"/>
      <c r="I81" s="97"/>
      <c r="J81" s="97"/>
      <c r="K81" s="16" t="s">
        <v>0</v>
      </c>
      <c r="L81" s="18">
        <f>SUM(L69:L80)</f>
        <v>0</v>
      </c>
      <c r="M81" s="18">
        <f t="shared" ref="M81" si="13">SUM(M69:M80)</f>
        <v>0</v>
      </c>
      <c r="N81" s="18">
        <f t="shared" ref="N81" si="14">SUM(N69:N80)</f>
        <v>0</v>
      </c>
      <c r="O81" s="18">
        <f t="shared" ref="O81" si="15">SUM(O69:O80)</f>
        <v>0</v>
      </c>
    </row>
    <row r="82" spans="1:19" ht="12" customHeight="1" x14ac:dyDescent="0.2">
      <c r="A82" s="207"/>
      <c r="B82" s="101" t="s">
        <v>48</v>
      </c>
      <c r="C82" s="208" t="s">
        <v>232</v>
      </c>
      <c r="D82" s="97" t="s">
        <v>52</v>
      </c>
      <c r="E82" s="97"/>
      <c r="F82" s="97" t="s">
        <v>87</v>
      </c>
      <c r="G82" s="105" t="s">
        <v>95</v>
      </c>
      <c r="H82" s="97"/>
      <c r="I82" s="97"/>
      <c r="J82" s="97"/>
      <c r="K82" s="16" t="s">
        <v>7</v>
      </c>
      <c r="L82" s="21">
        <v>0</v>
      </c>
      <c r="M82" s="21">
        <v>0</v>
      </c>
      <c r="N82" s="21">
        <v>0</v>
      </c>
      <c r="O82" s="21">
        <v>0</v>
      </c>
    </row>
    <row r="83" spans="1:19" ht="12" customHeight="1" x14ac:dyDescent="0.2">
      <c r="A83" s="207"/>
      <c r="B83" s="101"/>
      <c r="C83" s="97"/>
      <c r="D83" s="97"/>
      <c r="E83" s="97"/>
      <c r="F83" s="97"/>
      <c r="G83" s="106"/>
      <c r="H83" s="97"/>
      <c r="I83" s="97"/>
      <c r="J83" s="97"/>
      <c r="K83" s="16" t="s">
        <v>8</v>
      </c>
      <c r="L83" s="21">
        <v>0</v>
      </c>
      <c r="M83" s="21">
        <v>0</v>
      </c>
      <c r="N83" s="21">
        <v>0</v>
      </c>
      <c r="O83" s="21">
        <v>0</v>
      </c>
    </row>
    <row r="84" spans="1:19" ht="12" customHeight="1" x14ac:dyDescent="0.2">
      <c r="A84" s="207"/>
      <c r="B84" s="101"/>
      <c r="C84" s="97"/>
      <c r="D84" s="97"/>
      <c r="E84" s="97"/>
      <c r="F84" s="97"/>
      <c r="G84" s="106"/>
      <c r="H84" s="97"/>
      <c r="I84" s="97"/>
      <c r="J84" s="97"/>
      <c r="K84" s="16" t="s">
        <v>9</v>
      </c>
      <c r="L84" s="21">
        <v>0</v>
      </c>
      <c r="M84" s="21">
        <v>0</v>
      </c>
      <c r="N84" s="21">
        <v>0</v>
      </c>
      <c r="O84" s="21">
        <v>0</v>
      </c>
    </row>
    <row r="85" spans="1:19" ht="12" customHeight="1" x14ac:dyDescent="0.2">
      <c r="A85" s="207"/>
      <c r="B85" s="101"/>
      <c r="C85" s="97"/>
      <c r="D85" s="97"/>
      <c r="E85" s="97"/>
      <c r="F85" s="97"/>
      <c r="G85" s="106"/>
      <c r="H85" s="97"/>
      <c r="I85" s="97"/>
      <c r="J85" s="97"/>
      <c r="K85" s="16" t="s">
        <v>10</v>
      </c>
      <c r="L85" s="21">
        <v>0</v>
      </c>
      <c r="M85" s="21">
        <v>0</v>
      </c>
      <c r="N85" s="21">
        <v>0</v>
      </c>
      <c r="O85" s="21">
        <v>0</v>
      </c>
    </row>
    <row r="86" spans="1:19" ht="12" customHeight="1" x14ac:dyDescent="0.2">
      <c r="A86" s="207"/>
      <c r="B86" s="101"/>
      <c r="C86" s="97"/>
      <c r="D86" s="97"/>
      <c r="E86" s="97"/>
      <c r="F86" s="97"/>
      <c r="G86" s="106"/>
      <c r="H86" s="97"/>
      <c r="I86" s="97"/>
      <c r="J86" s="97"/>
      <c r="K86" s="16" t="s">
        <v>11</v>
      </c>
      <c r="L86" s="21">
        <v>0</v>
      </c>
      <c r="M86" s="21">
        <v>0</v>
      </c>
      <c r="N86" s="21">
        <v>0</v>
      </c>
      <c r="O86" s="21">
        <v>0</v>
      </c>
    </row>
    <row r="87" spans="1:19" ht="12" customHeight="1" x14ac:dyDescent="0.2">
      <c r="A87" s="207"/>
      <c r="B87" s="101"/>
      <c r="C87" s="97"/>
      <c r="D87" s="97"/>
      <c r="E87" s="97"/>
      <c r="F87" s="97"/>
      <c r="G87" s="106"/>
      <c r="H87" s="97"/>
      <c r="I87" s="97"/>
      <c r="J87" s="97"/>
      <c r="K87" s="16" t="s">
        <v>12</v>
      </c>
      <c r="L87" s="21">
        <v>0</v>
      </c>
      <c r="M87" s="21">
        <v>0</v>
      </c>
      <c r="N87" s="21">
        <v>0</v>
      </c>
      <c r="O87" s="21">
        <v>0</v>
      </c>
    </row>
    <row r="88" spans="1:19" ht="12" customHeight="1" x14ac:dyDescent="0.2">
      <c r="A88" s="207"/>
      <c r="B88" s="101"/>
      <c r="C88" s="97"/>
      <c r="D88" s="97"/>
      <c r="E88" s="97"/>
      <c r="F88" s="97"/>
      <c r="G88" s="106"/>
      <c r="H88" s="97"/>
      <c r="I88" s="97"/>
      <c r="J88" s="97"/>
      <c r="K88" s="16" t="s">
        <v>13</v>
      </c>
      <c r="L88" s="21">
        <v>0</v>
      </c>
      <c r="M88" s="21">
        <v>0</v>
      </c>
      <c r="N88" s="21">
        <v>0</v>
      </c>
      <c r="O88" s="21">
        <v>0</v>
      </c>
    </row>
    <row r="89" spans="1:19" ht="12" customHeight="1" x14ac:dyDescent="0.2">
      <c r="A89" s="207"/>
      <c r="B89" s="101"/>
      <c r="C89" s="97"/>
      <c r="D89" s="97"/>
      <c r="E89" s="97"/>
      <c r="F89" s="97"/>
      <c r="G89" s="106"/>
      <c r="H89" s="97"/>
      <c r="I89" s="97"/>
      <c r="J89" s="97"/>
      <c r="K89" s="16" t="s">
        <v>14</v>
      </c>
      <c r="L89" s="21">
        <v>0</v>
      </c>
      <c r="M89" s="21">
        <v>0</v>
      </c>
      <c r="N89" s="21">
        <v>0</v>
      </c>
      <c r="O89" s="21">
        <v>0</v>
      </c>
    </row>
    <row r="90" spans="1:19" ht="12" customHeight="1" x14ac:dyDescent="0.2">
      <c r="A90" s="207"/>
      <c r="B90" s="101"/>
      <c r="C90" s="97"/>
      <c r="D90" s="97"/>
      <c r="E90" s="97"/>
      <c r="F90" s="97"/>
      <c r="G90" s="106"/>
      <c r="H90" s="97"/>
      <c r="I90" s="97"/>
      <c r="J90" s="97"/>
      <c r="K90" s="16" t="s">
        <v>15</v>
      </c>
      <c r="L90" s="21">
        <v>0</v>
      </c>
      <c r="M90" s="21">
        <v>0</v>
      </c>
      <c r="N90" s="21">
        <v>0</v>
      </c>
      <c r="O90" s="21">
        <v>0</v>
      </c>
    </row>
    <row r="91" spans="1:19" ht="12" customHeight="1" x14ac:dyDescent="0.2">
      <c r="A91" s="207"/>
      <c r="B91" s="101"/>
      <c r="C91" s="97"/>
      <c r="D91" s="97"/>
      <c r="E91" s="97"/>
      <c r="F91" s="97"/>
      <c r="G91" s="106"/>
      <c r="H91" s="97"/>
      <c r="I91" s="97"/>
      <c r="J91" s="97"/>
      <c r="K91" s="16" t="s">
        <v>16</v>
      </c>
      <c r="L91" s="21">
        <v>0</v>
      </c>
      <c r="M91" s="21">
        <v>0</v>
      </c>
      <c r="N91" s="21">
        <v>0</v>
      </c>
      <c r="O91" s="21">
        <v>0</v>
      </c>
    </row>
    <row r="92" spans="1:19" ht="12" customHeight="1" x14ac:dyDescent="0.2">
      <c r="A92" s="207"/>
      <c r="B92" s="101"/>
      <c r="C92" s="97"/>
      <c r="D92" s="97"/>
      <c r="E92" s="97"/>
      <c r="F92" s="97"/>
      <c r="G92" s="106"/>
      <c r="H92" s="97"/>
      <c r="I92" s="97"/>
      <c r="J92" s="97"/>
      <c r="K92" s="16" t="s">
        <v>17</v>
      </c>
      <c r="L92" s="21">
        <v>0</v>
      </c>
      <c r="M92" s="21">
        <v>0</v>
      </c>
      <c r="N92" s="21">
        <v>0</v>
      </c>
      <c r="O92" s="21">
        <v>0</v>
      </c>
    </row>
    <row r="93" spans="1:19" ht="12" customHeight="1" x14ac:dyDescent="0.2">
      <c r="A93" s="207"/>
      <c r="B93" s="101"/>
      <c r="C93" s="97"/>
      <c r="D93" s="97"/>
      <c r="E93" s="97"/>
      <c r="F93" s="97"/>
      <c r="G93" s="106"/>
      <c r="H93" s="97"/>
      <c r="I93" s="97"/>
      <c r="J93" s="97"/>
      <c r="K93" s="16" t="s">
        <v>18</v>
      </c>
      <c r="L93" s="21">
        <v>0</v>
      </c>
      <c r="M93" s="21">
        <v>0</v>
      </c>
      <c r="N93" s="21">
        <v>0</v>
      </c>
      <c r="O93" s="21">
        <v>0</v>
      </c>
    </row>
    <row r="94" spans="1:19" ht="12" customHeight="1" x14ac:dyDescent="0.2">
      <c r="A94" s="207"/>
      <c r="B94" s="101"/>
      <c r="C94" s="97"/>
      <c r="D94" s="97"/>
      <c r="E94" s="97"/>
      <c r="F94" s="97"/>
      <c r="G94" s="107"/>
      <c r="H94" s="97"/>
      <c r="I94" s="97"/>
      <c r="J94" s="97"/>
      <c r="K94" s="16" t="s">
        <v>0</v>
      </c>
      <c r="L94" s="17">
        <f>SUM(L82:L93)</f>
        <v>0</v>
      </c>
      <c r="M94" s="17">
        <f t="shared" ref="M94:O94" si="16">SUM(M82:M93)</f>
        <v>0</v>
      </c>
      <c r="N94" s="17">
        <f t="shared" si="16"/>
        <v>0</v>
      </c>
      <c r="O94" s="17">
        <f t="shared" si="16"/>
        <v>0</v>
      </c>
    </row>
    <row r="95" spans="1:19" x14ac:dyDescent="0.2">
      <c r="A95" s="207"/>
      <c r="B95" s="101" t="s">
        <v>48</v>
      </c>
      <c r="C95" s="97" t="s">
        <v>219</v>
      </c>
      <c r="D95" s="97" t="s">
        <v>53</v>
      </c>
      <c r="E95" s="97" t="s">
        <v>124</v>
      </c>
      <c r="F95" s="97" t="s">
        <v>83</v>
      </c>
      <c r="G95" s="105" t="s">
        <v>95</v>
      </c>
      <c r="H95" s="97"/>
      <c r="I95" s="97"/>
      <c r="J95" s="97"/>
      <c r="K95" s="16" t="s">
        <v>7</v>
      </c>
      <c r="L95" s="21">
        <v>0</v>
      </c>
      <c r="M95" s="21">
        <v>0</v>
      </c>
      <c r="N95" s="21">
        <v>0</v>
      </c>
      <c r="O95" s="21">
        <v>0</v>
      </c>
    </row>
    <row r="96" spans="1:19" x14ac:dyDescent="0.2">
      <c r="A96" s="207"/>
      <c r="B96" s="101"/>
      <c r="C96" s="97"/>
      <c r="D96" s="97"/>
      <c r="E96" s="97"/>
      <c r="F96" s="97"/>
      <c r="G96" s="106"/>
      <c r="H96" s="97"/>
      <c r="I96" s="97"/>
      <c r="J96" s="97"/>
      <c r="K96" s="16" t="s">
        <v>8</v>
      </c>
      <c r="L96" s="21">
        <v>0</v>
      </c>
      <c r="M96" s="21">
        <v>0</v>
      </c>
      <c r="N96" s="21">
        <v>0</v>
      </c>
      <c r="O96" s="21">
        <v>0</v>
      </c>
      <c r="P96" s="112"/>
      <c r="Q96" s="112"/>
      <c r="R96" s="112"/>
      <c r="S96" s="112"/>
    </row>
    <row r="97" spans="1:15" x14ac:dyDescent="0.2">
      <c r="A97" s="207"/>
      <c r="B97" s="101"/>
      <c r="C97" s="97"/>
      <c r="D97" s="97"/>
      <c r="E97" s="97"/>
      <c r="F97" s="97"/>
      <c r="G97" s="106"/>
      <c r="H97" s="97"/>
      <c r="I97" s="97"/>
      <c r="J97" s="97"/>
      <c r="K97" s="16" t="s">
        <v>9</v>
      </c>
      <c r="L97" s="21">
        <v>0</v>
      </c>
      <c r="M97" s="21">
        <v>0</v>
      </c>
      <c r="N97" s="21">
        <v>0</v>
      </c>
      <c r="O97" s="21">
        <v>0</v>
      </c>
    </row>
    <row r="98" spans="1:15" x14ac:dyDescent="0.2">
      <c r="A98" s="207"/>
      <c r="B98" s="101"/>
      <c r="C98" s="97"/>
      <c r="D98" s="97"/>
      <c r="E98" s="97"/>
      <c r="F98" s="97"/>
      <c r="G98" s="106"/>
      <c r="H98" s="97"/>
      <c r="I98" s="97"/>
      <c r="J98" s="97"/>
      <c r="K98" s="16" t="s">
        <v>10</v>
      </c>
      <c r="L98" s="21">
        <v>0</v>
      </c>
      <c r="M98" s="21">
        <v>0</v>
      </c>
      <c r="N98" s="21">
        <v>0</v>
      </c>
      <c r="O98" s="21">
        <v>0</v>
      </c>
    </row>
    <row r="99" spans="1:15" x14ac:dyDescent="0.2">
      <c r="A99" s="207"/>
      <c r="B99" s="101"/>
      <c r="C99" s="97"/>
      <c r="D99" s="97"/>
      <c r="E99" s="97"/>
      <c r="F99" s="97"/>
      <c r="G99" s="106"/>
      <c r="H99" s="97"/>
      <c r="I99" s="97"/>
      <c r="J99" s="97"/>
      <c r="K99" s="16" t="s">
        <v>11</v>
      </c>
      <c r="L99" s="21">
        <v>0</v>
      </c>
      <c r="M99" s="21">
        <v>0</v>
      </c>
      <c r="N99" s="21">
        <v>0</v>
      </c>
      <c r="O99" s="21">
        <v>0</v>
      </c>
    </row>
    <row r="100" spans="1:15" x14ac:dyDescent="0.2">
      <c r="A100" s="207"/>
      <c r="B100" s="101"/>
      <c r="C100" s="97"/>
      <c r="D100" s="97"/>
      <c r="E100" s="97"/>
      <c r="F100" s="97"/>
      <c r="G100" s="106"/>
      <c r="H100" s="97"/>
      <c r="I100" s="97"/>
      <c r="J100" s="97"/>
      <c r="K100" s="16" t="s">
        <v>12</v>
      </c>
      <c r="L100" s="21">
        <v>0</v>
      </c>
      <c r="M100" s="21">
        <v>0</v>
      </c>
      <c r="N100" s="21">
        <v>0</v>
      </c>
      <c r="O100" s="21">
        <v>0</v>
      </c>
    </row>
    <row r="101" spans="1:15" x14ac:dyDescent="0.2">
      <c r="A101" s="207"/>
      <c r="B101" s="101"/>
      <c r="C101" s="97"/>
      <c r="D101" s="97"/>
      <c r="E101" s="97"/>
      <c r="F101" s="97"/>
      <c r="G101" s="106"/>
      <c r="H101" s="97"/>
      <c r="I101" s="97"/>
      <c r="J101" s="97"/>
      <c r="K101" s="16" t="s">
        <v>13</v>
      </c>
      <c r="L101" s="21">
        <v>0</v>
      </c>
      <c r="M101" s="21">
        <v>0</v>
      </c>
      <c r="N101" s="21">
        <v>0</v>
      </c>
      <c r="O101" s="21">
        <v>0</v>
      </c>
    </row>
    <row r="102" spans="1:15" x14ac:dyDescent="0.2">
      <c r="A102" s="207"/>
      <c r="B102" s="101"/>
      <c r="C102" s="97"/>
      <c r="D102" s="97"/>
      <c r="E102" s="97"/>
      <c r="F102" s="97"/>
      <c r="G102" s="106"/>
      <c r="H102" s="97"/>
      <c r="I102" s="97"/>
      <c r="J102" s="97"/>
      <c r="K102" s="16" t="s">
        <v>14</v>
      </c>
      <c r="L102" s="21">
        <v>0</v>
      </c>
      <c r="M102" s="21">
        <v>0</v>
      </c>
      <c r="N102" s="21">
        <v>0</v>
      </c>
      <c r="O102" s="21">
        <v>0</v>
      </c>
    </row>
    <row r="103" spans="1:15" x14ac:dyDescent="0.2">
      <c r="A103" s="207"/>
      <c r="B103" s="101"/>
      <c r="C103" s="97"/>
      <c r="D103" s="97"/>
      <c r="E103" s="97"/>
      <c r="F103" s="97"/>
      <c r="G103" s="106"/>
      <c r="H103" s="97"/>
      <c r="I103" s="97"/>
      <c r="J103" s="97"/>
      <c r="K103" s="16" t="s">
        <v>15</v>
      </c>
      <c r="L103" s="21">
        <v>0</v>
      </c>
      <c r="M103" s="21">
        <v>0</v>
      </c>
      <c r="N103" s="21">
        <v>0</v>
      </c>
      <c r="O103" s="21">
        <v>0</v>
      </c>
    </row>
    <row r="104" spans="1:15" x14ac:dyDescent="0.2">
      <c r="A104" s="207"/>
      <c r="B104" s="101"/>
      <c r="C104" s="97"/>
      <c r="D104" s="97"/>
      <c r="E104" s="97"/>
      <c r="F104" s="97"/>
      <c r="G104" s="106"/>
      <c r="H104" s="97"/>
      <c r="I104" s="97"/>
      <c r="J104" s="97"/>
      <c r="K104" s="16" t="s">
        <v>16</v>
      </c>
      <c r="L104" s="21">
        <v>0</v>
      </c>
      <c r="M104" s="21">
        <v>0</v>
      </c>
      <c r="N104" s="21">
        <v>0</v>
      </c>
      <c r="O104" s="21">
        <v>0</v>
      </c>
    </row>
    <row r="105" spans="1:15" x14ac:dyDescent="0.2">
      <c r="A105" s="207"/>
      <c r="B105" s="101"/>
      <c r="C105" s="97"/>
      <c r="D105" s="97"/>
      <c r="E105" s="97"/>
      <c r="F105" s="97"/>
      <c r="G105" s="106"/>
      <c r="H105" s="97"/>
      <c r="I105" s="97"/>
      <c r="J105" s="97"/>
      <c r="K105" s="16" t="s">
        <v>17</v>
      </c>
      <c r="L105" s="21">
        <v>0</v>
      </c>
      <c r="M105" s="21">
        <v>0</v>
      </c>
      <c r="N105" s="21">
        <v>0</v>
      </c>
      <c r="O105" s="21">
        <v>0</v>
      </c>
    </row>
    <row r="106" spans="1:15" x14ac:dyDescent="0.2">
      <c r="A106" s="207"/>
      <c r="B106" s="101"/>
      <c r="C106" s="97"/>
      <c r="D106" s="97"/>
      <c r="E106" s="97"/>
      <c r="F106" s="97"/>
      <c r="G106" s="106"/>
      <c r="H106" s="97"/>
      <c r="I106" s="97"/>
      <c r="J106" s="97"/>
      <c r="K106" s="16" t="s">
        <v>18</v>
      </c>
      <c r="L106" s="21">
        <v>0</v>
      </c>
      <c r="M106" s="21">
        <v>0</v>
      </c>
      <c r="N106" s="21">
        <v>0</v>
      </c>
      <c r="O106" s="21">
        <v>0</v>
      </c>
    </row>
    <row r="107" spans="1:15" x14ac:dyDescent="0.2">
      <c r="A107" s="207"/>
      <c r="B107" s="101"/>
      <c r="C107" s="97"/>
      <c r="D107" s="97"/>
      <c r="E107" s="97"/>
      <c r="F107" s="97"/>
      <c r="G107" s="107"/>
      <c r="H107" s="97"/>
      <c r="I107" s="97"/>
      <c r="J107" s="97"/>
      <c r="K107" s="16" t="s">
        <v>0</v>
      </c>
      <c r="L107" s="17">
        <f>SUM(L95:L106)</f>
        <v>0</v>
      </c>
      <c r="M107" s="17">
        <f t="shared" ref="M107" si="17">SUM(M95:M106)</f>
        <v>0</v>
      </c>
      <c r="N107" s="17">
        <f t="shared" ref="N107" si="18">SUM(N95:N106)</f>
        <v>0</v>
      </c>
      <c r="O107" s="17">
        <f t="shared" ref="O107" si="19">SUM(O95:O106)</f>
        <v>0</v>
      </c>
    </row>
    <row r="108" spans="1:15" ht="12.75" customHeight="1" x14ac:dyDescent="0.2">
      <c r="A108" s="207"/>
      <c r="B108" s="113" t="s">
        <v>48</v>
      </c>
      <c r="C108" s="105" t="s">
        <v>220</v>
      </c>
      <c r="D108" s="105" t="s">
        <v>54</v>
      </c>
      <c r="E108" s="105" t="s">
        <v>124</v>
      </c>
      <c r="F108" s="105" t="s">
        <v>83</v>
      </c>
      <c r="G108" s="105" t="s">
        <v>95</v>
      </c>
      <c r="H108" s="105"/>
      <c r="I108" s="105"/>
      <c r="J108" s="105"/>
      <c r="K108" s="16" t="s">
        <v>7</v>
      </c>
      <c r="L108" s="21">
        <v>0</v>
      </c>
      <c r="M108" s="21">
        <v>0</v>
      </c>
      <c r="N108" s="21">
        <v>0</v>
      </c>
      <c r="O108" s="21">
        <v>0</v>
      </c>
    </row>
    <row r="109" spans="1:15" x14ac:dyDescent="0.2">
      <c r="A109" s="207"/>
      <c r="B109" s="114"/>
      <c r="C109" s="106"/>
      <c r="D109" s="106"/>
      <c r="E109" s="106"/>
      <c r="F109" s="106"/>
      <c r="G109" s="106"/>
      <c r="H109" s="106"/>
      <c r="I109" s="106"/>
      <c r="J109" s="106"/>
      <c r="K109" s="16" t="s">
        <v>8</v>
      </c>
      <c r="L109" s="21">
        <v>0</v>
      </c>
      <c r="M109" s="21">
        <v>0</v>
      </c>
      <c r="N109" s="21">
        <v>0</v>
      </c>
      <c r="O109" s="21">
        <v>0</v>
      </c>
    </row>
    <row r="110" spans="1:15" x14ac:dyDescent="0.2">
      <c r="A110" s="207"/>
      <c r="B110" s="114"/>
      <c r="C110" s="106"/>
      <c r="D110" s="106"/>
      <c r="E110" s="106"/>
      <c r="F110" s="106"/>
      <c r="G110" s="106"/>
      <c r="H110" s="106"/>
      <c r="I110" s="106"/>
      <c r="J110" s="106"/>
      <c r="K110" s="16" t="s">
        <v>9</v>
      </c>
      <c r="L110" s="21">
        <v>0</v>
      </c>
      <c r="M110" s="21">
        <v>0</v>
      </c>
      <c r="N110" s="21">
        <v>0</v>
      </c>
      <c r="O110" s="21">
        <v>0</v>
      </c>
    </row>
    <row r="111" spans="1:15" x14ac:dyDescent="0.2">
      <c r="A111" s="207"/>
      <c r="B111" s="114"/>
      <c r="C111" s="106"/>
      <c r="D111" s="106"/>
      <c r="E111" s="106"/>
      <c r="F111" s="106"/>
      <c r="G111" s="106"/>
      <c r="H111" s="106"/>
      <c r="I111" s="106"/>
      <c r="J111" s="106"/>
      <c r="K111" s="16" t="s">
        <v>10</v>
      </c>
      <c r="L111" s="21">
        <v>0</v>
      </c>
      <c r="M111" s="21">
        <v>0</v>
      </c>
      <c r="N111" s="21">
        <v>0</v>
      </c>
      <c r="O111" s="21">
        <v>0</v>
      </c>
    </row>
    <row r="112" spans="1:15" x14ac:dyDescent="0.2">
      <c r="A112" s="207"/>
      <c r="B112" s="114"/>
      <c r="C112" s="106"/>
      <c r="D112" s="106"/>
      <c r="E112" s="106"/>
      <c r="F112" s="106"/>
      <c r="G112" s="106"/>
      <c r="H112" s="106"/>
      <c r="I112" s="106"/>
      <c r="J112" s="106"/>
      <c r="K112" s="16" t="s">
        <v>11</v>
      </c>
      <c r="L112" s="21">
        <v>0</v>
      </c>
      <c r="M112" s="21">
        <v>0</v>
      </c>
      <c r="N112" s="21">
        <v>0</v>
      </c>
      <c r="O112" s="21">
        <v>0</v>
      </c>
    </row>
    <row r="113" spans="1:15" x14ac:dyDescent="0.2">
      <c r="A113" s="207"/>
      <c r="B113" s="114"/>
      <c r="C113" s="106"/>
      <c r="D113" s="106"/>
      <c r="E113" s="106"/>
      <c r="F113" s="106"/>
      <c r="G113" s="106"/>
      <c r="H113" s="106"/>
      <c r="I113" s="106"/>
      <c r="J113" s="106"/>
      <c r="K113" s="16" t="s">
        <v>12</v>
      </c>
      <c r="L113" s="21">
        <v>0</v>
      </c>
      <c r="M113" s="21">
        <v>0</v>
      </c>
      <c r="N113" s="21">
        <v>0</v>
      </c>
      <c r="O113" s="21">
        <v>0</v>
      </c>
    </row>
    <row r="114" spans="1:15" x14ac:dyDescent="0.2">
      <c r="A114" s="207"/>
      <c r="B114" s="114"/>
      <c r="C114" s="106"/>
      <c r="D114" s="106"/>
      <c r="E114" s="106"/>
      <c r="F114" s="106"/>
      <c r="G114" s="106"/>
      <c r="H114" s="106"/>
      <c r="I114" s="106"/>
      <c r="J114" s="106"/>
      <c r="K114" s="16" t="s">
        <v>13</v>
      </c>
      <c r="L114" s="21">
        <v>0</v>
      </c>
      <c r="M114" s="21">
        <v>0</v>
      </c>
      <c r="N114" s="21">
        <v>0</v>
      </c>
      <c r="O114" s="21">
        <v>0</v>
      </c>
    </row>
    <row r="115" spans="1:15" x14ac:dyDescent="0.2">
      <c r="A115" s="207"/>
      <c r="B115" s="114"/>
      <c r="C115" s="106"/>
      <c r="D115" s="106"/>
      <c r="E115" s="106"/>
      <c r="F115" s="106"/>
      <c r="G115" s="106"/>
      <c r="H115" s="106"/>
      <c r="I115" s="106"/>
      <c r="J115" s="106"/>
      <c r="K115" s="16" t="s">
        <v>14</v>
      </c>
      <c r="L115" s="21">
        <v>0</v>
      </c>
      <c r="M115" s="21">
        <v>0</v>
      </c>
      <c r="N115" s="21">
        <v>0</v>
      </c>
      <c r="O115" s="21">
        <v>0</v>
      </c>
    </row>
    <row r="116" spans="1:15" x14ac:dyDescent="0.2">
      <c r="A116" s="207"/>
      <c r="B116" s="114"/>
      <c r="C116" s="106"/>
      <c r="D116" s="106"/>
      <c r="E116" s="106"/>
      <c r="F116" s="106"/>
      <c r="G116" s="106"/>
      <c r="H116" s="106"/>
      <c r="I116" s="106"/>
      <c r="J116" s="106"/>
      <c r="K116" s="16" t="s">
        <v>15</v>
      </c>
      <c r="L116" s="21">
        <v>0</v>
      </c>
      <c r="M116" s="21">
        <v>0</v>
      </c>
      <c r="N116" s="21">
        <v>0</v>
      </c>
      <c r="O116" s="21">
        <v>0</v>
      </c>
    </row>
    <row r="117" spans="1:15" x14ac:dyDescent="0.2">
      <c r="A117" s="207"/>
      <c r="B117" s="114"/>
      <c r="C117" s="106"/>
      <c r="D117" s="106"/>
      <c r="E117" s="106"/>
      <c r="F117" s="106"/>
      <c r="G117" s="106"/>
      <c r="H117" s="106"/>
      <c r="I117" s="106"/>
      <c r="J117" s="106"/>
      <c r="K117" s="16" t="s">
        <v>16</v>
      </c>
      <c r="L117" s="21">
        <v>0</v>
      </c>
      <c r="M117" s="21">
        <v>0</v>
      </c>
      <c r="N117" s="21">
        <v>0</v>
      </c>
      <c r="O117" s="21">
        <v>0</v>
      </c>
    </row>
    <row r="118" spans="1:15" x14ac:dyDescent="0.2">
      <c r="A118" s="207"/>
      <c r="B118" s="114"/>
      <c r="C118" s="106"/>
      <c r="D118" s="106"/>
      <c r="E118" s="106"/>
      <c r="F118" s="106"/>
      <c r="G118" s="106"/>
      <c r="H118" s="106"/>
      <c r="I118" s="106"/>
      <c r="J118" s="106"/>
      <c r="K118" s="16" t="s">
        <v>17</v>
      </c>
      <c r="L118" s="21">
        <v>0</v>
      </c>
      <c r="M118" s="21">
        <v>0</v>
      </c>
      <c r="N118" s="21">
        <v>0</v>
      </c>
      <c r="O118" s="21">
        <v>0</v>
      </c>
    </row>
    <row r="119" spans="1:15" x14ac:dyDescent="0.2">
      <c r="A119" s="207"/>
      <c r="B119" s="114"/>
      <c r="C119" s="106"/>
      <c r="D119" s="106"/>
      <c r="E119" s="106"/>
      <c r="F119" s="106"/>
      <c r="G119" s="106"/>
      <c r="H119" s="106"/>
      <c r="I119" s="106"/>
      <c r="J119" s="106"/>
      <c r="K119" s="16" t="s">
        <v>18</v>
      </c>
      <c r="L119" s="21">
        <v>0</v>
      </c>
      <c r="M119" s="21">
        <v>0</v>
      </c>
      <c r="N119" s="21">
        <v>0</v>
      </c>
      <c r="O119" s="21">
        <v>0</v>
      </c>
    </row>
    <row r="120" spans="1:15" ht="12.75" customHeight="1" x14ac:dyDescent="0.2">
      <c r="A120" s="207"/>
      <c r="B120" s="115"/>
      <c r="C120" s="107"/>
      <c r="D120" s="107"/>
      <c r="E120" s="107"/>
      <c r="F120" s="107"/>
      <c r="G120" s="107"/>
      <c r="H120" s="107"/>
      <c r="I120" s="107"/>
      <c r="J120" s="107"/>
      <c r="K120" s="16" t="s">
        <v>0</v>
      </c>
      <c r="L120" s="17">
        <f>SUM(L108:L119)</f>
        <v>0</v>
      </c>
      <c r="M120" s="17">
        <f t="shared" ref="M120" si="20">SUM(M108:M119)</f>
        <v>0</v>
      </c>
      <c r="N120" s="17">
        <f t="shared" ref="N120" si="21">SUM(N108:N119)</f>
        <v>0</v>
      </c>
      <c r="O120" s="17">
        <f t="shared" ref="O120" si="22">SUM(O108:O119)</f>
        <v>0</v>
      </c>
    </row>
    <row r="121" spans="1:15" ht="12.75" customHeight="1" x14ac:dyDescent="0.2">
      <c r="A121" s="207"/>
      <c r="B121" s="101" t="s">
        <v>48</v>
      </c>
      <c r="C121" s="97" t="s">
        <v>221</v>
      </c>
      <c r="D121" s="97" t="s">
        <v>125</v>
      </c>
      <c r="E121" s="97" t="s">
        <v>126</v>
      </c>
      <c r="F121" s="97" t="s">
        <v>83</v>
      </c>
      <c r="G121" s="97" t="s">
        <v>93</v>
      </c>
      <c r="H121" s="97"/>
      <c r="I121" s="97"/>
      <c r="J121" s="97"/>
      <c r="K121" s="16" t="s">
        <v>7</v>
      </c>
      <c r="L121" s="21">
        <v>0</v>
      </c>
      <c r="M121" s="21">
        <v>0</v>
      </c>
      <c r="N121" s="21">
        <v>0</v>
      </c>
      <c r="O121" s="21">
        <v>0</v>
      </c>
    </row>
    <row r="122" spans="1:15" x14ac:dyDescent="0.2">
      <c r="A122" s="207"/>
      <c r="B122" s="101"/>
      <c r="C122" s="97"/>
      <c r="D122" s="97"/>
      <c r="E122" s="97"/>
      <c r="F122" s="97"/>
      <c r="G122" s="97"/>
      <c r="H122" s="97"/>
      <c r="I122" s="97"/>
      <c r="J122" s="97"/>
      <c r="K122" s="16" t="s">
        <v>8</v>
      </c>
      <c r="L122" s="21">
        <v>0</v>
      </c>
      <c r="M122" s="21">
        <v>0</v>
      </c>
      <c r="N122" s="21">
        <v>0</v>
      </c>
      <c r="O122" s="21">
        <v>0</v>
      </c>
    </row>
    <row r="123" spans="1:15" x14ac:dyDescent="0.2">
      <c r="A123" s="207"/>
      <c r="B123" s="101"/>
      <c r="C123" s="97"/>
      <c r="D123" s="97"/>
      <c r="E123" s="97"/>
      <c r="F123" s="97"/>
      <c r="G123" s="97"/>
      <c r="H123" s="97"/>
      <c r="I123" s="97"/>
      <c r="J123" s="97"/>
      <c r="K123" s="16" t="s">
        <v>9</v>
      </c>
      <c r="L123" s="21">
        <v>0</v>
      </c>
      <c r="M123" s="21">
        <v>0</v>
      </c>
      <c r="N123" s="21">
        <v>0</v>
      </c>
      <c r="O123" s="21">
        <v>0</v>
      </c>
    </row>
    <row r="124" spans="1:15" x14ac:dyDescent="0.2">
      <c r="A124" s="207"/>
      <c r="B124" s="101"/>
      <c r="C124" s="97"/>
      <c r="D124" s="97"/>
      <c r="E124" s="97"/>
      <c r="F124" s="97"/>
      <c r="G124" s="97"/>
      <c r="H124" s="97"/>
      <c r="I124" s="97"/>
      <c r="J124" s="97"/>
      <c r="K124" s="16" t="s">
        <v>10</v>
      </c>
      <c r="L124" s="21">
        <v>0</v>
      </c>
      <c r="M124" s="21">
        <v>0</v>
      </c>
      <c r="N124" s="21">
        <v>0</v>
      </c>
      <c r="O124" s="21">
        <v>0</v>
      </c>
    </row>
    <row r="125" spans="1:15" x14ac:dyDescent="0.2">
      <c r="A125" s="207"/>
      <c r="B125" s="101"/>
      <c r="C125" s="97"/>
      <c r="D125" s="97"/>
      <c r="E125" s="97"/>
      <c r="F125" s="97"/>
      <c r="G125" s="97"/>
      <c r="H125" s="97"/>
      <c r="I125" s="97"/>
      <c r="J125" s="97"/>
      <c r="K125" s="16" t="s">
        <v>11</v>
      </c>
      <c r="L125" s="21">
        <v>0</v>
      </c>
      <c r="M125" s="21">
        <v>0</v>
      </c>
      <c r="N125" s="21">
        <v>0</v>
      </c>
      <c r="O125" s="21">
        <v>0</v>
      </c>
    </row>
    <row r="126" spans="1:15" x14ac:dyDescent="0.2">
      <c r="A126" s="207"/>
      <c r="B126" s="101"/>
      <c r="C126" s="97"/>
      <c r="D126" s="97"/>
      <c r="E126" s="97"/>
      <c r="F126" s="97"/>
      <c r="G126" s="97"/>
      <c r="H126" s="97"/>
      <c r="I126" s="97"/>
      <c r="J126" s="97"/>
      <c r="K126" s="16" t="s">
        <v>12</v>
      </c>
      <c r="L126" s="21">
        <v>0</v>
      </c>
      <c r="M126" s="21">
        <v>0</v>
      </c>
      <c r="N126" s="21">
        <v>0</v>
      </c>
      <c r="O126" s="21">
        <v>0</v>
      </c>
    </row>
    <row r="127" spans="1:15" x14ac:dyDescent="0.2">
      <c r="A127" s="207"/>
      <c r="B127" s="101"/>
      <c r="C127" s="97"/>
      <c r="D127" s="97"/>
      <c r="E127" s="97"/>
      <c r="F127" s="97"/>
      <c r="G127" s="97"/>
      <c r="H127" s="97"/>
      <c r="I127" s="97"/>
      <c r="J127" s="97"/>
      <c r="K127" s="16" t="s">
        <v>13</v>
      </c>
      <c r="L127" s="21">
        <v>0</v>
      </c>
      <c r="M127" s="21">
        <v>0</v>
      </c>
      <c r="N127" s="21">
        <v>0</v>
      </c>
      <c r="O127" s="21">
        <v>0</v>
      </c>
    </row>
    <row r="128" spans="1:15" x14ac:dyDescent="0.2">
      <c r="A128" s="207"/>
      <c r="B128" s="101"/>
      <c r="C128" s="97"/>
      <c r="D128" s="97"/>
      <c r="E128" s="97"/>
      <c r="F128" s="97"/>
      <c r="G128" s="97"/>
      <c r="H128" s="97"/>
      <c r="I128" s="97"/>
      <c r="J128" s="97"/>
      <c r="K128" s="16" t="s">
        <v>14</v>
      </c>
      <c r="L128" s="21">
        <v>0</v>
      </c>
      <c r="M128" s="21">
        <v>0</v>
      </c>
      <c r="N128" s="21">
        <v>0</v>
      </c>
      <c r="O128" s="21">
        <v>0</v>
      </c>
    </row>
    <row r="129" spans="1:15" x14ac:dyDescent="0.2">
      <c r="A129" s="207"/>
      <c r="B129" s="101"/>
      <c r="C129" s="97"/>
      <c r="D129" s="97"/>
      <c r="E129" s="97"/>
      <c r="F129" s="97"/>
      <c r="G129" s="97"/>
      <c r="H129" s="97"/>
      <c r="I129" s="97"/>
      <c r="J129" s="97"/>
      <c r="K129" s="16" t="s">
        <v>15</v>
      </c>
      <c r="L129" s="21">
        <v>0</v>
      </c>
      <c r="M129" s="21">
        <v>0</v>
      </c>
      <c r="N129" s="21">
        <v>0</v>
      </c>
      <c r="O129" s="21">
        <v>0</v>
      </c>
    </row>
    <row r="130" spans="1:15" x14ac:dyDescent="0.2">
      <c r="A130" s="207"/>
      <c r="B130" s="101"/>
      <c r="C130" s="97"/>
      <c r="D130" s="97"/>
      <c r="E130" s="97"/>
      <c r="F130" s="97"/>
      <c r="G130" s="97"/>
      <c r="H130" s="97"/>
      <c r="I130" s="97"/>
      <c r="J130" s="97"/>
      <c r="K130" s="16" t="s">
        <v>16</v>
      </c>
      <c r="L130" s="21">
        <v>0</v>
      </c>
      <c r="M130" s="21">
        <v>0</v>
      </c>
      <c r="N130" s="21">
        <v>0</v>
      </c>
      <c r="O130" s="21">
        <v>0</v>
      </c>
    </row>
    <row r="131" spans="1:15" x14ac:dyDescent="0.2">
      <c r="A131" s="207"/>
      <c r="B131" s="101"/>
      <c r="C131" s="97"/>
      <c r="D131" s="97"/>
      <c r="E131" s="97"/>
      <c r="F131" s="97"/>
      <c r="G131" s="97"/>
      <c r="H131" s="97"/>
      <c r="I131" s="97"/>
      <c r="J131" s="97"/>
      <c r="K131" s="16" t="s">
        <v>17</v>
      </c>
      <c r="L131" s="21">
        <v>0</v>
      </c>
      <c r="M131" s="21">
        <v>0</v>
      </c>
      <c r="N131" s="21">
        <v>0</v>
      </c>
      <c r="O131" s="21">
        <v>0</v>
      </c>
    </row>
    <row r="132" spans="1:15" x14ac:dyDescent="0.2">
      <c r="A132" s="207"/>
      <c r="B132" s="101"/>
      <c r="C132" s="97"/>
      <c r="D132" s="97"/>
      <c r="E132" s="97"/>
      <c r="F132" s="97"/>
      <c r="G132" s="97"/>
      <c r="H132" s="97"/>
      <c r="I132" s="97"/>
      <c r="J132" s="97"/>
      <c r="K132" s="16" t="s">
        <v>18</v>
      </c>
      <c r="L132" s="21">
        <v>0</v>
      </c>
      <c r="M132" s="21">
        <v>0</v>
      </c>
      <c r="N132" s="21">
        <v>0</v>
      </c>
      <c r="O132" s="21">
        <v>0</v>
      </c>
    </row>
    <row r="133" spans="1:15" x14ac:dyDescent="0.2">
      <c r="A133" s="207"/>
      <c r="B133" s="101"/>
      <c r="C133" s="97"/>
      <c r="D133" s="97"/>
      <c r="E133" s="97"/>
      <c r="F133" s="97"/>
      <c r="G133" s="97"/>
      <c r="H133" s="97"/>
      <c r="I133" s="97"/>
      <c r="J133" s="97"/>
      <c r="K133" s="16" t="s">
        <v>0</v>
      </c>
      <c r="L133" s="17">
        <f>SUM(L121:L132)</f>
        <v>0</v>
      </c>
      <c r="M133" s="17">
        <f t="shared" ref="M133" si="23">SUM(M121:M132)</f>
        <v>0</v>
      </c>
      <c r="N133" s="17">
        <f t="shared" ref="N133" si="24">SUM(N121:N132)</f>
        <v>0</v>
      </c>
      <c r="O133" s="17">
        <f t="shared" ref="O133" si="25">SUM(O121:O132)</f>
        <v>0</v>
      </c>
    </row>
    <row r="134" spans="1:15" ht="12.75" customHeight="1" x14ac:dyDescent="0.2">
      <c r="A134" s="207"/>
      <c r="B134" s="101" t="s">
        <v>48</v>
      </c>
      <c r="C134" s="97" t="s">
        <v>222</v>
      </c>
      <c r="D134" s="97" t="s">
        <v>55</v>
      </c>
      <c r="E134" s="97" t="s">
        <v>147</v>
      </c>
      <c r="F134" s="97" t="s">
        <v>88</v>
      </c>
      <c r="G134" s="105" t="s">
        <v>95</v>
      </c>
      <c r="H134" s="97"/>
      <c r="I134" s="97"/>
      <c r="J134" s="97"/>
      <c r="K134" s="16" t="s">
        <v>7</v>
      </c>
      <c r="L134" s="27">
        <v>0</v>
      </c>
      <c r="M134" s="27">
        <v>0</v>
      </c>
      <c r="N134" s="28">
        <v>0</v>
      </c>
      <c r="O134" s="28">
        <v>0</v>
      </c>
    </row>
    <row r="135" spans="1:15" x14ac:dyDescent="0.2">
      <c r="A135" s="207"/>
      <c r="B135" s="101"/>
      <c r="C135" s="97"/>
      <c r="D135" s="97"/>
      <c r="E135" s="97"/>
      <c r="F135" s="97"/>
      <c r="G135" s="106"/>
      <c r="H135" s="97"/>
      <c r="I135" s="97"/>
      <c r="J135" s="97"/>
      <c r="K135" s="16" t="s">
        <v>8</v>
      </c>
      <c r="L135" s="27">
        <v>0</v>
      </c>
      <c r="M135" s="27">
        <v>0</v>
      </c>
      <c r="N135" s="28">
        <v>0</v>
      </c>
      <c r="O135" s="28">
        <v>0</v>
      </c>
    </row>
    <row r="136" spans="1:15" x14ac:dyDescent="0.2">
      <c r="A136" s="207"/>
      <c r="B136" s="101"/>
      <c r="C136" s="97"/>
      <c r="D136" s="97"/>
      <c r="E136" s="97"/>
      <c r="F136" s="97"/>
      <c r="G136" s="106"/>
      <c r="H136" s="97"/>
      <c r="I136" s="97"/>
      <c r="J136" s="97"/>
      <c r="K136" s="16" t="s">
        <v>9</v>
      </c>
      <c r="L136" s="27">
        <v>0</v>
      </c>
      <c r="M136" s="27">
        <v>0</v>
      </c>
      <c r="N136" s="28">
        <v>0</v>
      </c>
      <c r="O136" s="28">
        <v>0</v>
      </c>
    </row>
    <row r="137" spans="1:15" x14ac:dyDescent="0.2">
      <c r="A137" s="207"/>
      <c r="B137" s="101"/>
      <c r="C137" s="97"/>
      <c r="D137" s="97"/>
      <c r="E137" s="97"/>
      <c r="F137" s="97"/>
      <c r="G137" s="106"/>
      <c r="H137" s="97"/>
      <c r="I137" s="97"/>
      <c r="J137" s="97"/>
      <c r="K137" s="16" t="s">
        <v>10</v>
      </c>
      <c r="L137" s="27">
        <v>0</v>
      </c>
      <c r="M137" s="27">
        <v>0</v>
      </c>
      <c r="N137" s="28">
        <v>0</v>
      </c>
      <c r="O137" s="28">
        <v>0</v>
      </c>
    </row>
    <row r="138" spans="1:15" x14ac:dyDescent="0.2">
      <c r="A138" s="207"/>
      <c r="B138" s="101"/>
      <c r="C138" s="97"/>
      <c r="D138" s="97"/>
      <c r="E138" s="97"/>
      <c r="F138" s="97"/>
      <c r="G138" s="106"/>
      <c r="H138" s="97"/>
      <c r="I138" s="97"/>
      <c r="J138" s="97"/>
      <c r="K138" s="16" t="s">
        <v>11</v>
      </c>
      <c r="L138" s="27">
        <v>0</v>
      </c>
      <c r="M138" s="27">
        <v>0</v>
      </c>
      <c r="N138" s="28">
        <v>0</v>
      </c>
      <c r="O138" s="28">
        <v>0</v>
      </c>
    </row>
    <row r="139" spans="1:15" x14ac:dyDescent="0.2">
      <c r="A139" s="207"/>
      <c r="B139" s="101"/>
      <c r="C139" s="97"/>
      <c r="D139" s="97"/>
      <c r="E139" s="97"/>
      <c r="F139" s="97"/>
      <c r="G139" s="106"/>
      <c r="H139" s="97"/>
      <c r="I139" s="97"/>
      <c r="J139" s="97"/>
      <c r="K139" s="16" t="s">
        <v>12</v>
      </c>
      <c r="L139" s="27">
        <v>0</v>
      </c>
      <c r="M139" s="27">
        <v>0</v>
      </c>
      <c r="N139" s="28">
        <v>0</v>
      </c>
      <c r="O139" s="28">
        <v>0</v>
      </c>
    </row>
    <row r="140" spans="1:15" x14ac:dyDescent="0.2">
      <c r="A140" s="207"/>
      <c r="B140" s="101"/>
      <c r="C140" s="97"/>
      <c r="D140" s="97"/>
      <c r="E140" s="97"/>
      <c r="F140" s="97"/>
      <c r="G140" s="106"/>
      <c r="H140" s="97"/>
      <c r="I140" s="97"/>
      <c r="J140" s="97"/>
      <c r="K140" s="16" t="s">
        <v>13</v>
      </c>
      <c r="L140" s="27">
        <v>0</v>
      </c>
      <c r="M140" s="27">
        <v>0</v>
      </c>
      <c r="N140" s="28">
        <v>0</v>
      </c>
      <c r="O140" s="28">
        <v>0</v>
      </c>
    </row>
    <row r="141" spans="1:15" x14ac:dyDescent="0.2">
      <c r="A141" s="207"/>
      <c r="B141" s="101"/>
      <c r="C141" s="97"/>
      <c r="D141" s="97"/>
      <c r="E141" s="97"/>
      <c r="F141" s="97"/>
      <c r="G141" s="106"/>
      <c r="H141" s="97"/>
      <c r="I141" s="97"/>
      <c r="J141" s="97"/>
      <c r="K141" s="16" t="s">
        <v>14</v>
      </c>
      <c r="L141" s="27">
        <v>0</v>
      </c>
      <c r="M141" s="27">
        <v>0</v>
      </c>
      <c r="N141" s="28">
        <v>0</v>
      </c>
      <c r="O141" s="28">
        <v>0</v>
      </c>
    </row>
    <row r="142" spans="1:15" x14ac:dyDescent="0.2">
      <c r="A142" s="207"/>
      <c r="B142" s="101"/>
      <c r="C142" s="97"/>
      <c r="D142" s="97"/>
      <c r="E142" s="97"/>
      <c r="F142" s="97"/>
      <c r="G142" s="106"/>
      <c r="H142" s="97"/>
      <c r="I142" s="97"/>
      <c r="J142" s="97"/>
      <c r="K142" s="16" t="s">
        <v>15</v>
      </c>
      <c r="L142" s="27">
        <v>0</v>
      </c>
      <c r="M142" s="27">
        <v>0</v>
      </c>
      <c r="N142" s="28">
        <v>0</v>
      </c>
      <c r="O142" s="28">
        <v>0</v>
      </c>
    </row>
    <row r="143" spans="1:15" x14ac:dyDescent="0.2">
      <c r="A143" s="207"/>
      <c r="B143" s="101"/>
      <c r="C143" s="97"/>
      <c r="D143" s="97"/>
      <c r="E143" s="97"/>
      <c r="F143" s="97"/>
      <c r="G143" s="106"/>
      <c r="H143" s="97"/>
      <c r="I143" s="97"/>
      <c r="J143" s="97"/>
      <c r="K143" s="16" t="s">
        <v>16</v>
      </c>
      <c r="L143" s="27">
        <v>0</v>
      </c>
      <c r="M143" s="27">
        <v>0</v>
      </c>
      <c r="N143" s="28">
        <v>0</v>
      </c>
      <c r="O143" s="28">
        <v>0</v>
      </c>
    </row>
    <row r="144" spans="1:15" x14ac:dyDescent="0.2">
      <c r="A144" s="207"/>
      <c r="B144" s="101"/>
      <c r="C144" s="97"/>
      <c r="D144" s="97"/>
      <c r="E144" s="97"/>
      <c r="F144" s="97"/>
      <c r="G144" s="106"/>
      <c r="H144" s="97"/>
      <c r="I144" s="97"/>
      <c r="J144" s="97"/>
      <c r="K144" s="16" t="s">
        <v>17</v>
      </c>
      <c r="L144" s="27">
        <v>0</v>
      </c>
      <c r="M144" s="27">
        <v>0</v>
      </c>
      <c r="N144" s="28">
        <v>0</v>
      </c>
      <c r="O144" s="28">
        <v>0</v>
      </c>
    </row>
    <row r="145" spans="1:15" x14ac:dyDescent="0.2">
      <c r="A145" s="207"/>
      <c r="B145" s="101"/>
      <c r="C145" s="97"/>
      <c r="D145" s="97"/>
      <c r="E145" s="97"/>
      <c r="F145" s="97"/>
      <c r="G145" s="106"/>
      <c r="H145" s="97"/>
      <c r="I145" s="97"/>
      <c r="J145" s="97"/>
      <c r="K145" s="16" t="s">
        <v>18</v>
      </c>
      <c r="L145" s="27">
        <v>0</v>
      </c>
      <c r="M145" s="27">
        <v>0</v>
      </c>
      <c r="N145" s="28">
        <v>0</v>
      </c>
      <c r="O145" s="28">
        <v>0</v>
      </c>
    </row>
    <row r="146" spans="1:15" x14ac:dyDescent="0.2">
      <c r="A146" s="207"/>
      <c r="B146" s="101"/>
      <c r="C146" s="97"/>
      <c r="D146" s="97"/>
      <c r="E146" s="97"/>
      <c r="F146" s="97"/>
      <c r="G146" s="107"/>
      <c r="H146" s="97"/>
      <c r="I146" s="97"/>
      <c r="J146" s="97"/>
      <c r="K146" s="16" t="s">
        <v>0</v>
      </c>
      <c r="L146" s="25">
        <f>SUM(L134:L145)</f>
        <v>0</v>
      </c>
      <c r="M146" s="25">
        <f t="shared" ref="M146" si="26">SUM(M134:M145)</f>
        <v>0</v>
      </c>
      <c r="N146" s="26">
        <f t="shared" ref="N146" si="27">SUM(N134:N145)</f>
        <v>0</v>
      </c>
      <c r="O146" s="26">
        <f t="shared" ref="O146" si="28">SUM(O134:O145)</f>
        <v>0</v>
      </c>
    </row>
    <row r="147" spans="1:15" ht="12.75" customHeight="1" x14ac:dyDescent="0.2">
      <c r="A147" s="207"/>
      <c r="B147" s="101" t="s">
        <v>56</v>
      </c>
      <c r="C147" s="97" t="s">
        <v>223</v>
      </c>
      <c r="D147" s="97" t="s">
        <v>138</v>
      </c>
      <c r="E147" s="97"/>
      <c r="F147" s="105" t="s">
        <v>87</v>
      </c>
      <c r="G147" s="97" t="s">
        <v>93</v>
      </c>
      <c r="H147" s="97"/>
      <c r="I147" s="97"/>
      <c r="J147" s="97"/>
      <c r="K147" s="16" t="s">
        <v>7</v>
      </c>
      <c r="L147" s="22">
        <v>0</v>
      </c>
      <c r="M147" s="22">
        <v>0</v>
      </c>
      <c r="N147" s="22">
        <v>0</v>
      </c>
      <c r="O147" s="22">
        <v>0</v>
      </c>
    </row>
    <row r="148" spans="1:15" x14ac:dyDescent="0.2">
      <c r="A148" s="207"/>
      <c r="B148" s="101"/>
      <c r="C148" s="97"/>
      <c r="D148" s="97"/>
      <c r="E148" s="97"/>
      <c r="F148" s="106"/>
      <c r="G148" s="97"/>
      <c r="H148" s="97"/>
      <c r="I148" s="97"/>
      <c r="J148" s="97"/>
      <c r="K148" s="16" t="s">
        <v>8</v>
      </c>
      <c r="L148" s="22">
        <v>0</v>
      </c>
      <c r="M148" s="22">
        <v>0</v>
      </c>
      <c r="N148" s="22">
        <v>0</v>
      </c>
      <c r="O148" s="22">
        <v>0</v>
      </c>
    </row>
    <row r="149" spans="1:15" x14ac:dyDescent="0.2">
      <c r="A149" s="207"/>
      <c r="B149" s="101"/>
      <c r="C149" s="97"/>
      <c r="D149" s="97"/>
      <c r="E149" s="97"/>
      <c r="F149" s="106"/>
      <c r="G149" s="97"/>
      <c r="H149" s="97"/>
      <c r="I149" s="97"/>
      <c r="J149" s="97"/>
      <c r="K149" s="16" t="s">
        <v>9</v>
      </c>
      <c r="L149" s="22">
        <v>0</v>
      </c>
      <c r="M149" s="22">
        <v>0</v>
      </c>
      <c r="N149" s="22">
        <v>0</v>
      </c>
      <c r="O149" s="22">
        <v>0</v>
      </c>
    </row>
    <row r="150" spans="1:15" x14ac:dyDescent="0.2">
      <c r="A150" s="207"/>
      <c r="B150" s="101"/>
      <c r="C150" s="97"/>
      <c r="D150" s="97"/>
      <c r="E150" s="97"/>
      <c r="F150" s="106"/>
      <c r="G150" s="97"/>
      <c r="H150" s="97"/>
      <c r="I150" s="97"/>
      <c r="J150" s="97"/>
      <c r="K150" s="16" t="s">
        <v>10</v>
      </c>
      <c r="L150" s="22">
        <v>0</v>
      </c>
      <c r="M150" s="22">
        <v>0</v>
      </c>
      <c r="N150" s="22">
        <v>0</v>
      </c>
      <c r="O150" s="22">
        <v>0</v>
      </c>
    </row>
    <row r="151" spans="1:15" x14ac:dyDescent="0.2">
      <c r="A151" s="207"/>
      <c r="B151" s="101"/>
      <c r="C151" s="97"/>
      <c r="D151" s="97"/>
      <c r="E151" s="97"/>
      <c r="F151" s="106"/>
      <c r="G151" s="97"/>
      <c r="H151" s="97"/>
      <c r="I151" s="97"/>
      <c r="J151" s="97"/>
      <c r="K151" s="16" t="s">
        <v>11</v>
      </c>
      <c r="L151" s="22">
        <v>0</v>
      </c>
      <c r="M151" s="22">
        <v>0</v>
      </c>
      <c r="N151" s="22">
        <v>0</v>
      </c>
      <c r="O151" s="22">
        <v>0</v>
      </c>
    </row>
    <row r="152" spans="1:15" x14ac:dyDescent="0.2">
      <c r="A152" s="207"/>
      <c r="B152" s="101"/>
      <c r="C152" s="97"/>
      <c r="D152" s="97"/>
      <c r="E152" s="97"/>
      <c r="F152" s="106"/>
      <c r="G152" s="97"/>
      <c r="H152" s="97"/>
      <c r="I152" s="97"/>
      <c r="J152" s="97"/>
      <c r="K152" s="16" t="s">
        <v>12</v>
      </c>
      <c r="L152" s="22">
        <v>0</v>
      </c>
      <c r="M152" s="22">
        <v>0</v>
      </c>
      <c r="N152" s="22">
        <v>0</v>
      </c>
      <c r="O152" s="22">
        <v>0</v>
      </c>
    </row>
    <row r="153" spans="1:15" x14ac:dyDescent="0.2">
      <c r="A153" s="207"/>
      <c r="B153" s="101"/>
      <c r="C153" s="97"/>
      <c r="D153" s="97"/>
      <c r="E153" s="97"/>
      <c r="F153" s="106"/>
      <c r="G153" s="97"/>
      <c r="H153" s="97"/>
      <c r="I153" s="97"/>
      <c r="J153" s="97"/>
      <c r="K153" s="16" t="s">
        <v>13</v>
      </c>
      <c r="L153" s="22">
        <v>0</v>
      </c>
      <c r="M153" s="22">
        <v>0</v>
      </c>
      <c r="N153" s="22">
        <v>0</v>
      </c>
      <c r="O153" s="22">
        <v>0</v>
      </c>
    </row>
    <row r="154" spans="1:15" x14ac:dyDescent="0.2">
      <c r="A154" s="207"/>
      <c r="B154" s="101"/>
      <c r="C154" s="97"/>
      <c r="D154" s="97"/>
      <c r="E154" s="97"/>
      <c r="F154" s="106"/>
      <c r="G154" s="97"/>
      <c r="H154" s="97"/>
      <c r="I154" s="97"/>
      <c r="J154" s="97"/>
      <c r="K154" s="16" t="s">
        <v>14</v>
      </c>
      <c r="L154" s="22">
        <v>0</v>
      </c>
      <c r="M154" s="22">
        <v>0</v>
      </c>
      <c r="N154" s="22">
        <v>0</v>
      </c>
      <c r="O154" s="22">
        <v>0</v>
      </c>
    </row>
    <row r="155" spans="1:15" x14ac:dyDescent="0.2">
      <c r="A155" s="207"/>
      <c r="B155" s="101"/>
      <c r="C155" s="97"/>
      <c r="D155" s="97"/>
      <c r="E155" s="97"/>
      <c r="F155" s="106"/>
      <c r="G155" s="97"/>
      <c r="H155" s="97"/>
      <c r="I155" s="97"/>
      <c r="J155" s="97"/>
      <c r="K155" s="16" t="s">
        <v>15</v>
      </c>
      <c r="L155" s="22">
        <v>0</v>
      </c>
      <c r="M155" s="22">
        <v>0</v>
      </c>
      <c r="N155" s="22">
        <v>0</v>
      </c>
      <c r="O155" s="22">
        <v>0</v>
      </c>
    </row>
    <row r="156" spans="1:15" x14ac:dyDescent="0.2">
      <c r="A156" s="207"/>
      <c r="B156" s="101"/>
      <c r="C156" s="97"/>
      <c r="D156" s="97"/>
      <c r="E156" s="97"/>
      <c r="F156" s="106"/>
      <c r="G156" s="97"/>
      <c r="H156" s="97"/>
      <c r="I156" s="97"/>
      <c r="J156" s="97"/>
      <c r="K156" s="16" t="s">
        <v>16</v>
      </c>
      <c r="L156" s="22">
        <v>0</v>
      </c>
      <c r="M156" s="22">
        <v>0</v>
      </c>
      <c r="N156" s="22">
        <v>0</v>
      </c>
      <c r="O156" s="22">
        <v>0</v>
      </c>
    </row>
    <row r="157" spans="1:15" x14ac:dyDescent="0.2">
      <c r="A157" s="207"/>
      <c r="B157" s="101"/>
      <c r="C157" s="97"/>
      <c r="D157" s="97"/>
      <c r="E157" s="97"/>
      <c r="F157" s="106"/>
      <c r="G157" s="97"/>
      <c r="H157" s="97"/>
      <c r="I157" s="97"/>
      <c r="J157" s="97"/>
      <c r="K157" s="16" t="s">
        <v>17</v>
      </c>
      <c r="L157" s="22">
        <v>0</v>
      </c>
      <c r="M157" s="22">
        <v>0</v>
      </c>
      <c r="N157" s="22">
        <v>0</v>
      </c>
      <c r="O157" s="22">
        <v>0</v>
      </c>
    </row>
    <row r="158" spans="1:15" x14ac:dyDescent="0.2">
      <c r="A158" s="207"/>
      <c r="B158" s="101"/>
      <c r="C158" s="97"/>
      <c r="D158" s="97"/>
      <c r="E158" s="97"/>
      <c r="F158" s="106"/>
      <c r="G158" s="97"/>
      <c r="H158" s="97"/>
      <c r="I158" s="97"/>
      <c r="J158" s="97"/>
      <c r="K158" s="16" t="s">
        <v>18</v>
      </c>
      <c r="L158" s="22">
        <v>0</v>
      </c>
      <c r="M158" s="22">
        <v>0</v>
      </c>
      <c r="N158" s="22">
        <v>0</v>
      </c>
      <c r="O158" s="22">
        <v>0</v>
      </c>
    </row>
    <row r="159" spans="1:15" x14ac:dyDescent="0.2">
      <c r="A159" s="207"/>
      <c r="B159" s="101"/>
      <c r="C159" s="97"/>
      <c r="D159" s="97"/>
      <c r="E159" s="97"/>
      <c r="F159" s="107"/>
      <c r="G159" s="97"/>
      <c r="H159" s="97"/>
      <c r="I159" s="97"/>
      <c r="J159" s="97"/>
      <c r="K159" s="16" t="s">
        <v>0</v>
      </c>
      <c r="L159" s="18">
        <f>SUM(L147:L158)</f>
        <v>0</v>
      </c>
      <c r="M159" s="18">
        <f t="shared" ref="M159" si="29">SUM(M147:M158)</f>
        <v>0</v>
      </c>
      <c r="N159" s="18">
        <f t="shared" ref="N159" si="30">SUM(N147:N158)</f>
        <v>0</v>
      </c>
      <c r="O159" s="18">
        <f t="shared" ref="O159" si="31">SUM(O147:O158)</f>
        <v>0</v>
      </c>
    </row>
    <row r="160" spans="1:15" ht="12.75" customHeight="1" x14ac:dyDescent="0.2">
      <c r="A160" s="207"/>
      <c r="B160" s="101" t="s">
        <v>56</v>
      </c>
      <c r="C160" s="97" t="s">
        <v>158</v>
      </c>
      <c r="D160" s="97" t="s">
        <v>138</v>
      </c>
      <c r="E160" s="97"/>
      <c r="F160" s="105" t="s">
        <v>87</v>
      </c>
      <c r="G160" s="97" t="s">
        <v>93</v>
      </c>
      <c r="H160" s="97"/>
      <c r="I160" s="97"/>
      <c r="J160" s="97"/>
      <c r="K160" s="16" t="s">
        <v>7</v>
      </c>
      <c r="L160" s="22">
        <v>0</v>
      </c>
      <c r="M160" s="22">
        <v>0</v>
      </c>
      <c r="N160" s="22">
        <v>0</v>
      </c>
      <c r="O160" s="22">
        <v>0</v>
      </c>
    </row>
    <row r="161" spans="1:15" x14ac:dyDescent="0.2">
      <c r="A161" s="207"/>
      <c r="B161" s="101"/>
      <c r="C161" s="97"/>
      <c r="D161" s="97"/>
      <c r="E161" s="97"/>
      <c r="F161" s="106"/>
      <c r="G161" s="97"/>
      <c r="H161" s="97"/>
      <c r="I161" s="97"/>
      <c r="J161" s="97"/>
      <c r="K161" s="16" t="s">
        <v>8</v>
      </c>
      <c r="L161" s="22">
        <v>0</v>
      </c>
      <c r="M161" s="22">
        <v>0</v>
      </c>
      <c r="N161" s="22">
        <v>0</v>
      </c>
      <c r="O161" s="22">
        <v>0</v>
      </c>
    </row>
    <row r="162" spans="1:15" x14ac:dyDescent="0.2">
      <c r="A162" s="207"/>
      <c r="B162" s="101"/>
      <c r="C162" s="97"/>
      <c r="D162" s="97"/>
      <c r="E162" s="97"/>
      <c r="F162" s="106"/>
      <c r="G162" s="97"/>
      <c r="H162" s="97"/>
      <c r="I162" s="97"/>
      <c r="J162" s="97"/>
      <c r="K162" s="16" t="s">
        <v>9</v>
      </c>
      <c r="L162" s="22">
        <v>0</v>
      </c>
      <c r="M162" s="22">
        <v>0</v>
      </c>
      <c r="N162" s="22">
        <v>0</v>
      </c>
      <c r="O162" s="22">
        <v>0</v>
      </c>
    </row>
    <row r="163" spans="1:15" x14ac:dyDescent="0.2">
      <c r="A163" s="207"/>
      <c r="B163" s="101"/>
      <c r="C163" s="97"/>
      <c r="D163" s="97"/>
      <c r="E163" s="97"/>
      <c r="F163" s="106"/>
      <c r="G163" s="97"/>
      <c r="H163" s="97"/>
      <c r="I163" s="97"/>
      <c r="J163" s="97"/>
      <c r="K163" s="16" t="s">
        <v>10</v>
      </c>
      <c r="L163" s="22">
        <v>0</v>
      </c>
      <c r="M163" s="22">
        <v>0</v>
      </c>
      <c r="N163" s="22">
        <v>0</v>
      </c>
      <c r="O163" s="22">
        <v>0</v>
      </c>
    </row>
    <row r="164" spans="1:15" x14ac:dyDescent="0.2">
      <c r="A164" s="207"/>
      <c r="B164" s="101"/>
      <c r="C164" s="97"/>
      <c r="D164" s="97"/>
      <c r="E164" s="97"/>
      <c r="F164" s="106"/>
      <c r="G164" s="97"/>
      <c r="H164" s="97"/>
      <c r="I164" s="97"/>
      <c r="J164" s="97"/>
      <c r="K164" s="16" t="s">
        <v>11</v>
      </c>
      <c r="L164" s="22">
        <v>0</v>
      </c>
      <c r="M164" s="22">
        <v>0</v>
      </c>
      <c r="N164" s="22">
        <v>0</v>
      </c>
      <c r="O164" s="22">
        <v>0</v>
      </c>
    </row>
    <row r="165" spans="1:15" x14ac:dyDescent="0.2">
      <c r="A165" s="207"/>
      <c r="B165" s="101"/>
      <c r="C165" s="97"/>
      <c r="D165" s="97"/>
      <c r="E165" s="97"/>
      <c r="F165" s="106"/>
      <c r="G165" s="97"/>
      <c r="H165" s="97"/>
      <c r="I165" s="97"/>
      <c r="J165" s="97"/>
      <c r="K165" s="16" t="s">
        <v>12</v>
      </c>
      <c r="L165" s="22">
        <v>0</v>
      </c>
      <c r="M165" s="22">
        <v>0</v>
      </c>
      <c r="N165" s="22">
        <v>0</v>
      </c>
      <c r="O165" s="22">
        <v>0</v>
      </c>
    </row>
    <row r="166" spans="1:15" x14ac:dyDescent="0.2">
      <c r="A166" s="207"/>
      <c r="B166" s="101"/>
      <c r="C166" s="97"/>
      <c r="D166" s="97"/>
      <c r="E166" s="97"/>
      <c r="F166" s="106"/>
      <c r="G166" s="97"/>
      <c r="H166" s="97"/>
      <c r="I166" s="97"/>
      <c r="J166" s="97"/>
      <c r="K166" s="16" t="s">
        <v>13</v>
      </c>
      <c r="L166" s="22">
        <v>0</v>
      </c>
      <c r="M166" s="22">
        <v>0</v>
      </c>
      <c r="N166" s="22">
        <v>0</v>
      </c>
      <c r="O166" s="22">
        <v>0</v>
      </c>
    </row>
    <row r="167" spans="1:15" x14ac:dyDescent="0.2">
      <c r="A167" s="207"/>
      <c r="B167" s="101"/>
      <c r="C167" s="97"/>
      <c r="D167" s="97"/>
      <c r="E167" s="97"/>
      <c r="F167" s="106"/>
      <c r="G167" s="97"/>
      <c r="H167" s="97"/>
      <c r="I167" s="97"/>
      <c r="J167" s="97"/>
      <c r="K167" s="16" t="s">
        <v>14</v>
      </c>
      <c r="L167" s="22">
        <v>0</v>
      </c>
      <c r="M167" s="22">
        <v>0</v>
      </c>
      <c r="N167" s="22">
        <v>0</v>
      </c>
      <c r="O167" s="22">
        <v>0</v>
      </c>
    </row>
    <row r="168" spans="1:15" x14ac:dyDescent="0.2">
      <c r="A168" s="207"/>
      <c r="B168" s="101"/>
      <c r="C168" s="97"/>
      <c r="D168" s="97"/>
      <c r="E168" s="97"/>
      <c r="F168" s="106"/>
      <c r="G168" s="97"/>
      <c r="H168" s="97"/>
      <c r="I168" s="97"/>
      <c r="J168" s="97"/>
      <c r="K168" s="16" t="s">
        <v>15</v>
      </c>
      <c r="L168" s="22">
        <v>0</v>
      </c>
      <c r="M168" s="22">
        <v>0</v>
      </c>
      <c r="N168" s="22">
        <v>0</v>
      </c>
      <c r="O168" s="22">
        <v>0</v>
      </c>
    </row>
    <row r="169" spans="1:15" x14ac:dyDescent="0.2">
      <c r="A169" s="207"/>
      <c r="B169" s="101"/>
      <c r="C169" s="97"/>
      <c r="D169" s="97"/>
      <c r="E169" s="97"/>
      <c r="F169" s="106"/>
      <c r="G169" s="97"/>
      <c r="H169" s="97"/>
      <c r="I169" s="97"/>
      <c r="J169" s="97"/>
      <c r="K169" s="16" t="s">
        <v>16</v>
      </c>
      <c r="L169" s="22">
        <v>0</v>
      </c>
      <c r="M169" s="22">
        <v>0</v>
      </c>
      <c r="N169" s="22">
        <v>0</v>
      </c>
      <c r="O169" s="22">
        <v>0</v>
      </c>
    </row>
    <row r="170" spans="1:15" x14ac:dyDescent="0.2">
      <c r="A170" s="207"/>
      <c r="B170" s="101"/>
      <c r="C170" s="97"/>
      <c r="D170" s="97"/>
      <c r="E170" s="97"/>
      <c r="F170" s="106"/>
      <c r="G170" s="97"/>
      <c r="H170" s="97"/>
      <c r="I170" s="97"/>
      <c r="J170" s="97"/>
      <c r="K170" s="16" t="s">
        <v>17</v>
      </c>
      <c r="L170" s="22">
        <v>0</v>
      </c>
      <c r="M170" s="22">
        <v>0</v>
      </c>
      <c r="N170" s="22">
        <v>0</v>
      </c>
      <c r="O170" s="22">
        <v>0</v>
      </c>
    </row>
    <row r="171" spans="1:15" x14ac:dyDescent="0.2">
      <c r="A171" s="207"/>
      <c r="B171" s="101"/>
      <c r="C171" s="97"/>
      <c r="D171" s="97"/>
      <c r="E171" s="97"/>
      <c r="F171" s="106"/>
      <c r="G171" s="97"/>
      <c r="H171" s="97"/>
      <c r="I171" s="97"/>
      <c r="J171" s="97"/>
      <c r="K171" s="16" t="s">
        <v>18</v>
      </c>
      <c r="L171" s="22">
        <v>0</v>
      </c>
      <c r="M171" s="22">
        <v>0</v>
      </c>
      <c r="N171" s="22">
        <v>0</v>
      </c>
      <c r="O171" s="22">
        <v>0</v>
      </c>
    </row>
    <row r="172" spans="1:15" x14ac:dyDescent="0.2">
      <c r="A172" s="207"/>
      <c r="B172" s="101"/>
      <c r="C172" s="97"/>
      <c r="D172" s="97"/>
      <c r="E172" s="97"/>
      <c r="F172" s="107"/>
      <c r="G172" s="97"/>
      <c r="H172" s="97"/>
      <c r="I172" s="97"/>
      <c r="J172" s="97"/>
      <c r="K172" s="16" t="s">
        <v>0</v>
      </c>
      <c r="L172" s="18">
        <f>SUM(L160:L171)</f>
        <v>0</v>
      </c>
      <c r="M172" s="18">
        <f t="shared" ref="M172" si="32">SUM(M160:M171)</f>
        <v>0</v>
      </c>
      <c r="N172" s="18">
        <f t="shared" ref="N172" si="33">SUM(N160:N171)</f>
        <v>0</v>
      </c>
      <c r="O172" s="18">
        <f t="shared" ref="O172" si="34">SUM(O160:O171)</f>
        <v>0</v>
      </c>
    </row>
    <row r="173" spans="1:15" ht="12.75" customHeight="1" x14ac:dyDescent="0.2">
      <c r="A173" s="207"/>
      <c r="B173" s="101" t="s">
        <v>56</v>
      </c>
      <c r="C173" s="97" t="s">
        <v>224</v>
      </c>
      <c r="D173" s="97" t="s">
        <v>57</v>
      </c>
      <c r="E173" s="97" t="s">
        <v>127</v>
      </c>
      <c r="F173" s="97" t="s">
        <v>83</v>
      </c>
      <c r="G173" s="97" t="s">
        <v>93</v>
      </c>
      <c r="H173" s="97"/>
      <c r="I173" s="97"/>
      <c r="J173" s="97"/>
      <c r="K173" s="16" t="s">
        <v>7</v>
      </c>
      <c r="L173" s="21">
        <v>0</v>
      </c>
      <c r="M173" s="21">
        <v>0</v>
      </c>
      <c r="N173" s="21">
        <v>1.06</v>
      </c>
      <c r="O173" s="21">
        <v>0</v>
      </c>
    </row>
    <row r="174" spans="1:15" x14ac:dyDescent="0.2">
      <c r="A174" s="207"/>
      <c r="B174" s="101"/>
      <c r="C174" s="97"/>
      <c r="D174" s="97"/>
      <c r="E174" s="97"/>
      <c r="F174" s="97"/>
      <c r="G174" s="97"/>
      <c r="H174" s="97"/>
      <c r="I174" s="97"/>
      <c r="J174" s="97"/>
      <c r="K174" s="16" t="s">
        <v>8</v>
      </c>
      <c r="L174" s="21">
        <v>0</v>
      </c>
      <c r="M174" s="21">
        <v>0</v>
      </c>
      <c r="N174" s="21">
        <v>1.06</v>
      </c>
      <c r="O174" s="21">
        <v>0</v>
      </c>
    </row>
    <row r="175" spans="1:15" x14ac:dyDescent="0.2">
      <c r="A175" s="207"/>
      <c r="B175" s="101"/>
      <c r="C175" s="97"/>
      <c r="D175" s="97"/>
      <c r="E175" s="97"/>
      <c r="F175" s="97"/>
      <c r="G175" s="97"/>
      <c r="H175" s="97"/>
      <c r="I175" s="97"/>
      <c r="J175" s="97"/>
      <c r="K175" s="16" t="s">
        <v>9</v>
      </c>
      <c r="L175" s="21">
        <v>0</v>
      </c>
      <c r="M175" s="21">
        <v>0</v>
      </c>
      <c r="N175" s="21">
        <v>1.06</v>
      </c>
      <c r="O175" s="21">
        <v>0</v>
      </c>
    </row>
    <row r="176" spans="1:15" x14ac:dyDescent="0.2">
      <c r="A176" s="207"/>
      <c r="B176" s="101"/>
      <c r="C176" s="97"/>
      <c r="D176" s="97"/>
      <c r="E176" s="97"/>
      <c r="F176" s="97"/>
      <c r="G176" s="97"/>
      <c r="H176" s="97"/>
      <c r="I176" s="97"/>
      <c r="J176" s="97"/>
      <c r="K176" s="16" t="s">
        <v>10</v>
      </c>
      <c r="L176" s="21">
        <v>0</v>
      </c>
      <c r="M176" s="21">
        <v>0</v>
      </c>
      <c r="N176" s="21">
        <v>1.06</v>
      </c>
      <c r="O176" s="21">
        <v>0</v>
      </c>
    </row>
    <row r="177" spans="1:15" x14ac:dyDescent="0.2">
      <c r="A177" s="207"/>
      <c r="B177" s="101"/>
      <c r="C177" s="97"/>
      <c r="D177" s="97"/>
      <c r="E177" s="97"/>
      <c r="F177" s="97"/>
      <c r="G177" s="97"/>
      <c r="H177" s="97"/>
      <c r="I177" s="97"/>
      <c r="J177" s="97"/>
      <c r="K177" s="16" t="s">
        <v>11</v>
      </c>
      <c r="L177" s="21">
        <v>0.9</v>
      </c>
      <c r="M177" s="21">
        <v>0</v>
      </c>
      <c r="N177" s="21">
        <v>1.06</v>
      </c>
      <c r="O177" s="21">
        <v>0</v>
      </c>
    </row>
    <row r="178" spans="1:15" x14ac:dyDescent="0.2">
      <c r="A178" s="207"/>
      <c r="B178" s="101"/>
      <c r="C178" s="97"/>
      <c r="D178" s="97"/>
      <c r="E178" s="97"/>
      <c r="F178" s="97"/>
      <c r="G178" s="97"/>
      <c r="H178" s="97"/>
      <c r="I178" s="97"/>
      <c r="J178" s="97"/>
      <c r="K178" s="16" t="s">
        <v>12</v>
      </c>
      <c r="L178" s="21">
        <v>0</v>
      </c>
      <c r="M178" s="21">
        <v>0</v>
      </c>
      <c r="N178" s="21">
        <v>1.06</v>
      </c>
      <c r="O178" s="21">
        <v>0</v>
      </c>
    </row>
    <row r="179" spans="1:15" x14ac:dyDescent="0.2">
      <c r="A179" s="207"/>
      <c r="B179" s="101"/>
      <c r="C179" s="97"/>
      <c r="D179" s="97"/>
      <c r="E179" s="97"/>
      <c r="F179" s="97"/>
      <c r="G179" s="97"/>
      <c r="H179" s="97"/>
      <c r="I179" s="97"/>
      <c r="J179" s="97"/>
      <c r="K179" s="16" t="s">
        <v>13</v>
      </c>
      <c r="L179" s="21">
        <v>0</v>
      </c>
      <c r="M179" s="21">
        <v>0</v>
      </c>
      <c r="N179" s="21">
        <v>1.06</v>
      </c>
      <c r="O179" s="21">
        <v>0</v>
      </c>
    </row>
    <row r="180" spans="1:15" x14ac:dyDescent="0.2">
      <c r="A180" s="207"/>
      <c r="B180" s="101"/>
      <c r="C180" s="97"/>
      <c r="D180" s="97"/>
      <c r="E180" s="97"/>
      <c r="F180" s="97"/>
      <c r="G180" s="97"/>
      <c r="H180" s="97"/>
      <c r="I180" s="97"/>
      <c r="J180" s="97"/>
      <c r="K180" s="16" t="s">
        <v>14</v>
      </c>
      <c r="L180" s="21">
        <v>0</v>
      </c>
      <c r="M180" s="21">
        <v>0</v>
      </c>
      <c r="N180" s="21">
        <v>1.06</v>
      </c>
      <c r="O180" s="21">
        <v>0</v>
      </c>
    </row>
    <row r="181" spans="1:15" x14ac:dyDescent="0.2">
      <c r="A181" s="207"/>
      <c r="B181" s="101"/>
      <c r="C181" s="97"/>
      <c r="D181" s="97"/>
      <c r="E181" s="97"/>
      <c r="F181" s="97"/>
      <c r="G181" s="97"/>
      <c r="H181" s="97"/>
      <c r="I181" s="97"/>
      <c r="J181" s="97"/>
      <c r="K181" s="16" t="s">
        <v>15</v>
      </c>
      <c r="L181" s="21">
        <v>0</v>
      </c>
      <c r="M181" s="21">
        <v>0</v>
      </c>
      <c r="N181" s="21">
        <v>1.06</v>
      </c>
      <c r="O181" s="21">
        <v>0</v>
      </c>
    </row>
    <row r="182" spans="1:15" x14ac:dyDescent="0.2">
      <c r="A182" s="207"/>
      <c r="B182" s="101"/>
      <c r="C182" s="97"/>
      <c r="D182" s="97"/>
      <c r="E182" s="97"/>
      <c r="F182" s="97"/>
      <c r="G182" s="97"/>
      <c r="H182" s="97"/>
      <c r="I182" s="97"/>
      <c r="J182" s="97"/>
      <c r="K182" s="16" t="s">
        <v>16</v>
      </c>
      <c r="L182" s="21">
        <v>0</v>
      </c>
      <c r="M182" s="21">
        <v>0</v>
      </c>
      <c r="N182" s="21">
        <v>1.06</v>
      </c>
      <c r="O182" s="21">
        <v>0</v>
      </c>
    </row>
    <row r="183" spans="1:15" x14ac:dyDescent="0.2">
      <c r="A183" s="207"/>
      <c r="B183" s="101"/>
      <c r="C183" s="97"/>
      <c r="D183" s="97"/>
      <c r="E183" s="97"/>
      <c r="F183" s="97"/>
      <c r="G183" s="97"/>
      <c r="H183" s="97"/>
      <c r="I183" s="97"/>
      <c r="J183" s="97"/>
      <c r="K183" s="16" t="s">
        <v>17</v>
      </c>
      <c r="L183" s="21">
        <v>1</v>
      </c>
      <c r="M183" s="21">
        <v>1.51</v>
      </c>
      <c r="N183" s="21">
        <v>2.1500000000000004</v>
      </c>
      <c r="O183" s="21">
        <v>0</v>
      </c>
    </row>
    <row r="184" spans="1:15" x14ac:dyDescent="0.2">
      <c r="A184" s="207"/>
      <c r="B184" s="101"/>
      <c r="C184" s="97"/>
      <c r="D184" s="97"/>
      <c r="E184" s="97"/>
      <c r="F184" s="97"/>
      <c r="G184" s="97"/>
      <c r="H184" s="97"/>
      <c r="I184" s="97"/>
      <c r="J184" s="97"/>
      <c r="K184" s="16" t="s">
        <v>18</v>
      </c>
      <c r="L184" s="21">
        <v>0</v>
      </c>
      <c r="M184" s="21">
        <v>0</v>
      </c>
      <c r="N184" s="21">
        <v>1.05</v>
      </c>
      <c r="O184" s="21">
        <v>0</v>
      </c>
    </row>
    <row r="185" spans="1:15" x14ac:dyDescent="0.2">
      <c r="A185" s="207"/>
      <c r="B185" s="101"/>
      <c r="C185" s="97"/>
      <c r="D185" s="97"/>
      <c r="E185" s="97"/>
      <c r="F185" s="97"/>
      <c r="G185" s="97"/>
      <c r="H185" s="97"/>
      <c r="I185" s="97"/>
      <c r="J185" s="97"/>
      <c r="K185" s="16" t="s">
        <v>0</v>
      </c>
      <c r="L185" s="17">
        <f>SUM(L173:L184)</f>
        <v>1.9</v>
      </c>
      <c r="M185" s="17">
        <f t="shared" ref="M185" si="35">SUM(M173:M184)</f>
        <v>1.51</v>
      </c>
      <c r="N185" s="17">
        <f t="shared" ref="N185" si="36">SUM(N173:N184)</f>
        <v>13.800000000000004</v>
      </c>
      <c r="O185" s="17">
        <f t="shared" ref="O185" si="37">SUM(O173:O184)</f>
        <v>0</v>
      </c>
    </row>
    <row r="186" spans="1:15" x14ac:dyDescent="0.2">
      <c r="A186" s="207"/>
      <c r="B186" s="101" t="s">
        <v>56</v>
      </c>
      <c r="C186" s="97" t="s">
        <v>225</v>
      </c>
      <c r="D186" s="97" t="s">
        <v>148</v>
      </c>
      <c r="E186" s="97"/>
      <c r="F186" s="97" t="s">
        <v>83</v>
      </c>
      <c r="G186" s="97" t="s">
        <v>93</v>
      </c>
      <c r="H186" s="97"/>
      <c r="I186" s="97"/>
      <c r="J186" s="97"/>
      <c r="K186" s="16" t="s">
        <v>7</v>
      </c>
      <c r="L186" s="21">
        <v>0</v>
      </c>
      <c r="M186" s="21">
        <v>0</v>
      </c>
      <c r="N186" s="21">
        <v>0.06</v>
      </c>
      <c r="O186" s="21">
        <v>0</v>
      </c>
    </row>
    <row r="187" spans="1:15" x14ac:dyDescent="0.2">
      <c r="A187" s="207"/>
      <c r="B187" s="101"/>
      <c r="C187" s="97"/>
      <c r="D187" s="97"/>
      <c r="E187" s="97"/>
      <c r="F187" s="97"/>
      <c r="G187" s="97"/>
      <c r="H187" s="97"/>
      <c r="I187" s="97"/>
      <c r="J187" s="97"/>
      <c r="K187" s="16" t="s">
        <v>8</v>
      </c>
      <c r="L187" s="21">
        <v>0</v>
      </c>
      <c r="M187" s="21">
        <v>0</v>
      </c>
      <c r="N187" s="21">
        <v>0.06</v>
      </c>
      <c r="O187" s="21">
        <v>0</v>
      </c>
    </row>
    <row r="188" spans="1:15" x14ac:dyDescent="0.2">
      <c r="A188" s="207"/>
      <c r="B188" s="101"/>
      <c r="C188" s="97"/>
      <c r="D188" s="97"/>
      <c r="E188" s="97"/>
      <c r="F188" s="97"/>
      <c r="G188" s="97"/>
      <c r="H188" s="97"/>
      <c r="I188" s="97"/>
      <c r="J188" s="97"/>
      <c r="K188" s="16" t="s">
        <v>9</v>
      </c>
      <c r="L188" s="21">
        <v>0</v>
      </c>
      <c r="M188" s="21">
        <v>0</v>
      </c>
      <c r="N188" s="21">
        <v>0.06</v>
      </c>
      <c r="O188" s="21">
        <v>0</v>
      </c>
    </row>
    <row r="189" spans="1:15" x14ac:dyDescent="0.2">
      <c r="A189" s="207"/>
      <c r="B189" s="101"/>
      <c r="C189" s="97"/>
      <c r="D189" s="97"/>
      <c r="E189" s="97"/>
      <c r="F189" s="97"/>
      <c r="G189" s="97"/>
      <c r="H189" s="97"/>
      <c r="I189" s="97"/>
      <c r="J189" s="97"/>
      <c r="K189" s="16" t="s">
        <v>10</v>
      </c>
      <c r="L189" s="21">
        <v>0</v>
      </c>
      <c r="M189" s="21">
        <v>0</v>
      </c>
      <c r="N189" s="21">
        <v>0.06</v>
      </c>
      <c r="O189" s="21">
        <v>0</v>
      </c>
    </row>
    <row r="190" spans="1:15" x14ac:dyDescent="0.2">
      <c r="A190" s="207"/>
      <c r="B190" s="101"/>
      <c r="C190" s="97"/>
      <c r="D190" s="97"/>
      <c r="E190" s="97"/>
      <c r="F190" s="97"/>
      <c r="G190" s="97"/>
      <c r="H190" s="97"/>
      <c r="I190" s="97"/>
      <c r="J190" s="97"/>
      <c r="K190" s="16" t="s">
        <v>11</v>
      </c>
      <c r="L190" s="21">
        <v>0</v>
      </c>
      <c r="M190" s="21">
        <v>0</v>
      </c>
      <c r="N190" s="21">
        <v>0.06</v>
      </c>
      <c r="O190" s="21">
        <v>0</v>
      </c>
    </row>
    <row r="191" spans="1:15" x14ac:dyDescent="0.2">
      <c r="A191" s="207"/>
      <c r="B191" s="101"/>
      <c r="C191" s="97"/>
      <c r="D191" s="97"/>
      <c r="E191" s="97"/>
      <c r="F191" s="97"/>
      <c r="G191" s="97"/>
      <c r="H191" s="97"/>
      <c r="I191" s="97"/>
      <c r="J191" s="97"/>
      <c r="K191" s="16" t="s">
        <v>12</v>
      </c>
      <c r="L191" s="21">
        <v>0</v>
      </c>
      <c r="M191" s="21">
        <v>0</v>
      </c>
      <c r="N191" s="21">
        <v>0.06</v>
      </c>
      <c r="O191" s="21">
        <v>0</v>
      </c>
    </row>
    <row r="192" spans="1:15" x14ac:dyDescent="0.2">
      <c r="A192" s="207"/>
      <c r="B192" s="101"/>
      <c r="C192" s="97"/>
      <c r="D192" s="97"/>
      <c r="E192" s="97"/>
      <c r="F192" s="97"/>
      <c r="G192" s="97"/>
      <c r="H192" s="97"/>
      <c r="I192" s="97"/>
      <c r="J192" s="97"/>
      <c r="K192" s="16" t="s">
        <v>13</v>
      </c>
      <c r="L192" s="21">
        <v>0.5</v>
      </c>
      <c r="M192" s="21">
        <v>0</v>
      </c>
      <c r="N192" s="21">
        <v>0.06</v>
      </c>
      <c r="O192" s="21">
        <v>0</v>
      </c>
    </row>
    <row r="193" spans="1:15" x14ac:dyDescent="0.2">
      <c r="A193" s="207"/>
      <c r="B193" s="101"/>
      <c r="C193" s="97"/>
      <c r="D193" s="97"/>
      <c r="E193" s="97"/>
      <c r="F193" s="97"/>
      <c r="G193" s="97"/>
      <c r="H193" s="97"/>
      <c r="I193" s="97"/>
      <c r="J193" s="97"/>
      <c r="K193" s="16" t="s">
        <v>14</v>
      </c>
      <c r="L193" s="21">
        <v>0</v>
      </c>
      <c r="M193" s="21">
        <v>0</v>
      </c>
      <c r="N193" s="21">
        <v>0.06</v>
      </c>
      <c r="O193" s="21">
        <v>0</v>
      </c>
    </row>
    <row r="194" spans="1:15" x14ac:dyDescent="0.2">
      <c r="A194" s="207"/>
      <c r="B194" s="101"/>
      <c r="C194" s="97"/>
      <c r="D194" s="97"/>
      <c r="E194" s="97"/>
      <c r="F194" s="97"/>
      <c r="G194" s="97"/>
      <c r="H194" s="97"/>
      <c r="I194" s="97"/>
      <c r="J194" s="97"/>
      <c r="K194" s="16" t="s">
        <v>15</v>
      </c>
      <c r="L194" s="21">
        <v>0</v>
      </c>
      <c r="M194" s="21">
        <v>0</v>
      </c>
      <c r="N194" s="21">
        <v>0.06</v>
      </c>
      <c r="O194" s="21">
        <v>0</v>
      </c>
    </row>
    <row r="195" spans="1:15" x14ac:dyDescent="0.2">
      <c r="A195" s="207"/>
      <c r="B195" s="101"/>
      <c r="C195" s="97"/>
      <c r="D195" s="97"/>
      <c r="E195" s="97"/>
      <c r="F195" s="97"/>
      <c r="G195" s="97"/>
      <c r="H195" s="97"/>
      <c r="I195" s="97"/>
      <c r="J195" s="97"/>
      <c r="K195" s="16" t="s">
        <v>16</v>
      </c>
      <c r="L195" s="21">
        <v>0</v>
      </c>
      <c r="M195" s="21">
        <v>0</v>
      </c>
      <c r="N195" s="21">
        <v>0.06</v>
      </c>
      <c r="O195" s="21">
        <v>0</v>
      </c>
    </row>
    <row r="196" spans="1:15" x14ac:dyDescent="0.2">
      <c r="A196" s="207"/>
      <c r="B196" s="101"/>
      <c r="C196" s="97"/>
      <c r="D196" s="97"/>
      <c r="E196" s="97"/>
      <c r="F196" s="97"/>
      <c r="G196" s="97"/>
      <c r="H196" s="97"/>
      <c r="I196" s="97"/>
      <c r="J196" s="97"/>
      <c r="K196" s="16" t="s">
        <v>17</v>
      </c>
      <c r="L196" s="21">
        <v>0.74</v>
      </c>
      <c r="M196" s="21">
        <v>0.84</v>
      </c>
      <c r="N196" s="21">
        <v>0.81</v>
      </c>
      <c r="O196" s="21">
        <v>0</v>
      </c>
    </row>
    <row r="197" spans="1:15" x14ac:dyDescent="0.2">
      <c r="A197" s="207"/>
      <c r="B197" s="101"/>
      <c r="C197" s="97"/>
      <c r="D197" s="97"/>
      <c r="E197" s="97"/>
      <c r="F197" s="97"/>
      <c r="G197" s="97"/>
      <c r="H197" s="97"/>
      <c r="I197" s="97"/>
      <c r="J197" s="97"/>
      <c r="K197" s="16" t="s">
        <v>18</v>
      </c>
      <c r="L197" s="21">
        <v>0</v>
      </c>
      <c r="M197" s="21">
        <v>0</v>
      </c>
      <c r="N197" s="21">
        <v>0.05</v>
      </c>
      <c r="O197" s="21">
        <v>0</v>
      </c>
    </row>
    <row r="198" spans="1:15" x14ac:dyDescent="0.2">
      <c r="A198" s="207"/>
      <c r="B198" s="101"/>
      <c r="C198" s="97"/>
      <c r="D198" s="97"/>
      <c r="E198" s="97"/>
      <c r="F198" s="97"/>
      <c r="G198" s="97"/>
      <c r="H198" s="97"/>
      <c r="I198" s="97"/>
      <c r="J198" s="97"/>
      <c r="K198" s="16" t="s">
        <v>0</v>
      </c>
      <c r="L198" s="17">
        <f>SUM(L186:L197)</f>
        <v>1.24</v>
      </c>
      <c r="M198" s="17">
        <f t="shared" ref="M198" si="38">SUM(M186:M197)</f>
        <v>0.84</v>
      </c>
      <c r="N198" s="17">
        <f t="shared" ref="N198" si="39">SUM(N186:N197)</f>
        <v>1.4600000000000002</v>
      </c>
      <c r="O198" s="17">
        <f t="shared" ref="O198" si="40">SUM(O186:O197)</f>
        <v>0</v>
      </c>
    </row>
  </sheetData>
  <sheetProtection password="C64B" sheet="1" objects="1" scenarios="1"/>
  <mergeCells count="142">
    <mergeCell ref="J186:J198"/>
    <mergeCell ref="I134:I146"/>
    <mergeCell ref="J134:J146"/>
    <mergeCell ref="B173:B185"/>
    <mergeCell ref="C173:C185"/>
    <mergeCell ref="D173:D185"/>
    <mergeCell ref="E173:E185"/>
    <mergeCell ref="F173:F185"/>
    <mergeCell ref="H173:H185"/>
    <mergeCell ref="I173:I185"/>
    <mergeCell ref="J173:J185"/>
    <mergeCell ref="I147:I159"/>
    <mergeCell ref="J147:J159"/>
    <mergeCell ref="F160:F172"/>
    <mergeCell ref="H160:H172"/>
    <mergeCell ref="I160:I172"/>
    <mergeCell ref="J160:J172"/>
    <mergeCell ref="D134:D146"/>
    <mergeCell ref="E134:E146"/>
    <mergeCell ref="F134:F146"/>
    <mergeCell ref="G134:G146"/>
    <mergeCell ref="H134:H146"/>
    <mergeCell ref="G160:G172"/>
    <mergeCell ref="G173:G185"/>
    <mergeCell ref="J56:J68"/>
    <mergeCell ref="B69:B81"/>
    <mergeCell ref="C69:C81"/>
    <mergeCell ref="E69:E81"/>
    <mergeCell ref="F69:F81"/>
    <mergeCell ref="H69:H81"/>
    <mergeCell ref="I69:I81"/>
    <mergeCell ref="J69:J81"/>
    <mergeCell ref="D69:D81"/>
    <mergeCell ref="G69:G81"/>
    <mergeCell ref="D56:D68"/>
    <mergeCell ref="G56:G68"/>
    <mergeCell ref="B56:B68"/>
    <mergeCell ref="C56:C68"/>
    <mergeCell ref="E56:E68"/>
    <mergeCell ref="F56:F68"/>
    <mergeCell ref="H56:H68"/>
    <mergeCell ref="I56:I68"/>
    <mergeCell ref="J43:J55"/>
    <mergeCell ref="G17:G29"/>
    <mergeCell ref="H17:H29"/>
    <mergeCell ref="I17:I29"/>
    <mergeCell ref="J17:J29"/>
    <mergeCell ref="B30:B42"/>
    <mergeCell ref="C30:C42"/>
    <mergeCell ref="D30:D42"/>
    <mergeCell ref="E30:E42"/>
    <mergeCell ref="F30:F42"/>
    <mergeCell ref="G30:G42"/>
    <mergeCell ref="H30:H42"/>
    <mergeCell ref="I30:I42"/>
    <mergeCell ref="J30:J42"/>
    <mergeCell ref="B17:B29"/>
    <mergeCell ref="C17:C29"/>
    <mergeCell ref="D17:D29"/>
    <mergeCell ref="E17:E29"/>
    <mergeCell ref="F17:F29"/>
    <mergeCell ref="B43:B55"/>
    <mergeCell ref="C43:C55"/>
    <mergeCell ref="D43:D55"/>
    <mergeCell ref="E43:E55"/>
    <mergeCell ref="F43:F55"/>
    <mergeCell ref="B1:O1"/>
    <mergeCell ref="B2:B3"/>
    <mergeCell ref="C2:K2"/>
    <mergeCell ref="L2:M2"/>
    <mergeCell ref="N2:O2"/>
    <mergeCell ref="B4:B16"/>
    <mergeCell ref="C4:C16"/>
    <mergeCell ref="D4:D16"/>
    <mergeCell ref="E4:E16"/>
    <mergeCell ref="F4:F16"/>
    <mergeCell ref="G4:G16"/>
    <mergeCell ref="H4:H16"/>
    <mergeCell ref="I4:I16"/>
    <mergeCell ref="J4:J16"/>
    <mergeCell ref="P96:S96"/>
    <mergeCell ref="B95:B107"/>
    <mergeCell ref="C95:C107"/>
    <mergeCell ref="D95:D107"/>
    <mergeCell ref="E95:E107"/>
    <mergeCell ref="F95:F107"/>
    <mergeCell ref="H108:H120"/>
    <mergeCell ref="I108:I120"/>
    <mergeCell ref="J108:J120"/>
    <mergeCell ref="J95:J107"/>
    <mergeCell ref="G95:G107"/>
    <mergeCell ref="B108:B120"/>
    <mergeCell ref="C108:C120"/>
    <mergeCell ref="D108:D120"/>
    <mergeCell ref="E108:E120"/>
    <mergeCell ref="F108:F120"/>
    <mergeCell ref="G108:G120"/>
    <mergeCell ref="H95:H107"/>
    <mergeCell ref="I95:I107"/>
    <mergeCell ref="J82:J94"/>
    <mergeCell ref="B134:B146"/>
    <mergeCell ref="C134:C146"/>
    <mergeCell ref="H147:H159"/>
    <mergeCell ref="B160:B172"/>
    <mergeCell ref="C160:C172"/>
    <mergeCell ref="D160:D172"/>
    <mergeCell ref="E160:E172"/>
    <mergeCell ref="B147:B159"/>
    <mergeCell ref="C147:C159"/>
    <mergeCell ref="D147:D159"/>
    <mergeCell ref="E147:E159"/>
    <mergeCell ref="F147:F159"/>
    <mergeCell ref="G147:G159"/>
    <mergeCell ref="B121:B133"/>
    <mergeCell ref="C121:C133"/>
    <mergeCell ref="D121:D133"/>
    <mergeCell ref="E121:E133"/>
    <mergeCell ref="F121:F133"/>
    <mergeCell ref="G121:G133"/>
    <mergeCell ref="H121:H133"/>
    <mergeCell ref="I121:I133"/>
    <mergeCell ref="J121:J133"/>
    <mergeCell ref="A2:A198"/>
    <mergeCell ref="B82:B94"/>
    <mergeCell ref="C82:C94"/>
    <mergeCell ref="D82:D94"/>
    <mergeCell ref="E82:E94"/>
    <mergeCell ref="F82:F94"/>
    <mergeCell ref="G82:G94"/>
    <mergeCell ref="H82:H94"/>
    <mergeCell ref="I82:I94"/>
    <mergeCell ref="I43:I55"/>
    <mergeCell ref="B186:B198"/>
    <mergeCell ref="C186:C198"/>
    <mergeCell ref="D186:D198"/>
    <mergeCell ref="E186:E198"/>
    <mergeCell ref="F186:F198"/>
    <mergeCell ref="G186:G198"/>
    <mergeCell ref="H186:H198"/>
    <mergeCell ref="I186:I198"/>
    <mergeCell ref="G43:G55"/>
    <mergeCell ref="H43:H55"/>
  </mergeCells>
  <printOptions horizontalCentered="1" verticalCentered="1"/>
  <pageMargins left="0.11811023622047245" right="0" top="0.11811023622047245" bottom="0.19685039370078741" header="0.51181102362204722" footer="0.19685039370078741"/>
  <pageSetup paperSize="9" scale="6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5</vt:i4>
      </vt:variant>
    </vt:vector>
  </HeadingPairs>
  <TitlesOfParts>
    <vt:vector size="11" baseType="lpstr">
      <vt:lpstr>BSC_Paydas_Veri</vt:lpstr>
      <vt:lpstr>2025-2027 Çalışması</vt:lpstr>
      <vt:lpstr>BSC_OperasyonelMükemmellik_Veri</vt:lpstr>
      <vt:lpstr>BSC_ÇalışanGelişim_Veri</vt:lpstr>
      <vt:lpstr>BSC_Finansal_Veri (2)</vt:lpstr>
      <vt:lpstr>Dikkate Alma</vt:lpstr>
      <vt:lpstr>BSC_ÇalışanGelişim_Veri!Yazdırma_Alanı</vt:lpstr>
      <vt:lpstr>'BSC_Finansal_Veri (2)'!Yazdırma_Alanı</vt:lpstr>
      <vt:lpstr>BSC_OperasyonelMükemmellik_Veri!Yazdırma_Alanı</vt:lpstr>
      <vt:lpstr>BSC_Paydas_Veri!Yazdırma_Alanı</vt:lpstr>
      <vt:lpstr>'Dikkate Alma'!Yazdırma_Alanı</vt:lpstr>
    </vt:vector>
  </TitlesOfParts>
  <Company>Ironman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Karne Hazırlama Tablosu</dc:title>
  <dc:creator>İbrahim Demir</dc:creator>
  <cp:lastModifiedBy>KalDer Eskişehir</cp:lastModifiedBy>
  <cp:lastPrinted>2014-01-07T19:52:23Z</cp:lastPrinted>
  <dcterms:created xsi:type="dcterms:W3CDTF">2005-03-24T16:17:02Z</dcterms:created>
  <dcterms:modified xsi:type="dcterms:W3CDTF">2026-01-29T18:51:57Z</dcterms:modified>
</cp:coreProperties>
</file>